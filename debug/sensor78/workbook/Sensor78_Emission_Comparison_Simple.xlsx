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01A8F7C9-2867-44FC-AE95-4BEE31AB933F}" xr6:coauthVersionLast="47" xr6:coauthVersionMax="47" xr10:uidLastSave="{00000000-0000-0000-0000-000000000000}"/>
  <bookViews>
    <workbookView xWindow="-108" yWindow="-108" windowWidth="23256" windowHeight="13896" firstSheet="2" activeTab="7" xr2:uid="{00000000-000D-0000-FFFF-FFFF00000000}"/>
  </bookViews>
  <sheets>
    <sheet name="01 Traffic inputs" sheetId="1" r:id="rId1"/>
    <sheet name="02 Emission rates" sheetId="2" r:id="rId2"/>
    <sheet name="03 Recorded O" sheetId="3" r:id="rId3"/>
    <sheet name="04 Mean speed S" sheetId="4" r:id="rId4"/>
    <sheet name="05 Reconstructed R" sheetId="5" r:id="rId5"/>
    <sheet name="06 Two-speed M" sheetId="6" r:id="rId6"/>
    <sheet name="07 Cubic A" sheetId="7" r:id="rId7"/>
    <sheet name="08 Resul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8" l="1"/>
  <c r="A18" i="8"/>
  <c r="A17" i="8"/>
  <c r="A16" i="8"/>
  <c r="F11" i="7"/>
  <c r="F10" i="7"/>
  <c r="F9" i="7"/>
  <c r="F8" i="7"/>
  <c r="B11" i="6"/>
  <c r="B10" i="6"/>
  <c r="B9" i="6"/>
  <c r="B8" i="6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C90" i="5"/>
  <c r="B90" i="5"/>
  <c r="D90" i="5" s="1"/>
  <c r="E90" i="5" s="1"/>
  <c r="A90" i="5"/>
  <c r="B17" i="5"/>
  <c r="B14" i="5"/>
  <c r="B10" i="5"/>
  <c r="D67" i="3"/>
  <c r="C67" i="3" s="1"/>
  <c r="B67" i="3"/>
  <c r="B65" i="4" s="1"/>
  <c r="A67" i="3"/>
  <c r="A65" i="4" s="1"/>
  <c r="D66" i="3"/>
  <c r="C66" i="3" s="1"/>
  <c r="B66" i="3"/>
  <c r="B79" i="6" s="1"/>
  <c r="A66" i="3"/>
  <c r="D65" i="3"/>
  <c r="C65" i="3" s="1"/>
  <c r="B65" i="3"/>
  <c r="B63" i="4" s="1"/>
  <c r="A65" i="3"/>
  <c r="A63" i="4" s="1"/>
  <c r="D64" i="3"/>
  <c r="C64" i="3"/>
  <c r="B64" i="3"/>
  <c r="B62" i="4" s="1"/>
  <c r="A64" i="3"/>
  <c r="A62" i="4" s="1"/>
  <c r="D63" i="3"/>
  <c r="C63" i="3" s="1"/>
  <c r="B63" i="3"/>
  <c r="B61" i="4" s="1"/>
  <c r="A63" i="3"/>
  <c r="A61" i="4" s="1"/>
  <c r="D62" i="3"/>
  <c r="C62" i="3" s="1"/>
  <c r="B62" i="3"/>
  <c r="B60" i="4" s="1"/>
  <c r="A62" i="3"/>
  <c r="D61" i="3"/>
  <c r="C61" i="3" s="1"/>
  <c r="B61" i="3"/>
  <c r="A61" i="3"/>
  <c r="D60" i="3"/>
  <c r="C60" i="3" s="1"/>
  <c r="B60" i="3"/>
  <c r="A60" i="3"/>
  <c r="D59" i="3"/>
  <c r="C59" i="3" s="1"/>
  <c r="B59" i="3"/>
  <c r="B72" i="5" s="1"/>
  <c r="A59" i="3"/>
  <c r="A72" i="5" s="1"/>
  <c r="D58" i="3"/>
  <c r="C58" i="3" s="1"/>
  <c r="B58" i="3"/>
  <c r="B71" i="5" s="1"/>
  <c r="A58" i="3"/>
  <c r="A71" i="5" s="1"/>
  <c r="D57" i="3"/>
  <c r="C57" i="3" s="1"/>
  <c r="B57" i="3"/>
  <c r="B70" i="5" s="1"/>
  <c r="A57" i="3"/>
  <c r="A70" i="5" s="1"/>
  <c r="D56" i="3"/>
  <c r="C56" i="3" s="1"/>
  <c r="B56" i="3"/>
  <c r="A56" i="3"/>
  <c r="D55" i="3"/>
  <c r="C55" i="3" s="1"/>
  <c r="B55" i="3"/>
  <c r="A55" i="3"/>
  <c r="D54" i="3"/>
  <c r="C54" i="3" s="1"/>
  <c r="B54" i="3"/>
  <c r="A54" i="3"/>
  <c r="D53" i="3"/>
  <c r="C53" i="3" s="1"/>
  <c r="B53" i="3"/>
  <c r="A53" i="3"/>
  <c r="D52" i="3"/>
  <c r="C52" i="3" s="1"/>
  <c r="B52" i="3"/>
  <c r="A52" i="3"/>
  <c r="D51" i="3"/>
  <c r="C51" i="3" s="1"/>
  <c r="B51" i="3"/>
  <c r="A51" i="3"/>
  <c r="D50" i="3"/>
  <c r="C50" i="3" s="1"/>
  <c r="B50" i="3"/>
  <c r="A50" i="3"/>
  <c r="D49" i="3"/>
  <c r="C49" i="3" s="1"/>
  <c r="B49" i="3"/>
  <c r="A49" i="3"/>
  <c r="D48" i="3"/>
  <c r="C48" i="3" s="1"/>
  <c r="B48" i="3"/>
  <c r="A48" i="3"/>
  <c r="D47" i="3"/>
  <c r="C47" i="3" s="1"/>
  <c r="B47" i="3"/>
  <c r="A47" i="3"/>
  <c r="D46" i="3"/>
  <c r="C46" i="3" s="1"/>
  <c r="B46" i="3"/>
  <c r="A46" i="3"/>
  <c r="D45" i="3"/>
  <c r="C45" i="3" s="1"/>
  <c r="B45" i="3"/>
  <c r="A45" i="3"/>
  <c r="D44" i="3"/>
  <c r="C44" i="3" s="1"/>
  <c r="B44" i="3"/>
  <c r="A44" i="3"/>
  <c r="D43" i="3"/>
  <c r="C43" i="3" s="1"/>
  <c r="B43" i="3"/>
  <c r="A43" i="3"/>
  <c r="D42" i="3"/>
  <c r="C42" i="3" s="1"/>
  <c r="B42" i="3"/>
  <c r="A42" i="3"/>
  <c r="D41" i="3"/>
  <c r="C41" i="3" s="1"/>
  <c r="B41" i="3"/>
  <c r="A41" i="3"/>
  <c r="D40" i="3"/>
  <c r="C40" i="3" s="1"/>
  <c r="B40" i="3"/>
  <c r="A40" i="3"/>
  <c r="D39" i="3"/>
  <c r="C39" i="3" s="1"/>
  <c r="B39" i="3"/>
  <c r="A39" i="3"/>
  <c r="D38" i="3"/>
  <c r="C38" i="3"/>
  <c r="B38" i="3"/>
  <c r="A38" i="3"/>
  <c r="D37" i="3"/>
  <c r="C37" i="3" s="1"/>
  <c r="B37" i="3"/>
  <c r="A37" i="3"/>
  <c r="D36" i="3"/>
  <c r="C36" i="3" s="1"/>
  <c r="B36" i="3"/>
  <c r="A36" i="3"/>
  <c r="D35" i="3"/>
  <c r="C35" i="3" s="1"/>
  <c r="B35" i="3"/>
  <c r="A35" i="3"/>
  <c r="D34" i="3"/>
  <c r="C34" i="3" s="1"/>
  <c r="B34" i="3"/>
  <c r="A34" i="3"/>
  <c r="D33" i="3"/>
  <c r="C33" i="3" s="1"/>
  <c r="B33" i="3"/>
  <c r="A33" i="3"/>
  <c r="D32" i="3"/>
  <c r="C32" i="3" s="1"/>
  <c r="B32" i="3"/>
  <c r="A32" i="3"/>
  <c r="D31" i="3"/>
  <c r="C31" i="3" s="1"/>
  <c r="B31" i="3"/>
  <c r="A31" i="3"/>
  <c r="D30" i="3"/>
  <c r="C30" i="3" s="1"/>
  <c r="B30" i="3"/>
  <c r="A30" i="3"/>
  <c r="D29" i="3"/>
  <c r="C29" i="3" s="1"/>
  <c r="B29" i="3"/>
  <c r="A29" i="3"/>
  <c r="D28" i="3"/>
  <c r="C28" i="3" s="1"/>
  <c r="B28" i="3"/>
  <c r="A28" i="3"/>
  <c r="D27" i="3"/>
  <c r="C27" i="3" s="1"/>
  <c r="B27" i="3"/>
  <c r="A27" i="3"/>
  <c r="D26" i="3"/>
  <c r="C26" i="3" s="1"/>
  <c r="B26" i="3"/>
  <c r="A26" i="3"/>
  <c r="D25" i="3"/>
  <c r="C25" i="3" s="1"/>
  <c r="B25" i="3"/>
  <c r="A25" i="3"/>
  <c r="D24" i="3"/>
  <c r="C24" i="3" s="1"/>
  <c r="B24" i="3"/>
  <c r="B22" i="4" s="1"/>
  <c r="A24" i="3"/>
  <c r="A22" i="4" s="1"/>
  <c r="D23" i="3"/>
  <c r="C23" i="3" s="1"/>
  <c r="B23" i="3"/>
  <c r="B21" i="4" s="1"/>
  <c r="A23" i="3"/>
  <c r="A21" i="4" s="1"/>
  <c r="D22" i="3"/>
  <c r="C22" i="3" s="1"/>
  <c r="B22" i="3"/>
  <c r="A22" i="3"/>
  <c r="D21" i="3"/>
  <c r="C21" i="3" s="1"/>
  <c r="B21" i="3"/>
  <c r="A21" i="3"/>
  <c r="D20" i="3"/>
  <c r="C20" i="3" s="1"/>
  <c r="B20" i="3"/>
  <c r="A20" i="3"/>
  <c r="D19" i="3"/>
  <c r="C19" i="3" s="1"/>
  <c r="B19" i="3"/>
  <c r="A19" i="3"/>
  <c r="D18" i="3"/>
  <c r="C18" i="3" s="1"/>
  <c r="B18" i="3"/>
  <c r="A18" i="3"/>
  <c r="D17" i="3"/>
  <c r="C17" i="3" s="1"/>
  <c r="B17" i="3"/>
  <c r="A17" i="3"/>
  <c r="D16" i="3"/>
  <c r="C16" i="3" s="1"/>
  <c r="B16" i="3"/>
  <c r="A16" i="3"/>
  <c r="D15" i="3"/>
  <c r="C15" i="3" s="1"/>
  <c r="B15" i="3"/>
  <c r="A15" i="3"/>
  <c r="D14" i="3"/>
  <c r="C14" i="3" s="1"/>
  <c r="B14" i="3"/>
  <c r="A14" i="3"/>
  <c r="D13" i="3"/>
  <c r="C13" i="3" s="1"/>
  <c r="B13" i="3"/>
  <c r="A13" i="3"/>
  <c r="D12" i="3"/>
  <c r="C12" i="3"/>
  <c r="B12" i="3"/>
  <c r="A12" i="3"/>
  <c r="D11" i="3"/>
  <c r="C11" i="3" s="1"/>
  <c r="B11" i="3"/>
  <c r="A11" i="3"/>
  <c r="A64" i="4" l="1"/>
  <c r="A79" i="6"/>
  <c r="B79" i="7"/>
  <c r="B64" i="4"/>
  <c r="B80" i="7"/>
  <c r="B80" i="6"/>
  <c r="A80" i="5"/>
  <c r="A80" i="7"/>
  <c r="A80" i="6"/>
  <c r="A79" i="5"/>
  <c r="A79" i="7"/>
  <c r="B78" i="7"/>
  <c r="B78" i="6"/>
  <c r="A78" i="5"/>
  <c r="A78" i="7"/>
  <c r="A78" i="6"/>
  <c r="B77" i="7"/>
  <c r="B77" i="6"/>
  <c r="A77" i="5"/>
  <c r="A77" i="7"/>
  <c r="A77" i="6"/>
  <c r="B76" i="7"/>
  <c r="B76" i="6"/>
  <c r="A76" i="5"/>
  <c r="A76" i="7"/>
  <c r="A76" i="6"/>
  <c r="B75" i="7"/>
  <c r="B75" i="6"/>
  <c r="A75" i="5"/>
  <c r="A75" i="7"/>
  <c r="A60" i="4"/>
  <c r="A75" i="6"/>
  <c r="B74" i="7"/>
  <c r="B59" i="4"/>
  <c r="B74" i="6"/>
  <c r="A74" i="5"/>
  <c r="A59" i="4"/>
  <c r="A74" i="6"/>
  <c r="A74" i="7"/>
  <c r="B58" i="4"/>
  <c r="B73" i="6"/>
  <c r="B73" i="7"/>
  <c r="A73" i="5"/>
  <c r="A58" i="4"/>
  <c r="A73" i="6"/>
  <c r="A73" i="7"/>
  <c r="E59" i="3"/>
  <c r="B57" i="4"/>
  <c r="B72" i="6"/>
  <c r="B72" i="7"/>
  <c r="A72" i="7"/>
  <c r="A72" i="6"/>
  <c r="A57" i="4"/>
  <c r="E58" i="3"/>
  <c r="B71" i="6"/>
  <c r="B71" i="7"/>
  <c r="B56" i="4"/>
  <c r="A56" i="4"/>
  <c r="A71" i="6"/>
  <c r="A71" i="7"/>
  <c r="E57" i="3"/>
  <c r="B55" i="4"/>
  <c r="B70" i="6"/>
  <c r="B70" i="7"/>
  <c r="A55" i="4"/>
  <c r="A70" i="7"/>
  <c r="A70" i="6"/>
  <c r="E56" i="3"/>
  <c r="B69" i="6"/>
  <c r="B69" i="7"/>
  <c r="B69" i="5"/>
  <c r="B54" i="4"/>
  <c r="A54" i="4"/>
  <c r="A69" i="5"/>
  <c r="A69" i="7"/>
  <c r="A69" i="6"/>
  <c r="E55" i="3"/>
  <c r="B68" i="7"/>
  <c r="B68" i="5"/>
  <c r="B53" i="4"/>
  <c r="B68" i="6"/>
  <c r="A68" i="7"/>
  <c r="A68" i="5"/>
  <c r="A68" i="6"/>
  <c r="A53" i="4"/>
  <c r="E54" i="3"/>
  <c r="B67" i="7"/>
  <c r="B67" i="5"/>
  <c r="B67" i="6"/>
  <c r="B52" i="4"/>
  <c r="A67" i="7"/>
  <c r="A67" i="5"/>
  <c r="A67" i="6"/>
  <c r="A52" i="4"/>
  <c r="E53" i="3"/>
  <c r="B66" i="7"/>
  <c r="B51" i="4"/>
  <c r="B66" i="6"/>
  <c r="B66" i="5"/>
  <c r="A66" i="7"/>
  <c r="A66" i="6"/>
  <c r="A66" i="5"/>
  <c r="A51" i="4"/>
  <c r="E52" i="3"/>
  <c r="B65" i="7"/>
  <c r="B65" i="5"/>
  <c r="B65" i="6"/>
  <c r="B50" i="4"/>
  <c r="A65" i="7"/>
  <c r="A65" i="6"/>
  <c r="A65" i="5"/>
  <c r="A50" i="4"/>
  <c r="E51" i="3"/>
  <c r="B64" i="6"/>
  <c r="B49" i="4"/>
  <c r="B64" i="5"/>
  <c r="B64" i="7"/>
  <c r="A64" i="6"/>
  <c r="A49" i="4"/>
  <c r="A64" i="7"/>
  <c r="A64" i="5"/>
  <c r="E50" i="3"/>
  <c r="B63" i="6"/>
  <c r="B63" i="5"/>
  <c r="B63" i="7"/>
  <c r="B48" i="4"/>
  <c r="A48" i="4"/>
  <c r="A63" i="7"/>
  <c r="A63" i="6"/>
  <c r="A63" i="5"/>
  <c r="E49" i="3"/>
  <c r="B47" i="4"/>
  <c r="B62" i="5"/>
  <c r="B62" i="7"/>
  <c r="B62" i="6"/>
  <c r="A47" i="4"/>
  <c r="A62" i="6"/>
  <c r="A62" i="7"/>
  <c r="A62" i="5"/>
  <c r="B61" i="7"/>
  <c r="B46" i="4"/>
  <c r="B61" i="5"/>
  <c r="A61" i="6"/>
  <c r="A61" i="5"/>
  <c r="A46" i="4"/>
  <c r="A61" i="7"/>
  <c r="B60" i="7"/>
  <c r="B60" i="5"/>
  <c r="B45" i="4"/>
  <c r="A60" i="6"/>
  <c r="A60" i="7"/>
  <c r="A60" i="5"/>
  <c r="A45" i="4"/>
  <c r="B59" i="7"/>
  <c r="B44" i="4"/>
  <c r="B59" i="5"/>
  <c r="A59" i="6"/>
  <c r="A59" i="5"/>
  <c r="A44" i="4"/>
  <c r="A59" i="7"/>
  <c r="B43" i="4"/>
  <c r="B58" i="7"/>
  <c r="B58" i="5"/>
  <c r="A58" i="6"/>
  <c r="A58" i="5"/>
  <c r="A58" i="7"/>
  <c r="A43" i="4"/>
  <c r="B42" i="4"/>
  <c r="B57" i="7"/>
  <c r="B57" i="5"/>
  <c r="A57" i="6"/>
  <c r="A57" i="5"/>
  <c r="A57" i="7"/>
  <c r="A42" i="4"/>
  <c r="B56" i="5"/>
  <c r="B56" i="7"/>
  <c r="B41" i="4"/>
  <c r="A56" i="6"/>
  <c r="A56" i="5"/>
  <c r="A56" i="7"/>
  <c r="A41" i="4"/>
  <c r="B55" i="5"/>
  <c r="B55" i="7"/>
  <c r="B40" i="4"/>
  <c r="A55" i="6"/>
  <c r="A40" i="4"/>
  <c r="A55" i="7"/>
  <c r="A55" i="5"/>
  <c r="B54" i="5"/>
  <c r="B39" i="4"/>
  <c r="B54" i="7"/>
  <c r="A54" i="6"/>
  <c r="A54" i="7"/>
  <c r="A39" i="4"/>
  <c r="A54" i="5"/>
  <c r="B53" i="7"/>
  <c r="B38" i="4"/>
  <c r="B53" i="5"/>
  <c r="A53" i="6"/>
  <c r="A53" i="7"/>
  <c r="A53" i="5"/>
  <c r="A38" i="4"/>
  <c r="B52" i="7"/>
  <c r="B52" i="5"/>
  <c r="B37" i="4"/>
  <c r="A52" i="6"/>
  <c r="A52" i="7"/>
  <c r="A52" i="5"/>
  <c r="A37" i="4"/>
  <c r="B51" i="5"/>
  <c r="B36" i="4"/>
  <c r="B51" i="7"/>
  <c r="A51" i="6"/>
  <c r="A51" i="5"/>
  <c r="A51" i="7"/>
  <c r="A36" i="4"/>
  <c r="B35" i="4"/>
  <c r="B50" i="5"/>
  <c r="B50" i="7"/>
  <c r="A50" i="6"/>
  <c r="A50" i="7"/>
  <c r="A35" i="4"/>
  <c r="A50" i="5"/>
  <c r="B49" i="7"/>
  <c r="B34" i="4"/>
  <c r="B49" i="5"/>
  <c r="A49" i="6"/>
  <c r="A49" i="7"/>
  <c r="A34" i="4"/>
  <c r="A49" i="5"/>
  <c r="B48" i="7"/>
  <c r="B33" i="4"/>
  <c r="B48" i="5"/>
  <c r="A48" i="6"/>
  <c r="A48" i="7"/>
  <c r="A48" i="5"/>
  <c r="A33" i="4"/>
  <c r="B47" i="7"/>
  <c r="B47" i="5"/>
  <c r="B32" i="4"/>
  <c r="A47" i="6"/>
  <c r="A32" i="4"/>
  <c r="A47" i="5"/>
  <c r="A47" i="7"/>
  <c r="B46" i="5"/>
  <c r="B31" i="4"/>
  <c r="B46" i="7"/>
  <c r="A46" i="6"/>
  <c r="A46" i="5"/>
  <c r="A46" i="7"/>
  <c r="A31" i="4"/>
  <c r="B45" i="7"/>
  <c r="B45" i="5"/>
  <c r="B30" i="4"/>
  <c r="A45" i="6"/>
  <c r="A45" i="5"/>
  <c r="A45" i="7"/>
  <c r="A30" i="4"/>
  <c r="B44" i="7"/>
  <c r="B44" i="5"/>
  <c r="B29" i="4"/>
  <c r="A44" i="5"/>
  <c r="A29" i="4"/>
  <c r="B43" i="5"/>
  <c r="B28" i="4"/>
  <c r="A43" i="5"/>
  <c r="A28" i="4"/>
  <c r="B42" i="5"/>
  <c r="B27" i="4"/>
  <c r="A42" i="5"/>
  <c r="A27" i="4"/>
  <c r="B41" i="5"/>
  <c r="B26" i="4"/>
  <c r="A41" i="5"/>
  <c r="A26" i="4"/>
  <c r="B40" i="5"/>
  <c r="B25" i="4"/>
  <c r="A25" i="4"/>
  <c r="A40" i="5"/>
  <c r="B39" i="5"/>
  <c r="B24" i="4"/>
  <c r="A39" i="5"/>
  <c r="A24" i="4"/>
  <c r="B23" i="4"/>
  <c r="B38" i="5"/>
  <c r="A38" i="5"/>
  <c r="A23" i="4"/>
  <c r="B91" i="5"/>
  <c r="C91" i="5"/>
  <c r="H67" i="3"/>
  <c r="J67" i="3"/>
  <c r="L67" i="3"/>
  <c r="F67" i="3"/>
  <c r="E67" i="3"/>
  <c r="B80" i="5"/>
  <c r="F66" i="3"/>
  <c r="J66" i="3"/>
  <c r="L66" i="3"/>
  <c r="H66" i="3"/>
  <c r="E66" i="3"/>
  <c r="B79" i="5"/>
  <c r="J65" i="3"/>
  <c r="F65" i="3"/>
  <c r="H65" i="3"/>
  <c r="L65" i="3"/>
  <c r="E65" i="3"/>
  <c r="B78" i="5"/>
  <c r="H64" i="3"/>
  <c r="L64" i="3"/>
  <c r="J64" i="3"/>
  <c r="F64" i="3"/>
  <c r="E64" i="3"/>
  <c r="B77" i="5"/>
  <c r="H63" i="3"/>
  <c r="L63" i="3"/>
  <c r="J63" i="3"/>
  <c r="F63" i="3"/>
  <c r="B76" i="5"/>
  <c r="E63" i="3"/>
  <c r="L62" i="3"/>
  <c r="J62" i="3"/>
  <c r="F62" i="3"/>
  <c r="H62" i="3"/>
  <c r="E62" i="3"/>
  <c r="B75" i="5"/>
  <c r="H61" i="3"/>
  <c r="J61" i="3"/>
  <c r="L61" i="3"/>
  <c r="F61" i="3"/>
  <c r="B74" i="5"/>
  <c r="E61" i="3"/>
  <c r="F60" i="3"/>
  <c r="H60" i="3"/>
  <c r="J60" i="3"/>
  <c r="L60" i="3"/>
  <c r="B73" i="5"/>
  <c r="E60" i="3"/>
  <c r="L59" i="3"/>
  <c r="J59" i="3"/>
  <c r="H59" i="3"/>
  <c r="F59" i="3"/>
  <c r="J58" i="3"/>
  <c r="L58" i="3"/>
  <c r="F58" i="3"/>
  <c r="H58" i="3"/>
  <c r="H57" i="3"/>
  <c r="F57" i="3"/>
  <c r="L57" i="3"/>
  <c r="J57" i="3"/>
  <c r="J56" i="3"/>
  <c r="L56" i="3"/>
  <c r="H56" i="3"/>
  <c r="F56" i="3"/>
  <c r="H55" i="3"/>
  <c r="F55" i="3"/>
  <c r="L55" i="3"/>
  <c r="J55" i="3"/>
  <c r="L54" i="3"/>
  <c r="J54" i="3"/>
  <c r="H54" i="3"/>
  <c r="F54" i="3"/>
  <c r="L53" i="3"/>
  <c r="J53" i="3"/>
  <c r="H53" i="3"/>
  <c r="F53" i="3"/>
  <c r="L52" i="3"/>
  <c r="J52" i="3"/>
  <c r="H52" i="3"/>
  <c r="F52" i="3"/>
  <c r="J51" i="3"/>
  <c r="L51" i="3"/>
  <c r="H51" i="3"/>
  <c r="F51" i="3"/>
  <c r="F50" i="3"/>
  <c r="H50" i="3"/>
  <c r="J50" i="3"/>
  <c r="L50" i="3"/>
  <c r="F49" i="3"/>
  <c r="H49" i="3"/>
  <c r="J49" i="3"/>
  <c r="L49" i="3"/>
  <c r="J48" i="3"/>
  <c r="L48" i="3"/>
  <c r="F48" i="3"/>
  <c r="H48" i="3"/>
  <c r="B61" i="6"/>
  <c r="E48" i="3"/>
  <c r="F47" i="3"/>
  <c r="H47" i="3"/>
  <c r="J47" i="3"/>
  <c r="L47" i="3"/>
  <c r="B60" i="6"/>
  <c r="E47" i="3"/>
  <c r="F46" i="3"/>
  <c r="H46" i="3"/>
  <c r="J46" i="3"/>
  <c r="L46" i="3"/>
  <c r="B59" i="6"/>
  <c r="E46" i="3"/>
  <c r="H45" i="3"/>
  <c r="F45" i="3"/>
  <c r="L45" i="3"/>
  <c r="J45" i="3"/>
  <c r="E45" i="3"/>
  <c r="B58" i="6"/>
  <c r="L44" i="3"/>
  <c r="F44" i="3"/>
  <c r="J44" i="3"/>
  <c r="H44" i="3"/>
  <c r="E44" i="3"/>
  <c r="B57" i="6"/>
  <c r="L43" i="3"/>
  <c r="J43" i="3"/>
  <c r="H43" i="3"/>
  <c r="F43" i="3"/>
  <c r="B56" i="6"/>
  <c r="E43" i="3"/>
  <c r="L42" i="3"/>
  <c r="J42" i="3"/>
  <c r="H42" i="3"/>
  <c r="F42" i="3"/>
  <c r="B55" i="6"/>
  <c r="E42" i="3"/>
  <c r="F41" i="3"/>
  <c r="H41" i="3"/>
  <c r="J41" i="3"/>
  <c r="L41" i="3"/>
  <c r="B54" i="6"/>
  <c r="E41" i="3"/>
  <c r="L40" i="3"/>
  <c r="J40" i="3"/>
  <c r="H40" i="3"/>
  <c r="F40" i="3"/>
  <c r="B53" i="6"/>
  <c r="E40" i="3"/>
  <c r="H39" i="3"/>
  <c r="J39" i="3"/>
  <c r="F39" i="3"/>
  <c r="L39" i="3"/>
  <c r="E39" i="3"/>
  <c r="B52" i="6"/>
  <c r="F38" i="3"/>
  <c r="L38" i="3"/>
  <c r="J38" i="3"/>
  <c r="H38" i="3"/>
  <c r="E38" i="3"/>
  <c r="B51" i="6"/>
  <c r="J37" i="3"/>
  <c r="L37" i="3"/>
  <c r="H37" i="3"/>
  <c r="F37" i="3"/>
  <c r="B50" i="6"/>
  <c r="E37" i="3"/>
  <c r="J36" i="3"/>
  <c r="L36" i="3"/>
  <c r="H36" i="3"/>
  <c r="F36" i="3"/>
  <c r="B49" i="6"/>
  <c r="E36" i="3"/>
  <c r="H35" i="3"/>
  <c r="L35" i="3"/>
  <c r="J35" i="3"/>
  <c r="F35" i="3"/>
  <c r="E35" i="3"/>
  <c r="B48" i="6"/>
  <c r="L34" i="3"/>
  <c r="J34" i="3"/>
  <c r="H34" i="3"/>
  <c r="F34" i="3"/>
  <c r="E34" i="3"/>
  <c r="B47" i="6"/>
  <c r="L33" i="3"/>
  <c r="J33" i="3"/>
  <c r="H33" i="3"/>
  <c r="F33" i="3"/>
  <c r="B46" i="6"/>
  <c r="E33" i="3"/>
  <c r="F32" i="3"/>
  <c r="J32" i="3"/>
  <c r="L32" i="3"/>
  <c r="H32" i="3"/>
  <c r="E32" i="3"/>
  <c r="B45" i="6"/>
  <c r="L31" i="3"/>
  <c r="J31" i="3"/>
  <c r="H31" i="3"/>
  <c r="F31" i="3"/>
  <c r="B44" i="6"/>
  <c r="E31" i="3"/>
  <c r="A44" i="7"/>
  <c r="A44" i="6"/>
  <c r="J30" i="3"/>
  <c r="L30" i="3"/>
  <c r="H30" i="3"/>
  <c r="F30" i="3"/>
  <c r="B43" i="6"/>
  <c r="B43" i="7"/>
  <c r="E30" i="3"/>
  <c r="A43" i="6"/>
  <c r="A43" i="7"/>
  <c r="F29" i="3"/>
  <c r="H29" i="3"/>
  <c r="J29" i="3"/>
  <c r="L29" i="3"/>
  <c r="B42" i="6"/>
  <c r="B42" i="7"/>
  <c r="E29" i="3"/>
  <c r="A42" i="6"/>
  <c r="A42" i="7"/>
  <c r="F28" i="3"/>
  <c r="H28" i="3"/>
  <c r="J28" i="3"/>
  <c r="L28" i="3"/>
  <c r="B41" i="6"/>
  <c r="B41" i="7"/>
  <c r="E28" i="3"/>
  <c r="A41" i="6"/>
  <c r="A41" i="7"/>
  <c r="H27" i="3"/>
  <c r="J27" i="3"/>
  <c r="L27" i="3"/>
  <c r="F27" i="3"/>
  <c r="B40" i="6"/>
  <c r="B40" i="7"/>
  <c r="E27" i="3"/>
  <c r="A40" i="6"/>
  <c r="A40" i="7"/>
  <c r="L26" i="3"/>
  <c r="J26" i="3"/>
  <c r="H26" i="3"/>
  <c r="F26" i="3"/>
  <c r="B39" i="7"/>
  <c r="E26" i="3"/>
  <c r="B39" i="6"/>
  <c r="A39" i="6"/>
  <c r="A39" i="7"/>
  <c r="H25" i="3"/>
  <c r="J25" i="3"/>
  <c r="L25" i="3"/>
  <c r="F25" i="3"/>
  <c r="B38" i="6"/>
  <c r="E25" i="3"/>
  <c r="B38" i="7"/>
  <c r="A38" i="7"/>
  <c r="A38" i="6"/>
  <c r="F24" i="3"/>
  <c r="H24" i="3"/>
  <c r="J24" i="3"/>
  <c r="L24" i="3"/>
  <c r="B37" i="5"/>
  <c r="B37" i="6"/>
  <c r="E24" i="3"/>
  <c r="B37" i="7"/>
  <c r="A37" i="6"/>
  <c r="A37" i="5"/>
  <c r="A37" i="7"/>
  <c r="J23" i="3"/>
  <c r="H23" i="3"/>
  <c r="L23" i="3"/>
  <c r="F23" i="3"/>
  <c r="E23" i="3"/>
  <c r="B36" i="6"/>
  <c r="B36" i="5"/>
  <c r="B36" i="7"/>
  <c r="A36" i="6"/>
  <c r="A36" i="7"/>
  <c r="A36" i="5"/>
  <c r="L22" i="3"/>
  <c r="J22" i="3"/>
  <c r="F22" i="3"/>
  <c r="H22" i="3"/>
  <c r="B35" i="6"/>
  <c r="B35" i="7"/>
  <c r="B20" i="4"/>
  <c r="B35" i="5"/>
  <c r="E22" i="3"/>
  <c r="A35" i="6"/>
  <c r="A35" i="5"/>
  <c r="A35" i="7"/>
  <c r="A20" i="4"/>
  <c r="J21" i="3"/>
  <c r="F21" i="3"/>
  <c r="H21" i="3"/>
  <c r="L21" i="3"/>
  <c r="B34" i="5"/>
  <c r="B34" i="6"/>
  <c r="B19" i="4"/>
  <c r="B34" i="7"/>
  <c r="E21" i="3"/>
  <c r="A19" i="4"/>
  <c r="A34" i="7"/>
  <c r="A34" i="6"/>
  <c r="A34" i="5"/>
  <c r="H20" i="3"/>
  <c r="F20" i="3"/>
  <c r="L20" i="3"/>
  <c r="J20" i="3"/>
  <c r="B18" i="4"/>
  <c r="B33" i="5"/>
  <c r="B33" i="6"/>
  <c r="E20" i="3"/>
  <c r="B33" i="7"/>
  <c r="A33" i="6"/>
  <c r="A18" i="4"/>
  <c r="A33" i="5"/>
  <c r="A33" i="7"/>
  <c r="L19" i="3"/>
  <c r="J19" i="3"/>
  <c r="H19" i="3"/>
  <c r="F19" i="3"/>
  <c r="B32" i="5"/>
  <c r="B32" i="7"/>
  <c r="E19" i="3"/>
  <c r="B17" i="4"/>
  <c r="B32" i="6"/>
  <c r="A32" i="7"/>
  <c r="A32" i="5"/>
  <c r="A32" i="6"/>
  <c r="A17" i="4"/>
  <c r="H18" i="3"/>
  <c r="F18" i="3"/>
  <c r="L18" i="3"/>
  <c r="J18" i="3"/>
  <c r="B16" i="4"/>
  <c r="E18" i="3"/>
  <c r="B31" i="5"/>
  <c r="B31" i="7"/>
  <c r="B31" i="6"/>
  <c r="A31" i="5"/>
  <c r="A31" i="7"/>
  <c r="A16" i="4"/>
  <c r="A31" i="6"/>
  <c r="J17" i="3"/>
  <c r="H17" i="3"/>
  <c r="F17" i="3"/>
  <c r="L17" i="3"/>
  <c r="B15" i="4"/>
  <c r="B30" i="5"/>
  <c r="B30" i="7"/>
  <c r="B30" i="6"/>
  <c r="E17" i="3"/>
  <c r="A30" i="5"/>
  <c r="A30" i="7"/>
  <c r="A15" i="4"/>
  <c r="A30" i="6"/>
  <c r="J16" i="3"/>
  <c r="H16" i="3"/>
  <c r="F16" i="3"/>
  <c r="L16" i="3"/>
  <c r="E16" i="3"/>
  <c r="B29" i="6"/>
  <c r="B29" i="5"/>
  <c r="B29" i="7"/>
  <c r="B14" i="4"/>
  <c r="A29" i="7"/>
  <c r="A29" i="5"/>
  <c r="A29" i="6"/>
  <c r="A14" i="4"/>
  <c r="F15" i="3"/>
  <c r="H15" i="3"/>
  <c r="J15" i="3"/>
  <c r="L15" i="3"/>
  <c r="E15" i="3"/>
  <c r="B28" i="5"/>
  <c r="B28" i="6"/>
  <c r="B13" i="4"/>
  <c r="B28" i="7"/>
  <c r="A28" i="5"/>
  <c r="A28" i="7"/>
  <c r="A13" i="4"/>
  <c r="A28" i="6"/>
  <c r="L14" i="3"/>
  <c r="J14" i="3"/>
  <c r="H14" i="3"/>
  <c r="F14" i="3"/>
  <c r="B27" i="7"/>
  <c r="B27" i="5"/>
  <c r="B12" i="4"/>
  <c r="E14" i="3"/>
  <c r="B27" i="6"/>
  <c r="A27" i="5"/>
  <c r="A27" i="7"/>
  <c r="A12" i="4"/>
  <c r="A27" i="6"/>
  <c r="F13" i="3"/>
  <c r="J13" i="3"/>
  <c r="H13" i="3"/>
  <c r="L13" i="3"/>
  <c r="E13" i="3"/>
  <c r="B26" i="5"/>
  <c r="B11" i="4"/>
  <c r="B26" i="7"/>
  <c r="B26" i="6"/>
  <c r="A26" i="6"/>
  <c r="A11" i="4"/>
  <c r="A26" i="7"/>
  <c r="A26" i="5"/>
  <c r="F12" i="3"/>
  <c r="H12" i="3"/>
  <c r="J12" i="3"/>
  <c r="L12" i="3"/>
  <c r="E12" i="3"/>
  <c r="B25" i="6"/>
  <c r="B10" i="4"/>
  <c r="B25" i="7"/>
  <c r="B25" i="5"/>
  <c r="A10" i="4"/>
  <c r="A25" i="7"/>
  <c r="A25" i="5"/>
  <c r="A25" i="6"/>
  <c r="J11" i="3"/>
  <c r="H11" i="3"/>
  <c r="F11" i="3"/>
  <c r="L11" i="3"/>
  <c r="B9" i="4"/>
  <c r="B69" i="3"/>
  <c r="B24" i="7"/>
  <c r="E11" i="3"/>
  <c r="B24" i="5"/>
  <c r="B24" i="6"/>
  <c r="A24" i="7"/>
  <c r="A24" i="5"/>
  <c r="A24" i="6"/>
  <c r="A9" i="4"/>
  <c r="K59" i="3" l="1"/>
  <c r="M50" i="3"/>
  <c r="D91" i="5"/>
  <c r="E91" i="5" s="1"/>
  <c r="M59" i="3"/>
  <c r="I59" i="3"/>
  <c r="G59" i="3"/>
  <c r="K58" i="3"/>
  <c r="M58" i="3"/>
  <c r="G58" i="3"/>
  <c r="I58" i="3"/>
  <c r="I57" i="3"/>
  <c r="G57" i="3"/>
  <c r="M57" i="3"/>
  <c r="K57" i="3"/>
  <c r="K56" i="3"/>
  <c r="M56" i="3"/>
  <c r="I56" i="3"/>
  <c r="G56" i="3"/>
  <c r="I55" i="3"/>
  <c r="G55" i="3"/>
  <c r="M55" i="3"/>
  <c r="K55" i="3"/>
  <c r="M54" i="3"/>
  <c r="K54" i="3"/>
  <c r="I54" i="3"/>
  <c r="G54" i="3"/>
  <c r="M53" i="3"/>
  <c r="K53" i="3"/>
  <c r="I53" i="3"/>
  <c r="G53" i="3"/>
  <c r="M52" i="3"/>
  <c r="K52" i="3"/>
  <c r="I52" i="3"/>
  <c r="G52" i="3"/>
  <c r="K51" i="3"/>
  <c r="M51" i="3"/>
  <c r="I51" i="3"/>
  <c r="G51" i="3"/>
  <c r="G50" i="3"/>
  <c r="I50" i="3"/>
  <c r="K50" i="3"/>
  <c r="G49" i="3"/>
  <c r="I49" i="3"/>
  <c r="K49" i="3"/>
  <c r="M49" i="3"/>
  <c r="G67" i="3"/>
  <c r="I67" i="3"/>
  <c r="K67" i="3"/>
  <c r="M67" i="3"/>
  <c r="G66" i="3"/>
  <c r="I66" i="3"/>
  <c r="K66" i="3"/>
  <c r="M66" i="3"/>
  <c r="G65" i="3"/>
  <c r="I65" i="3"/>
  <c r="K65" i="3"/>
  <c r="M65" i="3"/>
  <c r="G64" i="3"/>
  <c r="I64" i="3"/>
  <c r="K64" i="3"/>
  <c r="M64" i="3"/>
  <c r="G63" i="3"/>
  <c r="I63" i="3"/>
  <c r="K63" i="3"/>
  <c r="M63" i="3"/>
  <c r="G62" i="3"/>
  <c r="I62" i="3"/>
  <c r="K62" i="3"/>
  <c r="M62" i="3"/>
  <c r="G61" i="3"/>
  <c r="I61" i="3"/>
  <c r="K61" i="3"/>
  <c r="M61" i="3"/>
  <c r="G60" i="3"/>
  <c r="I60" i="3"/>
  <c r="K60" i="3"/>
  <c r="M60" i="3"/>
  <c r="G48" i="3"/>
  <c r="I48" i="3"/>
  <c r="K48" i="3"/>
  <c r="M48" i="3"/>
  <c r="G47" i="3"/>
  <c r="I47" i="3"/>
  <c r="K47" i="3"/>
  <c r="M47" i="3"/>
  <c r="G46" i="3"/>
  <c r="I46" i="3"/>
  <c r="K46" i="3"/>
  <c r="M46" i="3"/>
  <c r="G45" i="3"/>
  <c r="I45" i="3"/>
  <c r="K45" i="3"/>
  <c r="M45" i="3"/>
  <c r="G44" i="3"/>
  <c r="I44" i="3"/>
  <c r="K44" i="3"/>
  <c r="M44" i="3"/>
  <c r="G43" i="3"/>
  <c r="I43" i="3"/>
  <c r="K43" i="3"/>
  <c r="M43" i="3"/>
  <c r="G42" i="3"/>
  <c r="I42" i="3"/>
  <c r="K42" i="3"/>
  <c r="M42" i="3"/>
  <c r="G41" i="3"/>
  <c r="I41" i="3"/>
  <c r="K41" i="3"/>
  <c r="M41" i="3"/>
  <c r="G40" i="3"/>
  <c r="I40" i="3"/>
  <c r="K40" i="3"/>
  <c r="M40" i="3"/>
  <c r="G39" i="3"/>
  <c r="I39" i="3"/>
  <c r="K39" i="3"/>
  <c r="M39" i="3"/>
  <c r="G38" i="3"/>
  <c r="I38" i="3"/>
  <c r="K38" i="3"/>
  <c r="M38" i="3"/>
  <c r="G37" i="3"/>
  <c r="I37" i="3"/>
  <c r="K37" i="3"/>
  <c r="M37" i="3"/>
  <c r="G36" i="3"/>
  <c r="I36" i="3"/>
  <c r="K36" i="3"/>
  <c r="M36" i="3"/>
  <c r="G35" i="3"/>
  <c r="I35" i="3"/>
  <c r="K35" i="3"/>
  <c r="M35" i="3"/>
  <c r="G34" i="3"/>
  <c r="I34" i="3"/>
  <c r="K34" i="3"/>
  <c r="M34" i="3"/>
  <c r="G33" i="3"/>
  <c r="I33" i="3"/>
  <c r="K33" i="3"/>
  <c r="M33" i="3"/>
  <c r="G32" i="3"/>
  <c r="I32" i="3"/>
  <c r="K32" i="3"/>
  <c r="M32" i="3"/>
  <c r="G31" i="3"/>
  <c r="I31" i="3"/>
  <c r="K31" i="3"/>
  <c r="M31" i="3"/>
  <c r="G30" i="3"/>
  <c r="I30" i="3"/>
  <c r="K30" i="3"/>
  <c r="M30" i="3"/>
  <c r="G29" i="3"/>
  <c r="I29" i="3"/>
  <c r="K29" i="3"/>
  <c r="M29" i="3"/>
  <c r="G28" i="3"/>
  <c r="I28" i="3"/>
  <c r="K28" i="3"/>
  <c r="M28" i="3"/>
  <c r="G27" i="3"/>
  <c r="I27" i="3"/>
  <c r="K27" i="3"/>
  <c r="M27" i="3"/>
  <c r="G26" i="3"/>
  <c r="I26" i="3"/>
  <c r="K26" i="3"/>
  <c r="M26" i="3"/>
  <c r="G25" i="3"/>
  <c r="I25" i="3"/>
  <c r="K25" i="3"/>
  <c r="M25" i="3"/>
  <c r="G24" i="3"/>
  <c r="I24" i="3"/>
  <c r="K24" i="3"/>
  <c r="M24" i="3"/>
  <c r="G23" i="3"/>
  <c r="I23" i="3"/>
  <c r="K23" i="3"/>
  <c r="M23" i="3"/>
  <c r="G22" i="3"/>
  <c r="I22" i="3"/>
  <c r="K22" i="3"/>
  <c r="M22" i="3"/>
  <c r="G21" i="3"/>
  <c r="I21" i="3"/>
  <c r="K21" i="3"/>
  <c r="M21" i="3"/>
  <c r="G20" i="3"/>
  <c r="I20" i="3"/>
  <c r="K20" i="3"/>
  <c r="M20" i="3"/>
  <c r="G19" i="3"/>
  <c r="I19" i="3"/>
  <c r="K19" i="3"/>
  <c r="M19" i="3"/>
  <c r="G18" i="3"/>
  <c r="I18" i="3"/>
  <c r="K18" i="3"/>
  <c r="M18" i="3"/>
  <c r="G17" i="3"/>
  <c r="I17" i="3"/>
  <c r="K17" i="3"/>
  <c r="M17" i="3"/>
  <c r="G16" i="3"/>
  <c r="I16" i="3"/>
  <c r="K16" i="3"/>
  <c r="M16" i="3"/>
  <c r="G15" i="3"/>
  <c r="I15" i="3"/>
  <c r="K15" i="3"/>
  <c r="M15" i="3"/>
  <c r="G14" i="3"/>
  <c r="I14" i="3"/>
  <c r="K14" i="3"/>
  <c r="M14" i="3"/>
  <c r="G13" i="3"/>
  <c r="I13" i="3"/>
  <c r="K13" i="3"/>
  <c r="M13" i="3"/>
  <c r="G12" i="3"/>
  <c r="I12" i="3"/>
  <c r="K12" i="3"/>
  <c r="M12" i="3"/>
  <c r="B67" i="4"/>
  <c r="B7" i="5"/>
  <c r="B82" i="7"/>
  <c r="G11" i="3"/>
  <c r="I11" i="3"/>
  <c r="K11" i="3"/>
  <c r="M11" i="3"/>
  <c r="E69" i="3"/>
  <c r="D69" i="3" s="1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38" i="5"/>
  <c r="X39" i="5"/>
  <c r="X41" i="5"/>
  <c r="X42" i="5"/>
  <c r="X43" i="5"/>
  <c r="X44" i="5"/>
  <c r="X80" i="5"/>
  <c r="X37" i="5"/>
  <c r="X40" i="5"/>
  <c r="B82" i="5"/>
  <c r="B82" i="6"/>
  <c r="B92" i="5" l="1"/>
  <c r="C92" i="5"/>
  <c r="B4" i="4"/>
  <c r="G7" i="8"/>
  <c r="B8" i="5"/>
  <c r="B9" i="5" s="1"/>
  <c r="R528" i="5"/>
  <c r="B7" i="8"/>
  <c r="H7" i="8" s="1"/>
  <c r="C69" i="3"/>
  <c r="I69" i="3"/>
  <c r="M69" i="3"/>
  <c r="G69" i="3"/>
  <c r="K69" i="3"/>
  <c r="D92" i="5" l="1"/>
  <c r="E92" i="5" s="1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9" i="4"/>
  <c r="D31" i="4"/>
  <c r="D35" i="4"/>
  <c r="D37" i="4"/>
  <c r="D38" i="4"/>
  <c r="D40" i="4"/>
  <c r="D42" i="4"/>
  <c r="D46" i="4"/>
  <c r="D49" i="4"/>
  <c r="D60" i="4"/>
  <c r="D62" i="4"/>
  <c r="D64" i="4"/>
  <c r="D23" i="4"/>
  <c r="D28" i="4"/>
  <c r="D34" i="4"/>
  <c r="D39" i="4"/>
  <c r="D52" i="4"/>
  <c r="D54" i="4"/>
  <c r="D65" i="4"/>
  <c r="D22" i="4"/>
  <c r="D25" i="4"/>
  <c r="D26" i="4"/>
  <c r="D33" i="4"/>
  <c r="D43" i="4"/>
  <c r="D48" i="4"/>
  <c r="D50" i="4"/>
  <c r="D51" i="4"/>
  <c r="D53" i="4"/>
  <c r="D57" i="4"/>
  <c r="D58" i="4"/>
  <c r="D59" i="4"/>
  <c r="D27" i="4"/>
  <c r="D41" i="4"/>
  <c r="D44" i="4"/>
  <c r="D55" i="4"/>
  <c r="D56" i="4"/>
  <c r="D61" i="4"/>
  <c r="D63" i="4"/>
  <c r="D24" i="4"/>
  <c r="D30" i="4"/>
  <c r="D32" i="4"/>
  <c r="D36" i="4"/>
  <c r="D45" i="4"/>
  <c r="D47" i="4"/>
  <c r="H69" i="3"/>
  <c r="D7" i="8"/>
  <c r="L69" i="3"/>
  <c r="F7" i="8"/>
  <c r="F69" i="3"/>
  <c r="C7" i="8"/>
  <c r="I7" i="8" s="1"/>
  <c r="J69" i="3"/>
  <c r="E7" i="8"/>
  <c r="B11" i="5"/>
  <c r="B13" i="5"/>
  <c r="B15" i="5" s="1"/>
  <c r="C93" i="5" l="1"/>
  <c r="B93" i="5"/>
  <c r="D93" i="5" s="1"/>
  <c r="E93" i="5" s="1"/>
  <c r="F9" i="4"/>
  <c r="H9" i="4"/>
  <c r="J9" i="4"/>
  <c r="L9" i="4"/>
  <c r="C9" i="4"/>
  <c r="E9" i="4" s="1"/>
  <c r="F10" i="4"/>
  <c r="H10" i="4"/>
  <c r="J10" i="4"/>
  <c r="L10" i="4"/>
  <c r="C10" i="4"/>
  <c r="E10" i="4" s="1"/>
  <c r="F11" i="4"/>
  <c r="H11" i="4"/>
  <c r="J11" i="4"/>
  <c r="L11" i="4"/>
  <c r="C11" i="4"/>
  <c r="E11" i="4" s="1"/>
  <c r="F12" i="4"/>
  <c r="H12" i="4"/>
  <c r="J12" i="4"/>
  <c r="L12" i="4"/>
  <c r="C12" i="4"/>
  <c r="E12" i="4" s="1"/>
  <c r="F13" i="4"/>
  <c r="H13" i="4"/>
  <c r="J13" i="4"/>
  <c r="L13" i="4"/>
  <c r="C13" i="4"/>
  <c r="E13" i="4" s="1"/>
  <c r="F14" i="4"/>
  <c r="H14" i="4"/>
  <c r="J14" i="4"/>
  <c r="L14" i="4"/>
  <c r="C14" i="4"/>
  <c r="E14" i="4" s="1"/>
  <c r="F15" i="4"/>
  <c r="H15" i="4"/>
  <c r="J15" i="4"/>
  <c r="L15" i="4"/>
  <c r="C15" i="4"/>
  <c r="E15" i="4" s="1"/>
  <c r="F16" i="4"/>
  <c r="H16" i="4"/>
  <c r="J16" i="4"/>
  <c r="L16" i="4"/>
  <c r="C16" i="4"/>
  <c r="E16" i="4" s="1"/>
  <c r="F17" i="4"/>
  <c r="H17" i="4"/>
  <c r="J17" i="4"/>
  <c r="L17" i="4"/>
  <c r="C17" i="4"/>
  <c r="E17" i="4" s="1"/>
  <c r="F18" i="4"/>
  <c r="H18" i="4"/>
  <c r="J18" i="4"/>
  <c r="L18" i="4"/>
  <c r="C18" i="4"/>
  <c r="E18" i="4" s="1"/>
  <c r="F19" i="4"/>
  <c r="H19" i="4"/>
  <c r="J19" i="4"/>
  <c r="L19" i="4"/>
  <c r="C19" i="4"/>
  <c r="E19" i="4" s="1"/>
  <c r="F20" i="4"/>
  <c r="J20" i="4"/>
  <c r="H20" i="4"/>
  <c r="L20" i="4"/>
  <c r="C20" i="4"/>
  <c r="E20" i="4" s="1"/>
  <c r="J21" i="4"/>
  <c r="H21" i="4"/>
  <c r="C21" i="4"/>
  <c r="E21" i="4" s="1"/>
  <c r="F21" i="4"/>
  <c r="L21" i="4"/>
  <c r="H29" i="4"/>
  <c r="J29" i="4"/>
  <c r="F29" i="4"/>
  <c r="C29" i="4"/>
  <c r="E29" i="4" s="1"/>
  <c r="L29" i="4"/>
  <c r="H31" i="4"/>
  <c r="F31" i="4"/>
  <c r="L31" i="4"/>
  <c r="C31" i="4"/>
  <c r="E31" i="4" s="1"/>
  <c r="J31" i="4"/>
  <c r="J35" i="4"/>
  <c r="C35" i="4"/>
  <c r="E35" i="4" s="1"/>
  <c r="F35" i="4"/>
  <c r="H35" i="4"/>
  <c r="L35" i="4"/>
  <c r="H37" i="4"/>
  <c r="J37" i="4"/>
  <c r="F37" i="4"/>
  <c r="C37" i="4"/>
  <c r="E37" i="4" s="1"/>
  <c r="L37" i="4"/>
  <c r="L38" i="4"/>
  <c r="C38" i="4"/>
  <c r="E38" i="4" s="1"/>
  <c r="H38" i="4"/>
  <c r="F38" i="4"/>
  <c r="J38" i="4"/>
  <c r="L40" i="4"/>
  <c r="C40" i="4"/>
  <c r="E40" i="4" s="1"/>
  <c r="F40" i="4"/>
  <c r="J40" i="4"/>
  <c r="H40" i="4"/>
  <c r="F42" i="4"/>
  <c r="H42" i="4"/>
  <c r="L42" i="4"/>
  <c r="C42" i="4"/>
  <c r="E42" i="4" s="1"/>
  <c r="J42" i="4"/>
  <c r="H46" i="4"/>
  <c r="F46" i="4"/>
  <c r="J46" i="4"/>
  <c r="L46" i="4"/>
  <c r="C46" i="4"/>
  <c r="E46" i="4" s="1"/>
  <c r="F49" i="4"/>
  <c r="J49" i="4"/>
  <c r="H49" i="4"/>
  <c r="L49" i="4"/>
  <c r="C49" i="4"/>
  <c r="E49" i="4" s="1"/>
  <c r="L60" i="4"/>
  <c r="C60" i="4"/>
  <c r="E60" i="4" s="1"/>
  <c r="J60" i="4"/>
  <c r="F60" i="4"/>
  <c r="H60" i="4"/>
  <c r="H62" i="4"/>
  <c r="L62" i="4"/>
  <c r="C62" i="4"/>
  <c r="E62" i="4" s="1"/>
  <c r="F62" i="4"/>
  <c r="J62" i="4"/>
  <c r="F64" i="4"/>
  <c r="J64" i="4"/>
  <c r="L64" i="4"/>
  <c r="C64" i="4"/>
  <c r="E64" i="4" s="1"/>
  <c r="H64" i="4"/>
  <c r="J23" i="4"/>
  <c r="F23" i="4"/>
  <c r="C23" i="4"/>
  <c r="E23" i="4" s="1"/>
  <c r="H23" i="4"/>
  <c r="L23" i="4"/>
  <c r="J28" i="4"/>
  <c r="C28" i="4"/>
  <c r="E28" i="4" s="1"/>
  <c r="H28" i="4"/>
  <c r="L28" i="4"/>
  <c r="F28" i="4"/>
  <c r="H34" i="4"/>
  <c r="F34" i="4"/>
  <c r="L34" i="4"/>
  <c r="J34" i="4"/>
  <c r="C34" i="4"/>
  <c r="E34" i="4" s="1"/>
  <c r="F39" i="4"/>
  <c r="J39" i="4"/>
  <c r="L39" i="4"/>
  <c r="C39" i="4"/>
  <c r="E39" i="4" s="1"/>
  <c r="H39" i="4"/>
  <c r="J52" i="4"/>
  <c r="L52" i="4"/>
  <c r="H52" i="4"/>
  <c r="F52" i="4"/>
  <c r="C52" i="4"/>
  <c r="E52" i="4" s="1"/>
  <c r="L54" i="4"/>
  <c r="H54" i="4"/>
  <c r="C54" i="4"/>
  <c r="E54" i="4" s="1"/>
  <c r="F54" i="4"/>
  <c r="J54" i="4"/>
  <c r="J65" i="4"/>
  <c r="F65" i="4"/>
  <c r="C65" i="4"/>
  <c r="E65" i="4" s="1"/>
  <c r="H65" i="4"/>
  <c r="L65" i="4"/>
  <c r="L22" i="4"/>
  <c r="H22" i="4"/>
  <c r="J22" i="4"/>
  <c r="C22" i="4"/>
  <c r="E22" i="4" s="1"/>
  <c r="F22" i="4"/>
  <c r="L25" i="4"/>
  <c r="F25" i="4"/>
  <c r="J25" i="4"/>
  <c r="C25" i="4"/>
  <c r="E25" i="4" s="1"/>
  <c r="H25" i="4"/>
  <c r="H26" i="4"/>
  <c r="J26" i="4"/>
  <c r="L26" i="4"/>
  <c r="F26" i="4"/>
  <c r="C26" i="4"/>
  <c r="E26" i="4" s="1"/>
  <c r="J33" i="4"/>
  <c r="C33" i="4"/>
  <c r="E33" i="4" s="1"/>
  <c r="H33" i="4"/>
  <c r="L33" i="4"/>
  <c r="F33" i="4"/>
  <c r="C43" i="4"/>
  <c r="E43" i="4" s="1"/>
  <c r="H43" i="4"/>
  <c r="L43" i="4"/>
  <c r="J43" i="4"/>
  <c r="F43" i="4"/>
  <c r="J48" i="4"/>
  <c r="C48" i="4"/>
  <c r="E48" i="4" s="1"/>
  <c r="H48" i="4"/>
  <c r="L48" i="4"/>
  <c r="F48" i="4"/>
  <c r="H50" i="4"/>
  <c r="J50" i="4"/>
  <c r="F50" i="4"/>
  <c r="C50" i="4"/>
  <c r="E50" i="4" s="1"/>
  <c r="L50" i="4"/>
  <c r="J51" i="4"/>
  <c r="F51" i="4"/>
  <c r="C51" i="4"/>
  <c r="E51" i="4" s="1"/>
  <c r="H51" i="4"/>
  <c r="L51" i="4"/>
  <c r="F53" i="4"/>
  <c r="L53" i="4"/>
  <c r="J53" i="4"/>
  <c r="C53" i="4"/>
  <c r="E53" i="4" s="1"/>
  <c r="H53" i="4"/>
  <c r="J57" i="4"/>
  <c r="H57" i="4"/>
  <c r="L57" i="4"/>
  <c r="C57" i="4"/>
  <c r="E57" i="4" s="1"/>
  <c r="F57" i="4"/>
  <c r="C58" i="4"/>
  <c r="E58" i="4" s="1"/>
  <c r="H58" i="4"/>
  <c r="F58" i="4"/>
  <c r="J58" i="4"/>
  <c r="L58" i="4"/>
  <c r="F59" i="4"/>
  <c r="J59" i="4"/>
  <c r="C59" i="4"/>
  <c r="E59" i="4" s="1"/>
  <c r="H59" i="4"/>
  <c r="L59" i="4"/>
  <c r="H27" i="4"/>
  <c r="F27" i="4"/>
  <c r="J27" i="4"/>
  <c r="C27" i="4"/>
  <c r="E27" i="4" s="1"/>
  <c r="L27" i="4"/>
  <c r="H41" i="4"/>
  <c r="L41" i="4"/>
  <c r="F41" i="4"/>
  <c r="C41" i="4"/>
  <c r="E41" i="4" s="1"/>
  <c r="J41" i="4"/>
  <c r="J44" i="4"/>
  <c r="L44" i="4"/>
  <c r="C44" i="4"/>
  <c r="E44" i="4" s="1"/>
  <c r="H44" i="4"/>
  <c r="F44" i="4"/>
  <c r="H55" i="4"/>
  <c r="L55" i="4"/>
  <c r="J55" i="4"/>
  <c r="C55" i="4"/>
  <c r="E55" i="4" s="1"/>
  <c r="F55" i="4"/>
  <c r="H56" i="4"/>
  <c r="L56" i="4"/>
  <c r="F56" i="4"/>
  <c r="J56" i="4"/>
  <c r="C56" i="4"/>
  <c r="E56" i="4" s="1"/>
  <c r="H61" i="4"/>
  <c r="C61" i="4"/>
  <c r="E61" i="4" s="1"/>
  <c r="L61" i="4"/>
  <c r="F61" i="4"/>
  <c r="J61" i="4"/>
  <c r="J63" i="4"/>
  <c r="F63" i="4"/>
  <c r="C63" i="4"/>
  <c r="E63" i="4" s="1"/>
  <c r="L63" i="4"/>
  <c r="H63" i="4"/>
  <c r="L24" i="4"/>
  <c r="C24" i="4"/>
  <c r="E24" i="4" s="1"/>
  <c r="J24" i="4"/>
  <c r="F24" i="4"/>
  <c r="H24" i="4"/>
  <c r="L30" i="4"/>
  <c r="F30" i="4"/>
  <c r="C30" i="4"/>
  <c r="E30" i="4" s="1"/>
  <c r="H30" i="4"/>
  <c r="J30" i="4"/>
  <c r="L32" i="4"/>
  <c r="F32" i="4"/>
  <c r="C32" i="4"/>
  <c r="E32" i="4" s="1"/>
  <c r="H32" i="4"/>
  <c r="J32" i="4"/>
  <c r="H36" i="4"/>
  <c r="C36" i="4"/>
  <c r="E36" i="4" s="1"/>
  <c r="F36" i="4"/>
  <c r="J36" i="4"/>
  <c r="L36" i="4"/>
  <c r="H45" i="4"/>
  <c r="L45" i="4"/>
  <c r="F45" i="4"/>
  <c r="J45" i="4"/>
  <c r="C45" i="4"/>
  <c r="E45" i="4" s="1"/>
  <c r="H47" i="4"/>
  <c r="J47" i="4"/>
  <c r="C47" i="4"/>
  <c r="E47" i="4" s="1"/>
  <c r="L47" i="4"/>
  <c r="F47" i="4"/>
  <c r="B12" i="5"/>
  <c r="G11" i="7"/>
  <c r="G10" i="7"/>
  <c r="G9" i="7"/>
  <c r="G8" i="7"/>
  <c r="C11" i="6"/>
  <c r="C10" i="6"/>
  <c r="C9" i="6"/>
  <c r="C8" i="6"/>
  <c r="C94" i="5" l="1"/>
  <c r="B94" i="5"/>
  <c r="D94" i="5" s="1"/>
  <c r="E94" i="5" s="1"/>
  <c r="E67" i="4"/>
  <c r="M9" i="4"/>
  <c r="K9" i="4"/>
  <c r="I9" i="4"/>
  <c r="G9" i="4"/>
  <c r="M10" i="4"/>
  <c r="K10" i="4"/>
  <c r="I10" i="4"/>
  <c r="G10" i="4"/>
  <c r="M11" i="4"/>
  <c r="K11" i="4"/>
  <c r="I11" i="4"/>
  <c r="G11" i="4"/>
  <c r="M12" i="4"/>
  <c r="K12" i="4"/>
  <c r="I12" i="4"/>
  <c r="G12" i="4"/>
  <c r="M13" i="4"/>
  <c r="K13" i="4"/>
  <c r="I13" i="4"/>
  <c r="G13" i="4"/>
  <c r="M14" i="4"/>
  <c r="K14" i="4"/>
  <c r="I14" i="4"/>
  <c r="G14" i="4"/>
  <c r="M15" i="4"/>
  <c r="K15" i="4"/>
  <c r="I15" i="4"/>
  <c r="G15" i="4"/>
  <c r="M16" i="4"/>
  <c r="K16" i="4"/>
  <c r="I16" i="4"/>
  <c r="G16" i="4"/>
  <c r="M17" i="4"/>
  <c r="K17" i="4"/>
  <c r="I17" i="4"/>
  <c r="G17" i="4"/>
  <c r="M18" i="4"/>
  <c r="K18" i="4"/>
  <c r="I18" i="4"/>
  <c r="G18" i="4"/>
  <c r="M19" i="4"/>
  <c r="K19" i="4"/>
  <c r="I19" i="4"/>
  <c r="G19" i="4"/>
  <c r="K20" i="4"/>
  <c r="I20" i="4"/>
  <c r="M20" i="4"/>
  <c r="G20" i="4"/>
  <c r="M21" i="4"/>
  <c r="I21" i="4"/>
  <c r="G21" i="4"/>
  <c r="K21" i="4"/>
  <c r="G29" i="4"/>
  <c r="I29" i="4"/>
  <c r="K29" i="4"/>
  <c r="M29" i="4"/>
  <c r="G31" i="4"/>
  <c r="M31" i="4"/>
  <c r="I31" i="4"/>
  <c r="K31" i="4"/>
  <c r="K35" i="4"/>
  <c r="I35" i="4"/>
  <c r="M35" i="4"/>
  <c r="G35" i="4"/>
  <c r="G37" i="4"/>
  <c r="I37" i="4"/>
  <c r="M37" i="4"/>
  <c r="K37" i="4"/>
  <c r="G38" i="4"/>
  <c r="I38" i="4"/>
  <c r="K38" i="4"/>
  <c r="M38" i="4"/>
  <c r="I40" i="4"/>
  <c r="G40" i="4"/>
  <c r="M40" i="4"/>
  <c r="K40" i="4"/>
  <c r="I42" i="4"/>
  <c r="K42" i="4"/>
  <c r="G42" i="4"/>
  <c r="M42" i="4"/>
  <c r="K46" i="4"/>
  <c r="M46" i="4"/>
  <c r="G46" i="4"/>
  <c r="I46" i="4"/>
  <c r="K49" i="4"/>
  <c r="M49" i="4"/>
  <c r="G49" i="4"/>
  <c r="I49" i="4"/>
  <c r="M60" i="4"/>
  <c r="K60" i="4"/>
  <c r="I60" i="4"/>
  <c r="G60" i="4"/>
  <c r="G62" i="4"/>
  <c r="K62" i="4"/>
  <c r="M62" i="4"/>
  <c r="I62" i="4"/>
  <c r="M64" i="4"/>
  <c r="K64" i="4"/>
  <c r="I64" i="4"/>
  <c r="G64" i="4"/>
  <c r="K23" i="4"/>
  <c r="G23" i="4"/>
  <c r="M23" i="4"/>
  <c r="I23" i="4"/>
  <c r="G28" i="4"/>
  <c r="K28" i="4"/>
  <c r="M28" i="4"/>
  <c r="I28" i="4"/>
  <c r="K34" i="4"/>
  <c r="G34" i="4"/>
  <c r="M34" i="4"/>
  <c r="I34" i="4"/>
  <c r="K39" i="4"/>
  <c r="M39" i="4"/>
  <c r="G39" i="4"/>
  <c r="I39" i="4"/>
  <c r="M52" i="4"/>
  <c r="G52" i="4"/>
  <c r="I52" i="4"/>
  <c r="K52" i="4"/>
  <c r="I54" i="4"/>
  <c r="G54" i="4"/>
  <c r="M54" i="4"/>
  <c r="K54" i="4"/>
  <c r="I65" i="4"/>
  <c r="K65" i="4"/>
  <c r="M65" i="4"/>
  <c r="G65" i="4"/>
  <c r="G22" i="4"/>
  <c r="I22" i="4"/>
  <c r="K22" i="4"/>
  <c r="M22" i="4"/>
  <c r="M25" i="4"/>
  <c r="K25" i="4"/>
  <c r="I25" i="4"/>
  <c r="G25" i="4"/>
  <c r="K26" i="4"/>
  <c r="G26" i="4"/>
  <c r="M26" i="4"/>
  <c r="I26" i="4"/>
  <c r="M33" i="4"/>
  <c r="G33" i="4"/>
  <c r="K33" i="4"/>
  <c r="I33" i="4"/>
  <c r="K43" i="4"/>
  <c r="I43" i="4"/>
  <c r="G43" i="4"/>
  <c r="M43" i="4"/>
  <c r="M48" i="4"/>
  <c r="G48" i="4"/>
  <c r="K48" i="4"/>
  <c r="I48" i="4"/>
  <c r="G50" i="4"/>
  <c r="M50" i="4"/>
  <c r="K50" i="4"/>
  <c r="I50" i="4"/>
  <c r="M51" i="4"/>
  <c r="K51" i="4"/>
  <c r="I51" i="4"/>
  <c r="G51" i="4"/>
  <c r="I53" i="4"/>
  <c r="K53" i="4"/>
  <c r="M53" i="4"/>
  <c r="G53" i="4"/>
  <c r="M57" i="4"/>
  <c r="G57" i="4"/>
  <c r="I57" i="4"/>
  <c r="K57" i="4"/>
  <c r="I58" i="4"/>
  <c r="M58" i="4"/>
  <c r="K58" i="4"/>
  <c r="G58" i="4"/>
  <c r="K59" i="4"/>
  <c r="G59" i="4"/>
  <c r="M59" i="4"/>
  <c r="I59" i="4"/>
  <c r="M27" i="4"/>
  <c r="K27" i="4"/>
  <c r="G27" i="4"/>
  <c r="I27" i="4"/>
  <c r="I41" i="4"/>
  <c r="G41" i="4"/>
  <c r="M41" i="4"/>
  <c r="K41" i="4"/>
  <c r="M44" i="4"/>
  <c r="K44" i="4"/>
  <c r="G44" i="4"/>
  <c r="I44" i="4"/>
  <c r="K55" i="4"/>
  <c r="G55" i="4"/>
  <c r="M55" i="4"/>
  <c r="I55" i="4"/>
  <c r="M56" i="4"/>
  <c r="K56" i="4"/>
  <c r="G56" i="4"/>
  <c r="I56" i="4"/>
  <c r="G61" i="4"/>
  <c r="M61" i="4"/>
  <c r="K61" i="4"/>
  <c r="I61" i="4"/>
  <c r="G63" i="4"/>
  <c r="M63" i="4"/>
  <c r="I63" i="4"/>
  <c r="K63" i="4"/>
  <c r="I24" i="4"/>
  <c r="M24" i="4"/>
  <c r="K24" i="4"/>
  <c r="G24" i="4"/>
  <c r="G30" i="4"/>
  <c r="M30" i="4"/>
  <c r="I30" i="4"/>
  <c r="K30" i="4"/>
  <c r="K32" i="4"/>
  <c r="G32" i="4"/>
  <c r="I32" i="4"/>
  <c r="M32" i="4"/>
  <c r="G36" i="4"/>
  <c r="K36" i="4"/>
  <c r="I36" i="4"/>
  <c r="M36" i="4"/>
  <c r="M45" i="4"/>
  <c r="K45" i="4"/>
  <c r="I45" i="4"/>
  <c r="G45" i="4"/>
  <c r="G47" i="4"/>
  <c r="M47" i="4"/>
  <c r="I47" i="4"/>
  <c r="K47" i="4"/>
  <c r="D67" i="4" l="1"/>
  <c r="G8" i="8" s="1"/>
  <c r="B8" i="8"/>
  <c r="C67" i="4"/>
  <c r="C95" i="5"/>
  <c r="B95" i="5"/>
  <c r="G67" i="4"/>
  <c r="M67" i="4"/>
  <c r="I67" i="4"/>
  <c r="K67" i="4"/>
  <c r="D95" i="5" l="1"/>
  <c r="E95" i="5" s="1"/>
  <c r="H8" i="8"/>
  <c r="B16" i="8"/>
  <c r="F67" i="4"/>
  <c r="C8" i="8"/>
  <c r="L67" i="4"/>
  <c r="F8" i="8"/>
  <c r="F16" i="8" s="1"/>
  <c r="H67" i="4"/>
  <c r="D8" i="8"/>
  <c r="D16" i="8" s="1"/>
  <c r="J67" i="4"/>
  <c r="E8" i="8"/>
  <c r="E16" i="8" s="1"/>
  <c r="B96" i="5" l="1"/>
  <c r="C96" i="5"/>
  <c r="I8" i="8"/>
  <c r="C16" i="8"/>
  <c r="D96" i="5" l="1"/>
  <c r="E96" i="5" s="1"/>
  <c r="C97" i="5" l="1"/>
  <c r="B97" i="5"/>
  <c r="D97" i="5" s="1"/>
  <c r="E97" i="5" s="1"/>
  <c r="B98" i="5" l="1"/>
  <c r="C98" i="5"/>
  <c r="D98" i="5" l="1"/>
  <c r="E98" i="5" s="1"/>
  <c r="C99" i="5" l="1"/>
  <c r="B99" i="5"/>
  <c r="D99" i="5" s="1"/>
  <c r="E99" i="5" s="1"/>
  <c r="C100" i="5"/>
  <c r="B100" i="5"/>
  <c r="D100" i="5" l="1"/>
  <c r="E100" i="5" s="1"/>
  <c r="B101" i="5" l="1"/>
  <c r="C101" i="5"/>
  <c r="D101" i="5" l="1"/>
  <c r="E101" i="5" s="1"/>
  <c r="C102" i="5" l="1"/>
  <c r="D102" i="5" s="1"/>
  <c r="E102" i="5" s="1"/>
  <c r="B102" i="5"/>
  <c r="C103" i="5" l="1"/>
  <c r="B103" i="5"/>
  <c r="D103" i="5" l="1"/>
  <c r="E103" i="5" s="1"/>
  <c r="B104" i="5" l="1"/>
  <c r="C104" i="5"/>
  <c r="D104" i="5" l="1"/>
  <c r="E104" i="5" s="1"/>
  <c r="C105" i="5" l="1"/>
  <c r="B105" i="5"/>
  <c r="D105" i="5" s="1"/>
  <c r="E105" i="5" s="1"/>
  <c r="B106" i="5" l="1"/>
  <c r="C106" i="5"/>
  <c r="D106" i="5"/>
  <c r="E106" i="5" s="1"/>
  <c r="C107" i="5" l="1"/>
  <c r="B107" i="5"/>
  <c r="D107" i="5" l="1"/>
  <c r="E107" i="5" s="1"/>
  <c r="C108" i="5" l="1"/>
  <c r="B108" i="5"/>
  <c r="D108" i="5" s="1"/>
  <c r="E108" i="5" s="1"/>
  <c r="B109" i="5" l="1"/>
  <c r="D109" i="5" s="1"/>
  <c r="E109" i="5" s="1"/>
  <c r="C109" i="5"/>
  <c r="B110" i="5" l="1"/>
  <c r="D110" i="5" s="1"/>
  <c r="E110" i="5" s="1"/>
  <c r="C110" i="5"/>
  <c r="C111" i="5" l="1"/>
  <c r="B111" i="5"/>
  <c r="D111" i="5" l="1"/>
  <c r="E111" i="5" s="1"/>
  <c r="C112" i="5" l="1"/>
  <c r="B112" i="5"/>
  <c r="D112" i="5" s="1"/>
  <c r="E112" i="5" s="1"/>
  <c r="B113" i="5" l="1"/>
  <c r="C113" i="5"/>
  <c r="D113" i="5" l="1"/>
  <c r="E113" i="5" s="1"/>
  <c r="B114" i="5" l="1"/>
  <c r="D114" i="5" s="1"/>
  <c r="E114" i="5" s="1"/>
  <c r="C114" i="5"/>
  <c r="B115" i="5" l="1"/>
  <c r="D115" i="5" s="1"/>
  <c r="E115" i="5" s="1"/>
  <c r="C115" i="5"/>
  <c r="C116" i="5" l="1"/>
  <c r="B116" i="5"/>
  <c r="D116" i="5" l="1"/>
  <c r="E116" i="5" s="1"/>
  <c r="C117" i="5" l="1"/>
  <c r="B117" i="5"/>
  <c r="D117" i="5" l="1"/>
  <c r="E117" i="5" s="1"/>
  <c r="C118" i="5" l="1"/>
  <c r="B118" i="5"/>
  <c r="D118" i="5" s="1"/>
  <c r="E118" i="5" s="1"/>
  <c r="C119" i="5" l="1"/>
  <c r="B119" i="5"/>
  <c r="D119" i="5" s="1"/>
  <c r="E119" i="5" s="1"/>
  <c r="C120" i="5" l="1"/>
  <c r="B120" i="5"/>
  <c r="D120" i="5" l="1"/>
  <c r="E120" i="5" s="1"/>
  <c r="C121" i="5" l="1"/>
  <c r="B121" i="5"/>
  <c r="D121" i="5" s="1"/>
  <c r="E121" i="5" s="1"/>
  <c r="B122" i="5" l="1"/>
  <c r="C122" i="5"/>
  <c r="D122" i="5" s="1"/>
  <c r="E122" i="5" s="1"/>
  <c r="C123" i="5" l="1"/>
  <c r="B123" i="5"/>
  <c r="D123" i="5"/>
  <c r="E123" i="5" s="1"/>
  <c r="B124" i="5" l="1"/>
  <c r="D124" i="5" s="1"/>
  <c r="E124" i="5" s="1"/>
  <c r="C124" i="5"/>
  <c r="C125" i="5" l="1"/>
  <c r="B125" i="5"/>
  <c r="D125" i="5" l="1"/>
  <c r="E125" i="5" s="1"/>
  <c r="C126" i="5" l="1"/>
  <c r="B126" i="5"/>
  <c r="D126" i="5" l="1"/>
  <c r="E126" i="5" s="1"/>
  <c r="B127" i="5" l="1"/>
  <c r="C127" i="5"/>
  <c r="D127" i="5" l="1"/>
  <c r="E127" i="5" s="1"/>
  <c r="C128" i="5" l="1"/>
  <c r="D128" i="5" s="1"/>
  <c r="E128" i="5" s="1"/>
  <c r="B128" i="5"/>
  <c r="B129" i="5" l="1"/>
  <c r="D129" i="5" s="1"/>
  <c r="E129" i="5" s="1"/>
  <c r="C129" i="5"/>
  <c r="B130" i="5" l="1"/>
  <c r="C130" i="5"/>
  <c r="D130" i="5" l="1"/>
  <c r="E130" i="5" s="1"/>
  <c r="B131" i="5" l="1"/>
  <c r="C131" i="5"/>
  <c r="D131" i="5"/>
  <c r="E131" i="5" s="1"/>
  <c r="B132" i="5" l="1"/>
  <c r="C132" i="5"/>
  <c r="D132" i="5"/>
  <c r="E132" i="5" s="1"/>
  <c r="B133" i="5" l="1"/>
  <c r="C133" i="5"/>
  <c r="D133" i="5" l="1"/>
  <c r="E133" i="5" s="1"/>
  <c r="C134" i="5" l="1"/>
  <c r="B134" i="5"/>
  <c r="D134" i="5" s="1"/>
  <c r="E134" i="5" s="1"/>
  <c r="B135" i="5" l="1"/>
  <c r="D135" i="5" s="1"/>
  <c r="E135" i="5" s="1"/>
  <c r="C135" i="5"/>
  <c r="C136" i="5" l="1"/>
  <c r="B136" i="5"/>
  <c r="D136" i="5" l="1"/>
  <c r="E136" i="5" s="1"/>
  <c r="B137" i="5" l="1"/>
  <c r="C137" i="5"/>
  <c r="D137" i="5" l="1"/>
  <c r="E137" i="5" s="1"/>
  <c r="C138" i="5" l="1"/>
  <c r="B138" i="5"/>
  <c r="D138" i="5" l="1"/>
  <c r="E138" i="5" s="1"/>
  <c r="C139" i="5" l="1"/>
  <c r="B139" i="5"/>
  <c r="D139" i="5" s="1"/>
  <c r="E139" i="5" l="1"/>
  <c r="B16" i="5"/>
  <c r="D272" i="5" l="1"/>
  <c r="E272" i="5" s="1"/>
  <c r="D148" i="5"/>
  <c r="E148" i="5" s="1"/>
  <c r="C338" i="5"/>
  <c r="F338" i="5" s="1"/>
  <c r="H338" i="5" s="1"/>
  <c r="I338" i="5" s="1"/>
  <c r="C316" i="5"/>
  <c r="F316" i="5" s="1"/>
  <c r="H316" i="5" s="1"/>
  <c r="I316" i="5" s="1"/>
  <c r="C424" i="5"/>
  <c r="F424" i="5" s="1"/>
  <c r="H424" i="5" s="1"/>
  <c r="I424" i="5" s="1"/>
  <c r="C273" i="5"/>
  <c r="F273" i="5" s="1"/>
  <c r="H273" i="5" s="1"/>
  <c r="I273" i="5" s="1"/>
  <c r="C428" i="5"/>
  <c r="F428" i="5" s="1"/>
  <c r="H428" i="5" s="1"/>
  <c r="I428" i="5" s="1"/>
  <c r="C372" i="5"/>
  <c r="F372" i="5" s="1"/>
  <c r="H372" i="5" s="1"/>
  <c r="I372" i="5" s="1"/>
  <c r="D282" i="5"/>
  <c r="E282" i="5" s="1"/>
  <c r="C346" i="5"/>
  <c r="F346" i="5" s="1"/>
  <c r="H346" i="5" s="1"/>
  <c r="I346" i="5" s="1"/>
  <c r="C423" i="5"/>
  <c r="F423" i="5" s="1"/>
  <c r="H423" i="5" s="1"/>
  <c r="I423" i="5" s="1"/>
  <c r="C347" i="5"/>
  <c r="F347" i="5" s="1"/>
  <c r="H347" i="5" s="1"/>
  <c r="I347" i="5" s="1"/>
  <c r="C508" i="5"/>
  <c r="F508" i="5" s="1"/>
  <c r="H508" i="5" s="1"/>
  <c r="I508" i="5" s="1"/>
  <c r="C337" i="5"/>
  <c r="F337" i="5" s="1"/>
  <c r="H337" i="5" s="1"/>
  <c r="I337" i="5" s="1"/>
  <c r="C321" i="5"/>
  <c r="F321" i="5" s="1"/>
  <c r="H321" i="5" s="1"/>
  <c r="I321" i="5" s="1"/>
  <c r="C491" i="5"/>
  <c r="F491" i="5" s="1"/>
  <c r="H491" i="5" s="1"/>
  <c r="I491" i="5" s="1"/>
  <c r="C432" i="5"/>
  <c r="F432" i="5" s="1"/>
  <c r="H432" i="5" s="1"/>
  <c r="I432" i="5" s="1"/>
  <c r="D273" i="5"/>
  <c r="E273" i="5" s="1"/>
  <c r="G273" i="5" s="1"/>
  <c r="C325" i="5"/>
  <c r="F325" i="5" s="1"/>
  <c r="H325" i="5" s="1"/>
  <c r="I325" i="5" s="1"/>
  <c r="C315" i="5"/>
  <c r="F315" i="5" s="1"/>
  <c r="H315" i="5" s="1"/>
  <c r="I315" i="5" s="1"/>
  <c r="C310" i="5"/>
  <c r="F310" i="5" s="1"/>
  <c r="H310" i="5" s="1"/>
  <c r="I310" i="5" s="1"/>
  <c r="C306" i="5"/>
  <c r="F306" i="5" s="1"/>
  <c r="H306" i="5" s="1"/>
  <c r="I306" i="5" s="1"/>
  <c r="C299" i="5"/>
  <c r="F299" i="5" s="1"/>
  <c r="H299" i="5" s="1"/>
  <c r="I299" i="5" s="1"/>
  <c r="C292" i="5"/>
  <c r="F292" i="5" s="1"/>
  <c r="H292" i="5" s="1"/>
  <c r="I292" i="5" s="1"/>
  <c r="C289" i="5"/>
  <c r="F289" i="5" s="1"/>
  <c r="H289" i="5" s="1"/>
  <c r="I289" i="5" s="1"/>
  <c r="C285" i="5"/>
  <c r="F285" i="5" s="1"/>
  <c r="H285" i="5" s="1"/>
  <c r="I285" i="5" s="1"/>
  <c r="C506" i="5"/>
  <c r="F506" i="5" s="1"/>
  <c r="H506" i="5" s="1"/>
  <c r="I506" i="5" s="1"/>
  <c r="C253" i="5"/>
  <c r="F253" i="5" s="1"/>
  <c r="H253" i="5" s="1"/>
  <c r="I253" i="5" s="1"/>
  <c r="C457" i="5"/>
  <c r="F457" i="5" s="1"/>
  <c r="H457" i="5" s="1"/>
  <c r="I457" i="5" s="1"/>
  <c r="D491" i="5"/>
  <c r="E491" i="5" s="1"/>
  <c r="G491" i="5" s="1"/>
  <c r="D513" i="5"/>
  <c r="E513" i="5" s="1"/>
  <c r="D451" i="5"/>
  <c r="E451" i="5" s="1"/>
  <c r="D411" i="5"/>
  <c r="E411" i="5" s="1"/>
  <c r="D353" i="5"/>
  <c r="E353" i="5" s="1"/>
  <c r="C248" i="5"/>
  <c r="F248" i="5" s="1"/>
  <c r="H248" i="5" s="1"/>
  <c r="I248" i="5" s="1"/>
  <c r="C210" i="5"/>
  <c r="F210" i="5" s="1"/>
  <c r="H210" i="5" s="1"/>
  <c r="I210" i="5" s="1"/>
  <c r="C205" i="5"/>
  <c r="F205" i="5" s="1"/>
  <c r="H205" i="5" s="1"/>
  <c r="I205" i="5" s="1"/>
  <c r="C472" i="5"/>
  <c r="F472" i="5" s="1"/>
  <c r="H472" i="5" s="1"/>
  <c r="I472" i="5" s="1"/>
  <c r="C427" i="5"/>
  <c r="F427" i="5" s="1"/>
  <c r="H427" i="5" s="1"/>
  <c r="I427" i="5" s="1"/>
  <c r="C524" i="5"/>
  <c r="F524" i="5" s="1"/>
  <c r="H524" i="5" s="1"/>
  <c r="I524" i="5" s="1"/>
  <c r="C519" i="5"/>
  <c r="F519" i="5" s="1"/>
  <c r="H519" i="5" s="1"/>
  <c r="I519" i="5" s="1"/>
  <c r="C515" i="5"/>
  <c r="F515" i="5" s="1"/>
  <c r="H515" i="5" s="1"/>
  <c r="I515" i="5" s="1"/>
  <c r="C504" i="5"/>
  <c r="F504" i="5" s="1"/>
  <c r="H504" i="5" s="1"/>
  <c r="I504" i="5" s="1"/>
  <c r="C478" i="5"/>
  <c r="F478" i="5" s="1"/>
  <c r="H478" i="5" s="1"/>
  <c r="I478" i="5" s="1"/>
  <c r="C421" i="5"/>
  <c r="F421" i="5" s="1"/>
  <c r="H421" i="5" s="1"/>
  <c r="I421" i="5" s="1"/>
  <c r="D487" i="5"/>
  <c r="E487" i="5" s="1"/>
  <c r="D293" i="5"/>
  <c r="E293" i="5" s="1"/>
  <c r="D522" i="5"/>
  <c r="E522" i="5" s="1"/>
  <c r="D515" i="5"/>
  <c r="E515" i="5" s="1"/>
  <c r="D506" i="5"/>
  <c r="E506" i="5" s="1"/>
  <c r="D498" i="5"/>
  <c r="E498" i="5" s="1"/>
  <c r="D457" i="5"/>
  <c r="E457" i="5" s="1"/>
  <c r="D448" i="5"/>
  <c r="E448" i="5" s="1"/>
  <c r="D444" i="5"/>
  <c r="E444" i="5" s="1"/>
  <c r="D398" i="5"/>
  <c r="E398" i="5" s="1"/>
  <c r="D358" i="5"/>
  <c r="E358" i="5" s="1"/>
  <c r="C264" i="5"/>
  <c r="F264" i="5" s="1"/>
  <c r="H264" i="5" s="1"/>
  <c r="I264" i="5" s="1"/>
  <c r="C262" i="5"/>
  <c r="F262" i="5" s="1"/>
  <c r="H262" i="5" s="1"/>
  <c r="I262" i="5" s="1"/>
  <c r="C215" i="5"/>
  <c r="F215" i="5" s="1"/>
  <c r="H215" i="5" s="1"/>
  <c r="I215" i="5" s="1"/>
  <c r="C209" i="5"/>
  <c r="F209" i="5" s="1"/>
  <c r="H209" i="5" s="1"/>
  <c r="I209" i="5" s="1"/>
  <c r="C204" i="5"/>
  <c r="F204" i="5" s="1"/>
  <c r="H204" i="5" s="1"/>
  <c r="I204" i="5" s="1"/>
  <c r="C467" i="5"/>
  <c r="F467" i="5" s="1"/>
  <c r="H467" i="5" s="1"/>
  <c r="I467" i="5" s="1"/>
  <c r="C477" i="5"/>
  <c r="F477" i="5" s="1"/>
  <c r="H477" i="5" s="1"/>
  <c r="I477" i="5" s="1"/>
  <c r="C526" i="5"/>
  <c r="F526" i="5" s="1"/>
  <c r="H526" i="5" s="1"/>
  <c r="I526" i="5" s="1"/>
  <c r="C520" i="5"/>
  <c r="F520" i="5" s="1"/>
  <c r="H520" i="5" s="1"/>
  <c r="I520" i="5" s="1"/>
  <c r="C518" i="5"/>
  <c r="F518" i="5" s="1"/>
  <c r="H518" i="5" s="1"/>
  <c r="I518" i="5" s="1"/>
  <c r="C516" i="5"/>
  <c r="F516" i="5" s="1"/>
  <c r="H516" i="5" s="1"/>
  <c r="I516" i="5" s="1"/>
  <c r="C514" i="5"/>
  <c r="F514" i="5" s="1"/>
  <c r="H514" i="5" s="1"/>
  <c r="I514" i="5" s="1"/>
  <c r="C512" i="5"/>
  <c r="F512" i="5" s="1"/>
  <c r="H512" i="5" s="1"/>
  <c r="I512" i="5" s="1"/>
  <c r="C509" i="5"/>
  <c r="F509" i="5" s="1"/>
  <c r="H509" i="5" s="1"/>
  <c r="I509" i="5" s="1"/>
  <c r="C498" i="5"/>
  <c r="F498" i="5" s="1"/>
  <c r="H498" i="5" s="1"/>
  <c r="I498" i="5" s="1"/>
  <c r="C485" i="5"/>
  <c r="F485" i="5" s="1"/>
  <c r="H485" i="5" s="1"/>
  <c r="I485" i="5" s="1"/>
  <c r="C474" i="5"/>
  <c r="F474" i="5" s="1"/>
  <c r="H474" i="5" s="1"/>
  <c r="I474" i="5" s="1"/>
  <c r="D253" i="5"/>
  <c r="E253" i="5" s="1"/>
  <c r="D252" i="5"/>
  <c r="E252" i="5" s="1"/>
  <c r="D255" i="5"/>
  <c r="E255" i="5" s="1"/>
  <c r="C295" i="5"/>
  <c r="F295" i="5" s="1"/>
  <c r="H295" i="5" s="1"/>
  <c r="I295" i="5" s="1"/>
  <c r="D528" i="5"/>
  <c r="E528" i="5" s="1"/>
  <c r="D527" i="5"/>
  <c r="E527" i="5" s="1"/>
  <c r="D526" i="5"/>
  <c r="E526" i="5" s="1"/>
  <c r="G526" i="5" s="1"/>
  <c r="D493" i="5"/>
  <c r="E493" i="5" s="1"/>
  <c r="D492" i="5"/>
  <c r="E492" i="5" s="1"/>
  <c r="C300" i="5"/>
  <c r="F300" i="5" s="1"/>
  <c r="H300" i="5" s="1"/>
  <c r="I300" i="5" s="1"/>
  <c r="D525" i="5"/>
  <c r="E525" i="5" s="1"/>
  <c r="D517" i="5"/>
  <c r="E517" i="5" s="1"/>
  <c r="D511" i="5"/>
  <c r="E511" i="5" s="1"/>
  <c r="D502" i="5"/>
  <c r="E502" i="5" s="1"/>
  <c r="D497" i="5"/>
  <c r="E497" i="5" s="1"/>
  <c r="C371" i="5"/>
  <c r="F371" i="5" s="1"/>
  <c r="H371" i="5" s="1"/>
  <c r="I371" i="5" s="1"/>
  <c r="D264" i="5"/>
  <c r="E264" i="5" s="1"/>
  <c r="C410" i="5"/>
  <c r="F410" i="5" s="1"/>
  <c r="H410" i="5" s="1"/>
  <c r="I410" i="5" s="1"/>
  <c r="C344" i="5"/>
  <c r="F344" i="5" s="1"/>
  <c r="H344" i="5" s="1"/>
  <c r="I344" i="5" s="1"/>
  <c r="C458" i="5"/>
  <c r="F458" i="5" s="1"/>
  <c r="H458" i="5" s="1"/>
  <c r="I458" i="5" s="1"/>
  <c r="D277" i="5"/>
  <c r="E277" i="5" s="1"/>
  <c r="C444" i="5"/>
  <c r="F444" i="5" s="1"/>
  <c r="H444" i="5" s="1"/>
  <c r="I444" i="5" s="1"/>
  <c r="C412" i="5"/>
  <c r="F412" i="5" s="1"/>
  <c r="H412" i="5" s="1"/>
  <c r="I412" i="5" s="1"/>
  <c r="C277" i="5"/>
  <c r="F277" i="5" s="1"/>
  <c r="H277" i="5" s="1"/>
  <c r="I277" i="5" s="1"/>
  <c r="C496" i="5"/>
  <c r="F496" i="5" s="1"/>
  <c r="H496" i="5" s="1"/>
  <c r="I496" i="5" s="1"/>
  <c r="C375" i="5"/>
  <c r="F375" i="5" s="1"/>
  <c r="H375" i="5" s="1"/>
  <c r="I375" i="5" s="1"/>
  <c r="C365" i="5"/>
  <c r="F365" i="5" s="1"/>
  <c r="H365" i="5" s="1"/>
  <c r="I365" i="5" s="1"/>
  <c r="C454" i="5"/>
  <c r="F454" i="5" s="1"/>
  <c r="H454" i="5" s="1"/>
  <c r="I454" i="5" s="1"/>
  <c r="C280" i="5"/>
  <c r="F280" i="5" s="1"/>
  <c r="H280" i="5" s="1"/>
  <c r="I280" i="5" s="1"/>
  <c r="C465" i="5"/>
  <c r="F465" i="5" s="1"/>
  <c r="H465" i="5" s="1"/>
  <c r="I465" i="5" s="1"/>
  <c r="C353" i="5"/>
  <c r="F353" i="5" s="1"/>
  <c r="H353" i="5" s="1"/>
  <c r="I353" i="5" s="1"/>
  <c r="C274" i="5"/>
  <c r="F274" i="5" s="1"/>
  <c r="H274" i="5" s="1"/>
  <c r="I274" i="5" s="1"/>
  <c r="C464" i="5"/>
  <c r="F464" i="5" s="1"/>
  <c r="H464" i="5" s="1"/>
  <c r="I464" i="5" s="1"/>
  <c r="C327" i="5"/>
  <c r="F327" i="5" s="1"/>
  <c r="H327" i="5" s="1"/>
  <c r="I327" i="5" s="1"/>
  <c r="C324" i="5"/>
  <c r="F324" i="5" s="1"/>
  <c r="H324" i="5" s="1"/>
  <c r="I324" i="5" s="1"/>
  <c r="C502" i="5"/>
  <c r="F502" i="5" s="1"/>
  <c r="H502" i="5" s="1"/>
  <c r="I502" i="5" s="1"/>
  <c r="C486" i="5"/>
  <c r="F486" i="5" s="1"/>
  <c r="H486" i="5" s="1"/>
  <c r="I486" i="5" s="1"/>
  <c r="C336" i="5"/>
  <c r="F336" i="5" s="1"/>
  <c r="H336" i="5" s="1"/>
  <c r="I336" i="5" s="1"/>
  <c r="D471" i="5"/>
  <c r="E471" i="5" s="1"/>
  <c r="C319" i="5"/>
  <c r="F319" i="5" s="1"/>
  <c r="H319" i="5" s="1"/>
  <c r="I319" i="5" s="1"/>
  <c r="C313" i="5"/>
  <c r="F313" i="5" s="1"/>
  <c r="H313" i="5" s="1"/>
  <c r="I313" i="5" s="1"/>
  <c r="C309" i="5"/>
  <c r="F309" i="5" s="1"/>
  <c r="H309" i="5" s="1"/>
  <c r="I309" i="5" s="1"/>
  <c r="C304" i="5"/>
  <c r="F304" i="5" s="1"/>
  <c r="H304" i="5" s="1"/>
  <c r="I304" i="5" s="1"/>
  <c r="C294" i="5"/>
  <c r="F294" i="5" s="1"/>
  <c r="H294" i="5" s="1"/>
  <c r="I294" i="5" s="1"/>
  <c r="C290" i="5"/>
  <c r="F290" i="5" s="1"/>
  <c r="H290" i="5" s="1"/>
  <c r="I290" i="5" s="1"/>
  <c r="C284" i="5"/>
  <c r="F284" i="5" s="1"/>
  <c r="H284" i="5" s="1"/>
  <c r="I284" i="5" s="1"/>
  <c r="C267" i="5"/>
  <c r="F267" i="5" s="1"/>
  <c r="H267" i="5" s="1"/>
  <c r="I267" i="5" s="1"/>
  <c r="C259" i="5"/>
  <c r="F259" i="5" s="1"/>
  <c r="H259" i="5" s="1"/>
  <c r="I259" i="5" s="1"/>
  <c r="C246" i="5"/>
  <c r="F246" i="5" s="1"/>
  <c r="H246" i="5" s="1"/>
  <c r="I246" i="5" s="1"/>
  <c r="C420" i="5"/>
  <c r="F420" i="5" s="1"/>
  <c r="H420" i="5" s="1"/>
  <c r="I420" i="5" s="1"/>
  <c r="C220" i="5"/>
  <c r="F220" i="5" s="1"/>
  <c r="H220" i="5" s="1"/>
  <c r="I220" i="5" s="1"/>
  <c r="D254" i="5"/>
  <c r="E254" i="5" s="1"/>
  <c r="D503" i="5"/>
  <c r="E503" i="5" s="1"/>
  <c r="D465" i="5"/>
  <c r="E465" i="5" s="1"/>
  <c r="G465" i="5" s="1"/>
  <c r="D450" i="5"/>
  <c r="E450" i="5" s="1"/>
  <c r="D440" i="5"/>
  <c r="E440" i="5" s="1"/>
  <c r="D399" i="5"/>
  <c r="E399" i="5" s="1"/>
  <c r="D361" i="5"/>
  <c r="E361" i="5" s="1"/>
  <c r="D226" i="5"/>
  <c r="E226" i="5" s="1"/>
  <c r="C243" i="5"/>
  <c r="F243" i="5" s="1"/>
  <c r="H243" i="5" s="1"/>
  <c r="I243" i="5" s="1"/>
  <c r="C241" i="5"/>
  <c r="F241" i="5" s="1"/>
  <c r="H241" i="5" s="1"/>
  <c r="I241" i="5" s="1"/>
  <c r="C237" i="5"/>
  <c r="F237" i="5" s="1"/>
  <c r="H237" i="5" s="1"/>
  <c r="I237" i="5" s="1"/>
  <c r="C214" i="5"/>
  <c r="F214" i="5" s="1"/>
  <c r="H214" i="5" s="1"/>
  <c r="I214" i="5" s="1"/>
  <c r="C208" i="5"/>
  <c r="F208" i="5" s="1"/>
  <c r="H208" i="5" s="1"/>
  <c r="I208" i="5" s="1"/>
  <c r="C202" i="5"/>
  <c r="F202" i="5" s="1"/>
  <c r="H202" i="5" s="1"/>
  <c r="I202" i="5" s="1"/>
  <c r="C488" i="5"/>
  <c r="F488" i="5" s="1"/>
  <c r="H488" i="5" s="1"/>
  <c r="I488" i="5" s="1"/>
  <c r="C461" i="5"/>
  <c r="F461" i="5" s="1"/>
  <c r="H461" i="5" s="1"/>
  <c r="I461" i="5" s="1"/>
  <c r="C528" i="5"/>
  <c r="F528" i="5" s="1"/>
  <c r="H528" i="5" s="1"/>
  <c r="I528" i="5" s="1"/>
  <c r="C527" i="5"/>
  <c r="F527" i="5" s="1"/>
  <c r="H527" i="5" s="1"/>
  <c r="I527" i="5" s="1"/>
  <c r="C523" i="5"/>
  <c r="F523" i="5" s="1"/>
  <c r="H523" i="5" s="1"/>
  <c r="I523" i="5" s="1"/>
  <c r="C521" i="5"/>
  <c r="F521" i="5" s="1"/>
  <c r="H521" i="5" s="1"/>
  <c r="I521" i="5" s="1"/>
  <c r="C517" i="5"/>
  <c r="F517" i="5" s="1"/>
  <c r="H517" i="5" s="1"/>
  <c r="I517" i="5" s="1"/>
  <c r="C513" i="5"/>
  <c r="F513" i="5" s="1"/>
  <c r="H513" i="5" s="1"/>
  <c r="I513" i="5" s="1"/>
  <c r="C511" i="5"/>
  <c r="F511" i="5" s="1"/>
  <c r="H511" i="5" s="1"/>
  <c r="I511" i="5" s="1"/>
  <c r="C492" i="5"/>
  <c r="F492" i="5" s="1"/>
  <c r="H492" i="5" s="1"/>
  <c r="I492" i="5" s="1"/>
  <c r="C468" i="5"/>
  <c r="F468" i="5" s="1"/>
  <c r="H468" i="5" s="1"/>
  <c r="I468" i="5" s="1"/>
  <c r="D482" i="5"/>
  <c r="E482" i="5" s="1"/>
  <c r="D445" i="5"/>
  <c r="E445" i="5" s="1"/>
  <c r="D418" i="5"/>
  <c r="E418" i="5" s="1"/>
  <c r="D421" i="5"/>
  <c r="E421" i="5" s="1"/>
  <c r="C257" i="5"/>
  <c r="F257" i="5" s="1"/>
  <c r="H257" i="5" s="1"/>
  <c r="I257" i="5" s="1"/>
  <c r="D392" i="5"/>
  <c r="E392" i="5" s="1"/>
  <c r="G392" i="5" s="1"/>
  <c r="D388" i="5"/>
  <c r="E388" i="5" s="1"/>
  <c r="G388" i="5" s="1"/>
  <c r="D241" i="5"/>
  <c r="E241" i="5" s="1"/>
  <c r="C404" i="5"/>
  <c r="F404" i="5" s="1"/>
  <c r="H404" i="5" s="1"/>
  <c r="I404" i="5" s="1"/>
  <c r="C489" i="5"/>
  <c r="F489" i="5" s="1"/>
  <c r="H489" i="5" s="1"/>
  <c r="I489" i="5" s="1"/>
  <c r="C456" i="5"/>
  <c r="F456" i="5" s="1"/>
  <c r="H456" i="5" s="1"/>
  <c r="I456" i="5" s="1"/>
  <c r="C256" i="5"/>
  <c r="F256" i="5" s="1"/>
  <c r="H256" i="5" s="1"/>
  <c r="I256" i="5" s="1"/>
  <c r="C251" i="5"/>
  <c r="F251" i="5" s="1"/>
  <c r="H251" i="5" s="1"/>
  <c r="I251" i="5" s="1"/>
  <c r="C212" i="5"/>
  <c r="F212" i="5" s="1"/>
  <c r="H212" i="5" s="1"/>
  <c r="I212" i="5" s="1"/>
  <c r="C207" i="5"/>
  <c r="F207" i="5" s="1"/>
  <c r="H207" i="5" s="1"/>
  <c r="I207" i="5" s="1"/>
  <c r="C201" i="5"/>
  <c r="F201" i="5" s="1"/>
  <c r="H201" i="5" s="1"/>
  <c r="I201" i="5" s="1"/>
  <c r="C482" i="5"/>
  <c r="F482" i="5" s="1"/>
  <c r="H482" i="5" s="1"/>
  <c r="I482" i="5" s="1"/>
  <c r="C434" i="5"/>
  <c r="F434" i="5" s="1"/>
  <c r="H434" i="5" s="1"/>
  <c r="I434" i="5" s="1"/>
  <c r="C525" i="5"/>
  <c r="F525" i="5" s="1"/>
  <c r="H525" i="5" s="1"/>
  <c r="I525" i="5" s="1"/>
  <c r="C522" i="5"/>
  <c r="F522" i="5" s="1"/>
  <c r="H522" i="5" s="1"/>
  <c r="I522" i="5" s="1"/>
  <c r="D494" i="5"/>
  <c r="E494" i="5" s="1"/>
  <c r="D481" i="5"/>
  <c r="E481" i="5" s="1"/>
  <c r="D453" i="5"/>
  <c r="E453" i="5" s="1"/>
  <c r="D332" i="5"/>
  <c r="E332" i="5" s="1"/>
  <c r="D454" i="5"/>
  <c r="E454" i="5" s="1"/>
  <c r="D369" i="5"/>
  <c r="E369" i="5" s="1"/>
  <c r="D429" i="5"/>
  <c r="E429" i="5" s="1"/>
  <c r="D419" i="5"/>
  <c r="E419" i="5" s="1"/>
  <c r="C301" i="5"/>
  <c r="F301" i="5" s="1"/>
  <c r="H301" i="5" s="1"/>
  <c r="I301" i="5" s="1"/>
  <c r="D401" i="5"/>
  <c r="E401" i="5" s="1"/>
  <c r="D386" i="5"/>
  <c r="E386" i="5" s="1"/>
  <c r="D351" i="5"/>
  <c r="E351" i="5" s="1"/>
  <c r="D237" i="5"/>
  <c r="E237" i="5" s="1"/>
  <c r="D232" i="5"/>
  <c r="E232" i="5" s="1"/>
  <c r="C402" i="5"/>
  <c r="F402" i="5" s="1"/>
  <c r="H402" i="5" s="1"/>
  <c r="I402" i="5" s="1"/>
  <c r="D443" i="5"/>
  <c r="E443" i="5" s="1"/>
  <c r="D442" i="5"/>
  <c r="E442" i="5" s="1"/>
  <c r="D439" i="5"/>
  <c r="E439" i="5" s="1"/>
  <c r="D438" i="5"/>
  <c r="E438" i="5" s="1"/>
  <c r="D437" i="5"/>
  <c r="E437" i="5" s="1"/>
  <c r="D436" i="5"/>
  <c r="E436" i="5" s="1"/>
  <c r="D435" i="5"/>
  <c r="E435" i="5" s="1"/>
  <c r="D434" i="5"/>
  <c r="E434" i="5" s="1"/>
  <c r="D433" i="5"/>
  <c r="E433" i="5" s="1"/>
  <c r="D480" i="5"/>
  <c r="E480" i="5" s="1"/>
  <c r="D473" i="5"/>
  <c r="E473" i="5" s="1"/>
  <c r="D469" i="5"/>
  <c r="E469" i="5" s="1"/>
  <c r="D466" i="5"/>
  <c r="E466" i="5" s="1"/>
  <c r="D463" i="5"/>
  <c r="E463" i="5" s="1"/>
  <c r="D461" i="5"/>
  <c r="E461" i="5" s="1"/>
  <c r="C296" i="5"/>
  <c r="F296" i="5" s="1"/>
  <c r="H296" i="5" s="1"/>
  <c r="I296" i="5" s="1"/>
  <c r="D423" i="5"/>
  <c r="E423" i="5" s="1"/>
  <c r="D404" i="5"/>
  <c r="E404" i="5" s="1"/>
  <c r="D393" i="5"/>
  <c r="E393" i="5" s="1"/>
  <c r="D387" i="5"/>
  <c r="E387" i="5" s="1"/>
  <c r="D354" i="5"/>
  <c r="E354" i="5" s="1"/>
  <c r="D350" i="5"/>
  <c r="E350" i="5" s="1"/>
  <c r="D234" i="5"/>
  <c r="E234" i="5" s="1"/>
  <c r="D227" i="5"/>
  <c r="E227" i="5" s="1"/>
  <c r="D384" i="5"/>
  <c r="E384" i="5" s="1"/>
  <c r="D383" i="5"/>
  <c r="E383" i="5" s="1"/>
  <c r="D382" i="5"/>
  <c r="E382" i="5" s="1"/>
  <c r="D381" i="5"/>
  <c r="E381" i="5" s="1"/>
  <c r="D380" i="5"/>
  <c r="E380" i="5" s="1"/>
  <c r="D379" i="5"/>
  <c r="E379" i="5" s="1"/>
  <c r="D378" i="5"/>
  <c r="E378" i="5" s="1"/>
  <c r="D377" i="5"/>
  <c r="E377" i="5" s="1"/>
  <c r="D376" i="5"/>
  <c r="E376" i="5" s="1"/>
  <c r="D375" i="5"/>
  <c r="E375" i="5" s="1"/>
  <c r="D374" i="5"/>
  <c r="E374" i="5" s="1"/>
  <c r="D373" i="5"/>
  <c r="E373" i="5" s="1"/>
  <c r="D371" i="5"/>
  <c r="E371" i="5" s="1"/>
  <c r="C331" i="5"/>
  <c r="F331" i="5" s="1"/>
  <c r="H331" i="5" s="1"/>
  <c r="I331" i="5" s="1"/>
  <c r="D467" i="5"/>
  <c r="E467" i="5" s="1"/>
  <c r="D464" i="5"/>
  <c r="E464" i="5" s="1"/>
  <c r="D460" i="5"/>
  <c r="E460" i="5" s="1"/>
  <c r="D449" i="5"/>
  <c r="E449" i="5" s="1"/>
  <c r="D414" i="5"/>
  <c r="E414" i="5" s="1"/>
  <c r="D408" i="5"/>
  <c r="E408" i="5" s="1"/>
  <c r="D370" i="5"/>
  <c r="E370" i="5" s="1"/>
  <c r="D333" i="5"/>
  <c r="E333" i="5" s="1"/>
  <c r="D304" i="5"/>
  <c r="E304" i="5" s="1"/>
  <c r="D291" i="5"/>
  <c r="E291" i="5" s="1"/>
  <c r="D446" i="5"/>
  <c r="E446" i="5" s="1"/>
  <c r="D441" i="5"/>
  <c r="E441" i="5" s="1"/>
  <c r="D267" i="5"/>
  <c r="E267" i="5" s="1"/>
  <c r="D478" i="5"/>
  <c r="E478" i="5" s="1"/>
  <c r="G478" i="5" s="1"/>
  <c r="C450" i="5"/>
  <c r="F450" i="5" s="1"/>
  <c r="H450" i="5" s="1"/>
  <c r="I450" i="5" s="1"/>
  <c r="C271" i="5"/>
  <c r="F271" i="5" s="1"/>
  <c r="H271" i="5" s="1"/>
  <c r="I271" i="5" s="1"/>
  <c r="C476" i="5"/>
  <c r="F476" i="5" s="1"/>
  <c r="H476" i="5" s="1"/>
  <c r="I476" i="5" s="1"/>
  <c r="C350" i="5"/>
  <c r="F350" i="5" s="1"/>
  <c r="H350" i="5" s="1"/>
  <c r="I350" i="5" s="1"/>
  <c r="C481" i="5"/>
  <c r="F481" i="5" s="1"/>
  <c r="H481" i="5" s="1"/>
  <c r="I481" i="5" s="1"/>
  <c r="C328" i="5"/>
  <c r="F328" i="5" s="1"/>
  <c r="H328" i="5" s="1"/>
  <c r="I328" i="5" s="1"/>
  <c r="C252" i="5"/>
  <c r="F252" i="5" s="1"/>
  <c r="H252" i="5" s="1"/>
  <c r="I252" i="5" s="1"/>
  <c r="C455" i="5"/>
  <c r="F455" i="5" s="1"/>
  <c r="H455" i="5" s="1"/>
  <c r="I455" i="5" s="1"/>
  <c r="C437" i="5"/>
  <c r="F437" i="5" s="1"/>
  <c r="H437" i="5" s="1"/>
  <c r="I437" i="5" s="1"/>
  <c r="C348" i="5"/>
  <c r="F348" i="5" s="1"/>
  <c r="H348" i="5" s="1"/>
  <c r="I348" i="5" s="1"/>
  <c r="C268" i="5"/>
  <c r="F268" i="5" s="1"/>
  <c r="H268" i="5" s="1"/>
  <c r="I268" i="5" s="1"/>
  <c r="C460" i="5"/>
  <c r="F460" i="5" s="1"/>
  <c r="H460" i="5" s="1"/>
  <c r="I460" i="5" s="1"/>
  <c r="C377" i="5"/>
  <c r="F377" i="5" s="1"/>
  <c r="H377" i="5" s="1"/>
  <c r="I377" i="5" s="1"/>
  <c r="C368" i="5"/>
  <c r="F368" i="5" s="1"/>
  <c r="H368" i="5" s="1"/>
  <c r="I368" i="5" s="1"/>
  <c r="C417" i="5"/>
  <c r="F417" i="5" s="1"/>
  <c r="H417" i="5" s="1"/>
  <c r="I417" i="5" s="1"/>
  <c r="D430" i="5"/>
  <c r="E430" i="5" s="1"/>
  <c r="D428" i="5"/>
  <c r="E428" i="5" s="1"/>
  <c r="D424" i="5"/>
  <c r="E424" i="5" s="1"/>
  <c r="D420" i="5"/>
  <c r="E420" i="5" s="1"/>
  <c r="D412" i="5"/>
  <c r="E412" i="5" s="1"/>
  <c r="D331" i="5"/>
  <c r="E331" i="5" s="1"/>
  <c r="D307" i="5"/>
  <c r="E307" i="5" s="1"/>
  <c r="D305" i="5"/>
  <c r="E305" i="5" s="1"/>
  <c r="D300" i="5"/>
  <c r="E300" i="5" s="1"/>
  <c r="D298" i="5"/>
  <c r="E298" i="5" s="1"/>
  <c r="D407" i="5"/>
  <c r="E407" i="5" s="1"/>
  <c r="C305" i="5"/>
  <c r="F305" i="5" s="1"/>
  <c r="H305" i="5" s="1"/>
  <c r="I305" i="5" s="1"/>
  <c r="D301" i="5"/>
  <c r="E301" i="5" s="1"/>
  <c r="G301" i="5" s="1"/>
  <c r="D294" i="5"/>
  <c r="E294" i="5" s="1"/>
  <c r="D368" i="5"/>
  <c r="E368" i="5" s="1"/>
  <c r="G368" i="5" s="1"/>
  <c r="D367" i="5"/>
  <c r="E367" i="5" s="1"/>
  <c r="D366" i="5"/>
  <c r="E366" i="5" s="1"/>
  <c r="G366" i="5" s="1"/>
  <c r="D364" i="5"/>
  <c r="E364" i="5" s="1"/>
  <c r="G364" i="5" s="1"/>
  <c r="D360" i="5"/>
  <c r="E360" i="5" s="1"/>
  <c r="D239" i="5"/>
  <c r="E239" i="5" s="1"/>
  <c r="D223" i="5"/>
  <c r="E223" i="5" s="1"/>
  <c r="D347" i="5"/>
  <c r="E347" i="5" s="1"/>
  <c r="D345" i="5"/>
  <c r="E345" i="5" s="1"/>
  <c r="D344" i="5"/>
  <c r="E344" i="5" s="1"/>
  <c r="D342" i="5"/>
  <c r="E342" i="5" s="1"/>
  <c r="D340" i="5"/>
  <c r="E340" i="5" s="1"/>
  <c r="D338" i="5"/>
  <c r="E338" i="5" s="1"/>
  <c r="D336" i="5"/>
  <c r="E336" i="5" s="1"/>
  <c r="C333" i="5"/>
  <c r="F333" i="5" s="1"/>
  <c r="H333" i="5" s="1"/>
  <c r="I333" i="5" s="1"/>
  <c r="D303" i="5"/>
  <c r="E303" i="5" s="1"/>
  <c r="D296" i="5"/>
  <c r="E296" i="5" s="1"/>
  <c r="G296" i="5" s="1"/>
  <c r="D329" i="5"/>
  <c r="E329" i="5" s="1"/>
  <c r="D327" i="5"/>
  <c r="E327" i="5" s="1"/>
  <c r="D325" i="5"/>
  <c r="E325" i="5" s="1"/>
  <c r="D323" i="5"/>
  <c r="E323" i="5" s="1"/>
  <c r="D321" i="5"/>
  <c r="E321" i="5" s="1"/>
  <c r="D319" i="5"/>
  <c r="E319" i="5" s="1"/>
  <c r="D317" i="5"/>
  <c r="E317" i="5" s="1"/>
  <c r="D315" i="5"/>
  <c r="E315" i="5" s="1"/>
  <c r="D313" i="5"/>
  <c r="E313" i="5" s="1"/>
  <c r="D290" i="5"/>
  <c r="E290" i="5" s="1"/>
  <c r="D286" i="5"/>
  <c r="E286" i="5" s="1"/>
  <c r="D275" i="5"/>
  <c r="E275" i="5" s="1"/>
  <c r="D250" i="5"/>
  <c r="E250" i="5" s="1"/>
  <c r="D247" i="5"/>
  <c r="E247" i="5" s="1"/>
  <c r="D243" i="5"/>
  <c r="E243" i="5" s="1"/>
  <c r="D222" i="5"/>
  <c r="E222" i="5" s="1"/>
  <c r="D220" i="5"/>
  <c r="E220" i="5" s="1"/>
  <c r="D218" i="5"/>
  <c r="E218" i="5" s="1"/>
  <c r="D216" i="5"/>
  <c r="E216" i="5" s="1"/>
  <c r="D311" i="5"/>
  <c r="E311" i="5" s="1"/>
  <c r="D283" i="5"/>
  <c r="E283" i="5" s="1"/>
  <c r="D270" i="5"/>
  <c r="E270" i="5" s="1"/>
  <c r="D206" i="5"/>
  <c r="E206" i="5" s="1"/>
  <c r="D204" i="5"/>
  <c r="E204" i="5" s="1"/>
  <c r="D202" i="5"/>
  <c r="E202" i="5" s="1"/>
  <c r="D201" i="5"/>
  <c r="E201" i="5" s="1"/>
  <c r="D200" i="5"/>
  <c r="E200" i="5" s="1"/>
  <c r="D199" i="5"/>
  <c r="E199" i="5" s="1"/>
  <c r="D198" i="5"/>
  <c r="E198" i="5" s="1"/>
  <c r="D197" i="5"/>
  <c r="E197" i="5" s="1"/>
  <c r="D196" i="5"/>
  <c r="E196" i="5" s="1"/>
  <c r="D195" i="5"/>
  <c r="E195" i="5" s="1"/>
  <c r="D194" i="5"/>
  <c r="E194" i="5" s="1"/>
  <c r="D193" i="5"/>
  <c r="E193" i="5" s="1"/>
  <c r="D192" i="5"/>
  <c r="E192" i="5" s="1"/>
  <c r="D191" i="5"/>
  <c r="E191" i="5" s="1"/>
  <c r="D190" i="5"/>
  <c r="E190" i="5" s="1"/>
  <c r="D189" i="5"/>
  <c r="E189" i="5" s="1"/>
  <c r="D188" i="5"/>
  <c r="E188" i="5" s="1"/>
  <c r="D187" i="5"/>
  <c r="E187" i="5" s="1"/>
  <c r="D186" i="5"/>
  <c r="E186" i="5" s="1"/>
  <c r="D185" i="5"/>
  <c r="E185" i="5" s="1"/>
  <c r="D184" i="5"/>
  <c r="E184" i="5" s="1"/>
  <c r="D183" i="5"/>
  <c r="E183" i="5" s="1"/>
  <c r="G183" i="5" s="1"/>
  <c r="D182" i="5"/>
  <c r="E182" i="5" s="1"/>
  <c r="G182" i="5" s="1"/>
  <c r="D181" i="5"/>
  <c r="E181" i="5" s="1"/>
  <c r="G181" i="5" s="1"/>
  <c r="D180" i="5"/>
  <c r="E180" i="5" s="1"/>
  <c r="G180" i="5" s="1"/>
  <c r="D179" i="5"/>
  <c r="E179" i="5" s="1"/>
  <c r="G179" i="5" s="1"/>
  <c r="D178" i="5"/>
  <c r="E178" i="5" s="1"/>
  <c r="D177" i="5"/>
  <c r="E177" i="5" s="1"/>
  <c r="D176" i="5"/>
  <c r="E176" i="5" s="1"/>
  <c r="D175" i="5"/>
  <c r="E175" i="5" s="1"/>
  <c r="D174" i="5"/>
  <c r="E174" i="5" s="1"/>
  <c r="D173" i="5"/>
  <c r="E173" i="5" s="1"/>
  <c r="D251" i="5"/>
  <c r="E251" i="5" s="1"/>
  <c r="D172" i="5"/>
  <c r="E172" i="5" s="1"/>
  <c r="D171" i="5"/>
  <c r="E171" i="5" s="1"/>
  <c r="G171" i="5" s="1"/>
  <c r="D170" i="5"/>
  <c r="E170" i="5" s="1"/>
  <c r="G170" i="5" s="1"/>
  <c r="D168" i="5"/>
  <c r="E168" i="5" s="1"/>
  <c r="G168" i="5" s="1"/>
  <c r="D167" i="5"/>
  <c r="E167" i="5" s="1"/>
  <c r="D166" i="5"/>
  <c r="E166" i="5" s="1"/>
  <c r="D165" i="5"/>
  <c r="E165" i="5" s="1"/>
  <c r="D164" i="5"/>
  <c r="E164" i="5" s="1"/>
  <c r="D163" i="5"/>
  <c r="E163" i="5" s="1"/>
  <c r="D161" i="5"/>
  <c r="E161" i="5" s="1"/>
  <c r="D159" i="5"/>
  <c r="E159" i="5" s="1"/>
  <c r="D157" i="5"/>
  <c r="E157" i="5" s="1"/>
  <c r="D155" i="5"/>
  <c r="E155" i="5" s="1"/>
  <c r="D153" i="5"/>
  <c r="E153" i="5" s="1"/>
  <c r="D150" i="5"/>
  <c r="E150" i="5" s="1"/>
  <c r="D288" i="5"/>
  <c r="E288" i="5" s="1"/>
  <c r="D274" i="5"/>
  <c r="E274" i="5" s="1"/>
  <c r="D258" i="5"/>
  <c r="E258" i="5" s="1"/>
  <c r="D147" i="5"/>
  <c r="E147" i="5" s="1"/>
  <c r="C449" i="5"/>
  <c r="F449" i="5" s="1"/>
  <c r="H449" i="5" s="1"/>
  <c r="I449" i="5" s="1"/>
  <c r="C442" i="5"/>
  <c r="F442" i="5" s="1"/>
  <c r="H442" i="5" s="1"/>
  <c r="I442" i="5" s="1"/>
  <c r="C407" i="5"/>
  <c r="F407" i="5" s="1"/>
  <c r="H407" i="5" s="1"/>
  <c r="I407" i="5" s="1"/>
  <c r="D479" i="5"/>
  <c r="E479" i="5" s="1"/>
  <c r="D289" i="5"/>
  <c r="E289" i="5" s="1"/>
  <c r="D278" i="5"/>
  <c r="E278" i="5" s="1"/>
  <c r="D261" i="5"/>
  <c r="E261" i="5" s="1"/>
  <c r="C416" i="5"/>
  <c r="F416" i="5" s="1"/>
  <c r="H416" i="5" s="1"/>
  <c r="I416" i="5" s="1"/>
  <c r="C411" i="5"/>
  <c r="F411" i="5" s="1"/>
  <c r="H411" i="5" s="1"/>
  <c r="I411" i="5" s="1"/>
  <c r="C408" i="5"/>
  <c r="F408" i="5" s="1"/>
  <c r="H408" i="5" s="1"/>
  <c r="I408" i="5" s="1"/>
  <c r="C405" i="5"/>
  <c r="F405" i="5" s="1"/>
  <c r="H405" i="5" s="1"/>
  <c r="I405" i="5" s="1"/>
  <c r="D169" i="5"/>
  <c r="E169" i="5" s="1"/>
  <c r="D162" i="5"/>
  <c r="E162" i="5" s="1"/>
  <c r="D160" i="5"/>
  <c r="E160" i="5" s="1"/>
  <c r="D158" i="5"/>
  <c r="E158" i="5" s="1"/>
  <c r="D156" i="5"/>
  <c r="E156" i="5" s="1"/>
  <c r="D154" i="5"/>
  <c r="E154" i="5" s="1"/>
  <c r="D152" i="5"/>
  <c r="E152" i="5" s="1"/>
  <c r="D151" i="5"/>
  <c r="E151" i="5" s="1"/>
  <c r="D312" i="5"/>
  <c r="E312" i="5" s="1"/>
  <c r="D280" i="5"/>
  <c r="E280" i="5" s="1"/>
  <c r="D265" i="5"/>
  <c r="E265" i="5" s="1"/>
  <c r="C453" i="5"/>
  <c r="F453" i="5" s="1"/>
  <c r="H453" i="5" s="1"/>
  <c r="I453" i="5" s="1"/>
  <c r="C445" i="5"/>
  <c r="F445" i="5" s="1"/>
  <c r="H445" i="5" s="1"/>
  <c r="I445" i="5" s="1"/>
  <c r="C438" i="5"/>
  <c r="F438" i="5" s="1"/>
  <c r="H438" i="5" s="1"/>
  <c r="I438" i="5" s="1"/>
  <c r="D475" i="5"/>
  <c r="E475" i="5" s="1"/>
  <c r="D284" i="5"/>
  <c r="E284" i="5" s="1"/>
  <c r="D266" i="5"/>
  <c r="E266" i="5" s="1"/>
  <c r="D149" i="5"/>
  <c r="E149" i="5" s="1"/>
  <c r="D145" i="5"/>
  <c r="E145" i="5" s="1"/>
  <c r="C451" i="5"/>
  <c r="F451" i="5" s="1"/>
  <c r="H451" i="5" s="1"/>
  <c r="I451" i="5" s="1"/>
  <c r="C447" i="5"/>
  <c r="F447" i="5" s="1"/>
  <c r="H447" i="5" s="1"/>
  <c r="I447" i="5" s="1"/>
  <c r="C441" i="5"/>
  <c r="F441" i="5" s="1"/>
  <c r="H441" i="5" s="1"/>
  <c r="I441" i="5" s="1"/>
  <c r="C436" i="5"/>
  <c r="F436" i="5" s="1"/>
  <c r="H436" i="5" s="1"/>
  <c r="I436" i="5" s="1"/>
  <c r="D281" i="5"/>
  <c r="E281" i="5" s="1"/>
  <c r="D310" i="5"/>
  <c r="E310" i="5" s="1"/>
  <c r="D146" i="5"/>
  <c r="E146" i="5" s="1"/>
  <c r="G146" i="5" s="1"/>
  <c r="C431" i="5"/>
  <c r="F431" i="5" s="1"/>
  <c r="H431" i="5" s="1"/>
  <c r="I431" i="5" s="1"/>
  <c r="C503" i="5"/>
  <c r="F503" i="5" s="1"/>
  <c r="H503" i="5" s="1"/>
  <c r="I503" i="5" s="1"/>
  <c r="C363" i="5"/>
  <c r="F363" i="5" s="1"/>
  <c r="H363" i="5" s="1"/>
  <c r="I363" i="5" s="1"/>
  <c r="C278" i="5"/>
  <c r="F278" i="5" s="1"/>
  <c r="H278" i="5" s="1"/>
  <c r="I278" i="5" s="1"/>
  <c r="C341" i="5"/>
  <c r="F341" i="5" s="1"/>
  <c r="H341" i="5" s="1"/>
  <c r="I341" i="5" s="1"/>
  <c r="D474" i="5"/>
  <c r="E474" i="5" s="1"/>
  <c r="C448" i="5"/>
  <c r="F448" i="5" s="1"/>
  <c r="H448" i="5" s="1"/>
  <c r="I448" i="5" s="1"/>
  <c r="C415" i="5"/>
  <c r="F415" i="5" s="1"/>
  <c r="H415" i="5" s="1"/>
  <c r="I415" i="5" s="1"/>
  <c r="C342" i="5"/>
  <c r="F342" i="5" s="1"/>
  <c r="H342" i="5" s="1"/>
  <c r="I342" i="5" s="1"/>
  <c r="C510" i="5"/>
  <c r="F510" i="5" s="1"/>
  <c r="H510" i="5" s="1"/>
  <c r="I510" i="5" s="1"/>
  <c r="C376" i="5"/>
  <c r="F376" i="5" s="1"/>
  <c r="H376" i="5" s="1"/>
  <c r="I376" i="5" s="1"/>
  <c r="C370" i="5"/>
  <c r="F370" i="5" s="1"/>
  <c r="H370" i="5" s="1"/>
  <c r="I370" i="5" s="1"/>
  <c r="D259" i="5"/>
  <c r="E259" i="5" s="1"/>
  <c r="C414" i="5"/>
  <c r="F414" i="5" s="1"/>
  <c r="H414" i="5" s="1"/>
  <c r="I414" i="5" s="1"/>
  <c r="D432" i="5"/>
  <c r="E432" i="5" s="1"/>
  <c r="D426" i="5"/>
  <c r="E426" i="5" s="1"/>
  <c r="D422" i="5"/>
  <c r="E422" i="5" s="1"/>
  <c r="D417" i="5"/>
  <c r="E417" i="5" s="1"/>
  <c r="D410" i="5"/>
  <c r="E410" i="5" s="1"/>
  <c r="D365" i="5"/>
  <c r="E365" i="5" s="1"/>
  <c r="D363" i="5"/>
  <c r="E363" i="5" s="1"/>
  <c r="D355" i="5"/>
  <c r="E355" i="5" s="1"/>
  <c r="D230" i="5"/>
  <c r="E230" i="5" s="1"/>
  <c r="D348" i="5"/>
  <c r="E348" i="5" s="1"/>
  <c r="D346" i="5"/>
  <c r="E346" i="5" s="1"/>
  <c r="D343" i="5"/>
  <c r="E343" i="5" s="1"/>
  <c r="D341" i="5"/>
  <c r="E341" i="5" s="1"/>
  <c r="D339" i="5"/>
  <c r="E339" i="5" s="1"/>
  <c r="D337" i="5"/>
  <c r="E337" i="5" s="1"/>
  <c r="D335" i="5"/>
  <c r="E335" i="5" s="1"/>
  <c r="D334" i="5"/>
  <c r="E334" i="5" s="1"/>
  <c r="C332" i="5"/>
  <c r="F332" i="5" s="1"/>
  <c r="H332" i="5" s="1"/>
  <c r="I332" i="5" s="1"/>
  <c r="D297" i="5"/>
  <c r="E297" i="5" s="1"/>
  <c r="D256" i="5"/>
  <c r="E256" i="5" s="1"/>
  <c r="D328" i="5"/>
  <c r="E328" i="5" s="1"/>
  <c r="D326" i="5"/>
  <c r="E326" i="5" s="1"/>
  <c r="D324" i="5"/>
  <c r="E324" i="5" s="1"/>
  <c r="D322" i="5"/>
  <c r="E322" i="5" s="1"/>
  <c r="D320" i="5"/>
  <c r="E320" i="5" s="1"/>
  <c r="D318" i="5"/>
  <c r="E318" i="5" s="1"/>
  <c r="D316" i="5"/>
  <c r="E316" i="5" s="1"/>
  <c r="D314" i="5"/>
  <c r="E314" i="5" s="1"/>
  <c r="D477" i="5"/>
  <c r="E477" i="5" s="1"/>
  <c r="D279" i="5"/>
  <c r="E279" i="5" s="1"/>
  <c r="D269" i="5"/>
  <c r="E269" i="5" s="1"/>
  <c r="D248" i="5"/>
  <c r="E248" i="5" s="1"/>
  <c r="D245" i="5"/>
  <c r="E245" i="5" s="1"/>
  <c r="D225" i="5"/>
  <c r="E225" i="5" s="1"/>
  <c r="D221" i="5"/>
  <c r="E221" i="5" s="1"/>
  <c r="D219" i="5"/>
  <c r="E219" i="5" s="1"/>
  <c r="D217" i="5"/>
  <c r="E217" i="5" s="1"/>
  <c r="D215" i="5"/>
  <c r="E215" i="5" s="1"/>
  <c r="D287" i="5"/>
  <c r="E287" i="5" s="1"/>
  <c r="D276" i="5"/>
  <c r="E276" i="5" s="1"/>
  <c r="D262" i="5"/>
  <c r="E262" i="5" s="1"/>
  <c r="D249" i="5"/>
  <c r="E249" i="5" s="1"/>
  <c r="D246" i="5"/>
  <c r="E246" i="5" s="1"/>
  <c r="D244" i="5"/>
  <c r="E244" i="5" s="1"/>
  <c r="D214" i="5"/>
  <c r="E214" i="5" s="1"/>
  <c r="D213" i="5"/>
  <c r="E213" i="5" s="1"/>
  <c r="D212" i="5"/>
  <c r="E212" i="5" s="1"/>
  <c r="D211" i="5"/>
  <c r="E211" i="5" s="1"/>
  <c r="D210" i="5"/>
  <c r="E210" i="5" s="1"/>
  <c r="D209" i="5"/>
  <c r="E209" i="5" s="1"/>
  <c r="D208" i="5"/>
  <c r="E208" i="5" s="1"/>
  <c r="D207" i="5"/>
  <c r="E207" i="5" s="1"/>
  <c r="D205" i="5"/>
  <c r="E205" i="5" s="1"/>
  <c r="D203" i="5"/>
  <c r="E203" i="5" s="1"/>
  <c r="C413" i="5"/>
  <c r="F413" i="5" s="1"/>
  <c r="H413" i="5" s="1"/>
  <c r="I413" i="5" s="1"/>
  <c r="C409" i="5"/>
  <c r="F409" i="5" s="1"/>
  <c r="H409" i="5" s="1"/>
  <c r="I409" i="5" s="1"/>
  <c r="C406" i="5"/>
  <c r="F406" i="5" s="1"/>
  <c r="H406" i="5" s="1"/>
  <c r="I406" i="5" s="1"/>
  <c r="C401" i="5"/>
  <c r="F401" i="5" s="1"/>
  <c r="H401" i="5" s="1"/>
  <c r="I401" i="5" s="1"/>
  <c r="C400" i="5"/>
  <c r="F400" i="5" s="1"/>
  <c r="H400" i="5" s="1"/>
  <c r="I400" i="5" s="1"/>
  <c r="C399" i="5"/>
  <c r="F399" i="5" s="1"/>
  <c r="H399" i="5" s="1"/>
  <c r="I399" i="5" s="1"/>
  <c r="C398" i="5"/>
  <c r="F398" i="5" s="1"/>
  <c r="H398" i="5" s="1"/>
  <c r="I398" i="5" s="1"/>
  <c r="C397" i="5"/>
  <c r="F397" i="5" s="1"/>
  <c r="H397" i="5" s="1"/>
  <c r="I397" i="5" s="1"/>
  <c r="C396" i="5"/>
  <c r="F396" i="5" s="1"/>
  <c r="H396" i="5" s="1"/>
  <c r="I396" i="5" s="1"/>
  <c r="C395" i="5"/>
  <c r="F395" i="5" s="1"/>
  <c r="H395" i="5" s="1"/>
  <c r="I395" i="5" s="1"/>
  <c r="C394" i="5"/>
  <c r="F394" i="5" s="1"/>
  <c r="H394" i="5" s="1"/>
  <c r="I394" i="5" s="1"/>
  <c r="C393" i="5"/>
  <c r="F393" i="5" s="1"/>
  <c r="H393" i="5" s="1"/>
  <c r="I393" i="5" s="1"/>
  <c r="C392" i="5"/>
  <c r="F392" i="5" s="1"/>
  <c r="H392" i="5" s="1"/>
  <c r="I392" i="5" s="1"/>
  <c r="C391" i="5"/>
  <c r="F391" i="5" s="1"/>
  <c r="H391" i="5" s="1"/>
  <c r="I391" i="5" s="1"/>
  <c r="C390" i="5"/>
  <c r="F390" i="5" s="1"/>
  <c r="H390" i="5" s="1"/>
  <c r="I390" i="5" s="1"/>
  <c r="C389" i="5"/>
  <c r="F389" i="5" s="1"/>
  <c r="H389" i="5" s="1"/>
  <c r="I389" i="5" s="1"/>
  <c r="C388" i="5"/>
  <c r="F388" i="5" s="1"/>
  <c r="H388" i="5" s="1"/>
  <c r="I388" i="5" s="1"/>
  <c r="C387" i="5"/>
  <c r="F387" i="5" s="1"/>
  <c r="H387" i="5" s="1"/>
  <c r="I387" i="5" s="1"/>
  <c r="C386" i="5"/>
  <c r="F386" i="5" s="1"/>
  <c r="H386" i="5" s="1"/>
  <c r="I386" i="5" s="1"/>
  <c r="C385" i="5"/>
  <c r="F385" i="5" s="1"/>
  <c r="H385" i="5" s="1"/>
  <c r="I385" i="5" s="1"/>
  <c r="C384" i="5"/>
  <c r="F384" i="5" s="1"/>
  <c r="H384" i="5" s="1"/>
  <c r="I384" i="5" s="1"/>
  <c r="C383" i="5"/>
  <c r="F383" i="5" s="1"/>
  <c r="H383" i="5" s="1"/>
  <c r="I383" i="5" s="1"/>
  <c r="C382" i="5"/>
  <c r="F382" i="5" s="1"/>
  <c r="H382" i="5" s="1"/>
  <c r="I382" i="5" s="1"/>
  <c r="C381" i="5"/>
  <c r="F381" i="5" s="1"/>
  <c r="H381" i="5" s="1"/>
  <c r="I381" i="5" s="1"/>
  <c r="C380" i="5"/>
  <c r="F380" i="5" s="1"/>
  <c r="H380" i="5" s="1"/>
  <c r="I380" i="5" s="1"/>
  <c r="C366" i="5"/>
  <c r="F366" i="5" s="1"/>
  <c r="H366" i="5" s="1"/>
  <c r="I366" i="5" s="1"/>
  <c r="C364" i="5"/>
  <c r="F364" i="5" s="1"/>
  <c r="H364" i="5" s="1"/>
  <c r="I364" i="5" s="1"/>
  <c r="C362" i="5"/>
  <c r="F362" i="5" s="1"/>
  <c r="H362" i="5" s="1"/>
  <c r="I362" i="5" s="1"/>
  <c r="C361" i="5"/>
  <c r="F361" i="5" s="1"/>
  <c r="H361" i="5" s="1"/>
  <c r="I361" i="5" s="1"/>
  <c r="C359" i="5"/>
  <c r="F359" i="5" s="1"/>
  <c r="H359" i="5" s="1"/>
  <c r="I359" i="5" s="1"/>
  <c r="C358" i="5"/>
  <c r="F358" i="5" s="1"/>
  <c r="H358" i="5" s="1"/>
  <c r="I358" i="5" s="1"/>
  <c r="C356" i="5"/>
  <c r="F356" i="5" s="1"/>
  <c r="H356" i="5" s="1"/>
  <c r="I356" i="5" s="1"/>
  <c r="C354" i="5"/>
  <c r="F354" i="5" s="1"/>
  <c r="H354" i="5" s="1"/>
  <c r="I354" i="5" s="1"/>
  <c r="C352" i="5"/>
  <c r="F352" i="5" s="1"/>
  <c r="H352" i="5" s="1"/>
  <c r="I352" i="5" s="1"/>
  <c r="C351" i="5"/>
  <c r="F351" i="5" s="1"/>
  <c r="H351" i="5" s="1"/>
  <c r="I351" i="5" s="1"/>
  <c r="C349" i="5"/>
  <c r="F349" i="5" s="1"/>
  <c r="H349" i="5" s="1"/>
  <c r="I349" i="5" s="1"/>
  <c r="D476" i="5"/>
  <c r="E476" i="5" s="1"/>
  <c r="D309" i="5"/>
  <c r="E309" i="5" s="1"/>
  <c r="C367" i="5"/>
  <c r="F367" i="5" s="1"/>
  <c r="H367" i="5" s="1"/>
  <c r="I367" i="5" s="1"/>
  <c r="D271" i="5"/>
  <c r="E271" i="5" s="1"/>
  <c r="C343" i="5"/>
  <c r="F343" i="5" s="1"/>
  <c r="H343" i="5" s="1"/>
  <c r="I343" i="5" s="1"/>
  <c r="C357" i="5"/>
  <c r="F357" i="5" s="1"/>
  <c r="H357" i="5" s="1"/>
  <c r="I357" i="5" s="1"/>
  <c r="C263" i="5"/>
  <c r="F263" i="5" s="1"/>
  <c r="H263" i="5" s="1"/>
  <c r="I263" i="5" s="1"/>
  <c r="C335" i="5"/>
  <c r="F335" i="5" s="1"/>
  <c r="H335" i="5" s="1"/>
  <c r="I335" i="5" s="1"/>
  <c r="C320" i="5"/>
  <c r="F320" i="5" s="1"/>
  <c r="H320" i="5" s="1"/>
  <c r="I320" i="5" s="1"/>
  <c r="C440" i="5"/>
  <c r="F440" i="5" s="1"/>
  <c r="H440" i="5" s="1"/>
  <c r="I440" i="5" s="1"/>
  <c r="C470" i="5"/>
  <c r="F470" i="5" s="1"/>
  <c r="H470" i="5" s="1"/>
  <c r="I470" i="5" s="1"/>
  <c r="C374" i="5"/>
  <c r="F374" i="5" s="1"/>
  <c r="H374" i="5" s="1"/>
  <c r="I374" i="5" s="1"/>
  <c r="D472" i="5"/>
  <c r="E472" i="5" s="1"/>
  <c r="C439" i="5"/>
  <c r="F439" i="5" s="1"/>
  <c r="H439" i="5" s="1"/>
  <c r="I439" i="5" s="1"/>
  <c r="C265" i="5"/>
  <c r="F265" i="5" s="1"/>
  <c r="H265" i="5" s="1"/>
  <c r="I265" i="5" s="1"/>
  <c r="C378" i="5"/>
  <c r="F378" i="5" s="1"/>
  <c r="H378" i="5" s="1"/>
  <c r="I378" i="5" s="1"/>
  <c r="C281" i="5"/>
  <c r="F281" i="5" s="1"/>
  <c r="H281" i="5" s="1"/>
  <c r="I281" i="5" s="1"/>
  <c r="C339" i="5"/>
  <c r="F339" i="5" s="1"/>
  <c r="H339" i="5" s="1"/>
  <c r="I339" i="5" s="1"/>
  <c r="D285" i="5"/>
  <c r="E285" i="5" s="1"/>
  <c r="C318" i="5"/>
  <c r="F318" i="5" s="1"/>
  <c r="H318" i="5" s="1"/>
  <c r="I318" i="5" s="1"/>
  <c r="C473" i="5"/>
  <c r="F473" i="5" s="1"/>
  <c r="H473" i="5" s="1"/>
  <c r="I473" i="5" s="1"/>
  <c r="C329" i="5"/>
  <c r="F329" i="5" s="1"/>
  <c r="H329" i="5" s="1"/>
  <c r="I329" i="5" s="1"/>
  <c r="C317" i="5"/>
  <c r="F317" i="5" s="1"/>
  <c r="H317" i="5" s="1"/>
  <c r="I317" i="5" s="1"/>
  <c r="C312" i="5"/>
  <c r="F312" i="5" s="1"/>
  <c r="H312" i="5" s="1"/>
  <c r="I312" i="5" s="1"/>
  <c r="C307" i="5"/>
  <c r="F307" i="5" s="1"/>
  <c r="H307" i="5" s="1"/>
  <c r="I307" i="5" s="1"/>
  <c r="C302" i="5"/>
  <c r="F302" i="5" s="1"/>
  <c r="H302" i="5" s="1"/>
  <c r="I302" i="5" s="1"/>
  <c r="C297" i="5"/>
  <c r="F297" i="5" s="1"/>
  <c r="H297" i="5" s="1"/>
  <c r="I297" i="5" s="1"/>
  <c r="C291" i="5"/>
  <c r="F291" i="5" s="1"/>
  <c r="H291" i="5" s="1"/>
  <c r="I291" i="5" s="1"/>
  <c r="C287" i="5"/>
  <c r="F287" i="5" s="1"/>
  <c r="H287" i="5" s="1"/>
  <c r="I287" i="5" s="1"/>
  <c r="C279" i="5"/>
  <c r="F279" i="5" s="1"/>
  <c r="H279" i="5" s="1"/>
  <c r="I279" i="5" s="1"/>
  <c r="C466" i="5"/>
  <c r="F466" i="5" s="1"/>
  <c r="H466" i="5" s="1"/>
  <c r="I466" i="5" s="1"/>
  <c r="C480" i="5"/>
  <c r="F480" i="5" s="1"/>
  <c r="H480" i="5" s="1"/>
  <c r="I480" i="5" s="1"/>
  <c r="C222" i="5"/>
  <c r="F222" i="5" s="1"/>
  <c r="H222" i="5" s="1"/>
  <c r="I222" i="5" s="1"/>
  <c r="C493" i="5"/>
  <c r="F493" i="5" s="1"/>
  <c r="H493" i="5" s="1"/>
  <c r="I493" i="5" s="1"/>
  <c r="D518" i="5"/>
  <c r="E518" i="5" s="1"/>
  <c r="D485" i="5"/>
  <c r="E485" i="5" s="1"/>
  <c r="D302" i="5"/>
  <c r="E302" i="5" s="1"/>
  <c r="G302" i="5" s="1"/>
  <c r="D425" i="5"/>
  <c r="E425" i="5" s="1"/>
  <c r="D396" i="5"/>
  <c r="E396" i="5" s="1"/>
  <c r="D240" i="5"/>
  <c r="E240" i="5" s="1"/>
  <c r="C245" i="5"/>
  <c r="F245" i="5" s="1"/>
  <c r="H245" i="5" s="1"/>
  <c r="I245" i="5" s="1"/>
  <c r="C242" i="5"/>
  <c r="F242" i="5" s="1"/>
  <c r="H242" i="5" s="1"/>
  <c r="I242" i="5" s="1"/>
  <c r="C239" i="5"/>
  <c r="F239" i="5" s="1"/>
  <c r="H239" i="5" s="1"/>
  <c r="I239" i="5" s="1"/>
  <c r="C235" i="5"/>
  <c r="F235" i="5" s="1"/>
  <c r="H235" i="5" s="1"/>
  <c r="I235" i="5" s="1"/>
  <c r="C232" i="5"/>
  <c r="F232" i="5" s="1"/>
  <c r="H232" i="5" s="1"/>
  <c r="I232" i="5" s="1"/>
  <c r="C230" i="5"/>
  <c r="F230" i="5" s="1"/>
  <c r="H230" i="5" s="1"/>
  <c r="I230" i="5" s="1"/>
  <c r="C228" i="5"/>
  <c r="F228" i="5" s="1"/>
  <c r="H228" i="5" s="1"/>
  <c r="I228" i="5" s="1"/>
  <c r="C226" i="5"/>
  <c r="F226" i="5" s="1"/>
  <c r="H226" i="5" s="1"/>
  <c r="I226" i="5" s="1"/>
  <c r="C505" i="5"/>
  <c r="F505" i="5" s="1"/>
  <c r="H505" i="5" s="1"/>
  <c r="I505" i="5" s="1"/>
  <c r="C495" i="5"/>
  <c r="F495" i="5" s="1"/>
  <c r="H495" i="5" s="1"/>
  <c r="I495" i="5" s="1"/>
  <c r="C463" i="5"/>
  <c r="F463" i="5" s="1"/>
  <c r="H463" i="5" s="1"/>
  <c r="I463" i="5" s="1"/>
  <c r="C223" i="5"/>
  <c r="F223" i="5" s="1"/>
  <c r="H223" i="5" s="1"/>
  <c r="I223" i="5" s="1"/>
  <c r="C219" i="5"/>
  <c r="F219" i="5" s="1"/>
  <c r="H219" i="5" s="1"/>
  <c r="I219" i="5" s="1"/>
  <c r="D490" i="5"/>
  <c r="E490" i="5" s="1"/>
  <c r="D523" i="5"/>
  <c r="E523" i="5" s="1"/>
  <c r="D519" i="5"/>
  <c r="E519" i="5" s="1"/>
  <c r="D509" i="5"/>
  <c r="E509" i="5" s="1"/>
  <c r="D499" i="5"/>
  <c r="E499" i="5" s="1"/>
  <c r="D462" i="5"/>
  <c r="E462" i="5" s="1"/>
  <c r="C218" i="5"/>
  <c r="F218" i="5" s="1"/>
  <c r="H218" i="5" s="1"/>
  <c r="I218" i="5" s="1"/>
  <c r="C217" i="5"/>
  <c r="F217" i="5" s="1"/>
  <c r="H217" i="5" s="1"/>
  <c r="I217" i="5" s="1"/>
  <c r="C216" i="5"/>
  <c r="F216" i="5" s="1"/>
  <c r="H216" i="5" s="1"/>
  <c r="I216" i="5" s="1"/>
  <c r="C282" i="5"/>
  <c r="F282" i="5" s="1"/>
  <c r="H282" i="5" s="1"/>
  <c r="I282" i="5" s="1"/>
  <c r="C272" i="5"/>
  <c r="F272" i="5" s="1"/>
  <c r="H272" i="5" s="1"/>
  <c r="I272" i="5" s="1"/>
  <c r="C494" i="5"/>
  <c r="F494" i="5" s="1"/>
  <c r="H494" i="5" s="1"/>
  <c r="I494" i="5" s="1"/>
  <c r="C471" i="5"/>
  <c r="F471" i="5" s="1"/>
  <c r="H471" i="5" s="1"/>
  <c r="I471" i="5" s="1"/>
  <c r="C429" i="5"/>
  <c r="F429" i="5" s="1"/>
  <c r="H429" i="5" s="1"/>
  <c r="I429" i="5" s="1"/>
  <c r="C260" i="5"/>
  <c r="F260" i="5" s="1"/>
  <c r="H260" i="5" s="1"/>
  <c r="I260" i="5" s="1"/>
  <c r="C255" i="5"/>
  <c r="F255" i="5" s="1"/>
  <c r="H255" i="5" s="1"/>
  <c r="I255" i="5" s="1"/>
  <c r="C250" i="5"/>
  <c r="F250" i="5" s="1"/>
  <c r="H250" i="5" s="1"/>
  <c r="I250" i="5" s="1"/>
  <c r="C247" i="5"/>
  <c r="F247" i="5" s="1"/>
  <c r="H247" i="5" s="1"/>
  <c r="I247" i="5" s="1"/>
  <c r="C213" i="5"/>
  <c r="F213" i="5" s="1"/>
  <c r="H213" i="5" s="1"/>
  <c r="I213" i="5" s="1"/>
  <c r="C211" i="5"/>
  <c r="F211" i="5" s="1"/>
  <c r="H211" i="5" s="1"/>
  <c r="I211" i="5" s="1"/>
  <c r="C206" i="5"/>
  <c r="F206" i="5" s="1"/>
  <c r="H206" i="5" s="1"/>
  <c r="I206" i="5" s="1"/>
  <c r="C203" i="5"/>
  <c r="F203" i="5" s="1"/>
  <c r="H203" i="5" s="1"/>
  <c r="I203" i="5" s="1"/>
  <c r="C200" i="5"/>
  <c r="F200" i="5" s="1"/>
  <c r="H200" i="5" s="1"/>
  <c r="I200" i="5" s="1"/>
  <c r="C199" i="5"/>
  <c r="F199" i="5" s="1"/>
  <c r="H199" i="5" s="1"/>
  <c r="I199" i="5" s="1"/>
  <c r="C198" i="5"/>
  <c r="F198" i="5" s="1"/>
  <c r="H198" i="5" s="1"/>
  <c r="I198" i="5" s="1"/>
  <c r="C197" i="5"/>
  <c r="F197" i="5" s="1"/>
  <c r="H197" i="5" s="1"/>
  <c r="I197" i="5" s="1"/>
  <c r="C196" i="5"/>
  <c r="F196" i="5" s="1"/>
  <c r="H196" i="5" s="1"/>
  <c r="I196" i="5" s="1"/>
  <c r="C195" i="5"/>
  <c r="F195" i="5" s="1"/>
  <c r="H195" i="5" s="1"/>
  <c r="I195" i="5" s="1"/>
  <c r="C194" i="5"/>
  <c r="F194" i="5" s="1"/>
  <c r="H194" i="5" s="1"/>
  <c r="I194" i="5" s="1"/>
  <c r="C193" i="5"/>
  <c r="F193" i="5" s="1"/>
  <c r="H193" i="5" s="1"/>
  <c r="I193" i="5" s="1"/>
  <c r="C192" i="5"/>
  <c r="F192" i="5" s="1"/>
  <c r="H192" i="5" s="1"/>
  <c r="I192" i="5" s="1"/>
  <c r="C191" i="5"/>
  <c r="F191" i="5" s="1"/>
  <c r="H191" i="5" s="1"/>
  <c r="I191" i="5" s="1"/>
  <c r="C190" i="5"/>
  <c r="F190" i="5" s="1"/>
  <c r="H190" i="5" s="1"/>
  <c r="I190" i="5" s="1"/>
  <c r="C189" i="5"/>
  <c r="F189" i="5" s="1"/>
  <c r="H189" i="5" s="1"/>
  <c r="I189" i="5" s="1"/>
  <c r="C188" i="5"/>
  <c r="F188" i="5" s="1"/>
  <c r="H188" i="5" s="1"/>
  <c r="I188" i="5" s="1"/>
  <c r="C187" i="5"/>
  <c r="F187" i="5" s="1"/>
  <c r="H187" i="5" s="1"/>
  <c r="I187" i="5" s="1"/>
  <c r="C186" i="5"/>
  <c r="F186" i="5" s="1"/>
  <c r="H186" i="5" s="1"/>
  <c r="I186" i="5" s="1"/>
  <c r="C185" i="5"/>
  <c r="F185" i="5" s="1"/>
  <c r="H185" i="5" s="1"/>
  <c r="I185" i="5" s="1"/>
  <c r="C184" i="5"/>
  <c r="F184" i="5" s="1"/>
  <c r="H184" i="5" s="1"/>
  <c r="I184" i="5" s="1"/>
  <c r="C183" i="5"/>
  <c r="F183" i="5" s="1"/>
  <c r="H183" i="5" s="1"/>
  <c r="I183" i="5" s="1"/>
  <c r="C182" i="5"/>
  <c r="F182" i="5" s="1"/>
  <c r="H182" i="5" s="1"/>
  <c r="I182" i="5" s="1"/>
  <c r="C181" i="5"/>
  <c r="F181" i="5" s="1"/>
  <c r="H181" i="5" s="1"/>
  <c r="I181" i="5" s="1"/>
  <c r="C180" i="5"/>
  <c r="F180" i="5" s="1"/>
  <c r="H180" i="5" s="1"/>
  <c r="I180" i="5" s="1"/>
  <c r="C179" i="5"/>
  <c r="F179" i="5" s="1"/>
  <c r="H179" i="5" s="1"/>
  <c r="I179" i="5" s="1"/>
  <c r="C162" i="5"/>
  <c r="F162" i="5" s="1"/>
  <c r="H162" i="5" s="1"/>
  <c r="I162" i="5" s="1"/>
  <c r="C160" i="5"/>
  <c r="F160" i="5" s="1"/>
  <c r="H160" i="5" s="1"/>
  <c r="I160" i="5" s="1"/>
  <c r="C158" i="5"/>
  <c r="F158" i="5" s="1"/>
  <c r="H158" i="5" s="1"/>
  <c r="I158" i="5" s="1"/>
  <c r="C156" i="5"/>
  <c r="F156" i="5" s="1"/>
  <c r="H156" i="5" s="1"/>
  <c r="I156" i="5" s="1"/>
  <c r="C154" i="5"/>
  <c r="F154" i="5" s="1"/>
  <c r="H154" i="5" s="1"/>
  <c r="I154" i="5" s="1"/>
  <c r="C152" i="5"/>
  <c r="F152" i="5" s="1"/>
  <c r="H152" i="5" s="1"/>
  <c r="I152" i="5" s="1"/>
  <c r="C150" i="5"/>
  <c r="F150" i="5" s="1"/>
  <c r="H150" i="5" s="1"/>
  <c r="I150" i="5" s="1"/>
  <c r="C148" i="5"/>
  <c r="F148" i="5" s="1"/>
  <c r="H148" i="5" s="1"/>
  <c r="I148" i="5" s="1"/>
  <c r="C146" i="5"/>
  <c r="F146" i="5" s="1"/>
  <c r="H146" i="5" s="1"/>
  <c r="I146" i="5" s="1"/>
  <c r="C422" i="5"/>
  <c r="F422" i="5" s="1"/>
  <c r="H422" i="5" s="1"/>
  <c r="I422" i="5" s="1"/>
  <c r="C499" i="5"/>
  <c r="F499" i="5" s="1"/>
  <c r="H499" i="5" s="1"/>
  <c r="I499" i="5" s="1"/>
  <c r="C426" i="5"/>
  <c r="F426" i="5" s="1"/>
  <c r="H426" i="5" s="1"/>
  <c r="I426" i="5" s="1"/>
  <c r="D488" i="5"/>
  <c r="E488" i="5" s="1"/>
  <c r="D295" i="5"/>
  <c r="E295" i="5" s="1"/>
  <c r="D524" i="5"/>
  <c r="E524" i="5" s="1"/>
  <c r="D521" i="5"/>
  <c r="E521" i="5" s="1"/>
  <c r="D516" i="5"/>
  <c r="E516" i="5" s="1"/>
  <c r="D510" i="5"/>
  <c r="E510" i="5" s="1"/>
  <c r="D507" i="5"/>
  <c r="E507" i="5" s="1"/>
  <c r="D500" i="5"/>
  <c r="E500" i="5" s="1"/>
  <c r="D486" i="5"/>
  <c r="E486" i="5" s="1"/>
  <c r="D468" i="5"/>
  <c r="E468" i="5" s="1"/>
  <c r="D455" i="5"/>
  <c r="E455" i="5" s="1"/>
  <c r="D372" i="5"/>
  <c r="E372" i="5" s="1"/>
  <c r="D458" i="5"/>
  <c r="E458" i="5" s="1"/>
  <c r="D413" i="5"/>
  <c r="E413" i="5" s="1"/>
  <c r="D306" i="5"/>
  <c r="E306" i="5" s="1"/>
  <c r="D402" i="5"/>
  <c r="E402" i="5" s="1"/>
  <c r="D395" i="5"/>
  <c r="E395" i="5" s="1"/>
  <c r="D391" i="5"/>
  <c r="E391" i="5" s="1"/>
  <c r="G391" i="5" s="1"/>
  <c r="D385" i="5"/>
  <c r="E385" i="5" s="1"/>
  <c r="D357" i="5"/>
  <c r="E357" i="5" s="1"/>
  <c r="D242" i="5"/>
  <c r="E242" i="5" s="1"/>
  <c r="D233" i="5"/>
  <c r="E233" i="5" s="1"/>
  <c r="D229" i="5"/>
  <c r="E229" i="5" s="1"/>
  <c r="C178" i="5"/>
  <c r="F178" i="5" s="1"/>
  <c r="H178" i="5" s="1"/>
  <c r="I178" i="5" s="1"/>
  <c r="C177" i="5"/>
  <c r="F177" i="5" s="1"/>
  <c r="H177" i="5" s="1"/>
  <c r="I177" i="5" s="1"/>
  <c r="C176" i="5"/>
  <c r="F176" i="5" s="1"/>
  <c r="H176" i="5" s="1"/>
  <c r="I176" i="5" s="1"/>
  <c r="C175" i="5"/>
  <c r="F175" i="5" s="1"/>
  <c r="H175" i="5" s="1"/>
  <c r="I175" i="5" s="1"/>
  <c r="C174" i="5"/>
  <c r="F174" i="5" s="1"/>
  <c r="H174" i="5" s="1"/>
  <c r="I174" i="5" s="1"/>
  <c r="C173" i="5"/>
  <c r="F173" i="5" s="1"/>
  <c r="H173" i="5" s="1"/>
  <c r="I173" i="5" s="1"/>
  <c r="C172" i="5"/>
  <c r="F172" i="5" s="1"/>
  <c r="H172" i="5" s="1"/>
  <c r="I172" i="5" s="1"/>
  <c r="C171" i="5"/>
  <c r="F171" i="5" s="1"/>
  <c r="H171" i="5" s="1"/>
  <c r="I171" i="5" s="1"/>
  <c r="C170" i="5"/>
  <c r="F170" i="5" s="1"/>
  <c r="H170" i="5" s="1"/>
  <c r="I170" i="5" s="1"/>
  <c r="C169" i="5"/>
  <c r="F169" i="5" s="1"/>
  <c r="H169" i="5" s="1"/>
  <c r="I169" i="5" s="1"/>
  <c r="C168" i="5"/>
  <c r="F168" i="5" s="1"/>
  <c r="H168" i="5" s="1"/>
  <c r="I168" i="5" s="1"/>
  <c r="C167" i="5"/>
  <c r="F167" i="5" s="1"/>
  <c r="H167" i="5" s="1"/>
  <c r="I167" i="5" s="1"/>
  <c r="C166" i="5"/>
  <c r="F166" i="5" s="1"/>
  <c r="H166" i="5" s="1"/>
  <c r="I166" i="5" s="1"/>
  <c r="D470" i="5"/>
  <c r="E470" i="5" s="1"/>
  <c r="D263" i="5"/>
  <c r="E263" i="5" s="1"/>
  <c r="C369" i="5"/>
  <c r="F369" i="5" s="1"/>
  <c r="H369" i="5" s="1"/>
  <c r="I369" i="5" s="1"/>
  <c r="C443" i="5"/>
  <c r="F443" i="5" s="1"/>
  <c r="H443" i="5" s="1"/>
  <c r="I443" i="5" s="1"/>
  <c r="C275" i="5"/>
  <c r="F275" i="5" s="1"/>
  <c r="H275" i="5" s="1"/>
  <c r="I275" i="5" s="1"/>
  <c r="C435" i="5"/>
  <c r="F435" i="5" s="1"/>
  <c r="H435" i="5" s="1"/>
  <c r="I435" i="5" s="1"/>
  <c r="C355" i="5"/>
  <c r="F355" i="5" s="1"/>
  <c r="H355" i="5" s="1"/>
  <c r="I355" i="5" s="1"/>
  <c r="C270" i="5"/>
  <c r="F270" i="5" s="1"/>
  <c r="H270" i="5" s="1"/>
  <c r="I270" i="5" s="1"/>
  <c r="C418" i="5"/>
  <c r="F418" i="5" s="1"/>
  <c r="H418" i="5" s="1"/>
  <c r="I418" i="5" s="1"/>
  <c r="D308" i="5"/>
  <c r="E308" i="5" s="1"/>
  <c r="C323" i="5"/>
  <c r="F323" i="5" s="1"/>
  <c r="H323" i="5" s="1"/>
  <c r="I323" i="5" s="1"/>
  <c r="C452" i="5"/>
  <c r="F452" i="5" s="1"/>
  <c r="H452" i="5" s="1"/>
  <c r="I452" i="5" s="1"/>
  <c r="C345" i="5"/>
  <c r="F345" i="5" s="1"/>
  <c r="H345" i="5" s="1"/>
  <c r="I345" i="5" s="1"/>
  <c r="C483" i="5"/>
  <c r="F483" i="5" s="1"/>
  <c r="H483" i="5" s="1"/>
  <c r="I483" i="5" s="1"/>
  <c r="C379" i="5"/>
  <c r="F379" i="5" s="1"/>
  <c r="H379" i="5" s="1"/>
  <c r="I379" i="5" s="1"/>
  <c r="C373" i="5"/>
  <c r="F373" i="5" s="1"/>
  <c r="H373" i="5" s="1"/>
  <c r="I373" i="5" s="1"/>
  <c r="D268" i="5"/>
  <c r="E268" i="5" s="1"/>
  <c r="C446" i="5"/>
  <c r="F446" i="5" s="1"/>
  <c r="H446" i="5" s="1"/>
  <c r="I446" i="5" s="1"/>
  <c r="C490" i="5"/>
  <c r="F490" i="5" s="1"/>
  <c r="H490" i="5" s="1"/>
  <c r="I490" i="5" s="1"/>
  <c r="C360" i="5"/>
  <c r="F360" i="5" s="1"/>
  <c r="H360" i="5" s="1"/>
  <c r="I360" i="5" s="1"/>
  <c r="C266" i="5"/>
  <c r="F266" i="5" s="1"/>
  <c r="H266" i="5" s="1"/>
  <c r="I266" i="5" s="1"/>
  <c r="C425" i="5"/>
  <c r="F425" i="5" s="1"/>
  <c r="H425" i="5" s="1"/>
  <c r="I425" i="5" s="1"/>
  <c r="C334" i="5"/>
  <c r="F334" i="5" s="1"/>
  <c r="H334" i="5" s="1"/>
  <c r="I334" i="5" s="1"/>
  <c r="D260" i="5"/>
  <c r="E260" i="5" s="1"/>
  <c r="C497" i="5"/>
  <c r="F497" i="5" s="1"/>
  <c r="H497" i="5" s="1"/>
  <c r="I497" i="5" s="1"/>
  <c r="C340" i="5"/>
  <c r="F340" i="5" s="1"/>
  <c r="H340" i="5" s="1"/>
  <c r="I340" i="5" s="1"/>
  <c r="C326" i="5"/>
  <c r="F326" i="5" s="1"/>
  <c r="H326" i="5" s="1"/>
  <c r="I326" i="5" s="1"/>
  <c r="C322" i="5"/>
  <c r="F322" i="5" s="1"/>
  <c r="H322" i="5" s="1"/>
  <c r="I322" i="5" s="1"/>
  <c r="C314" i="5"/>
  <c r="F314" i="5" s="1"/>
  <c r="H314" i="5" s="1"/>
  <c r="I314" i="5" s="1"/>
  <c r="C311" i="5"/>
  <c r="F311" i="5" s="1"/>
  <c r="H311" i="5" s="1"/>
  <c r="I311" i="5" s="1"/>
  <c r="C308" i="5"/>
  <c r="F308" i="5" s="1"/>
  <c r="H308" i="5" s="1"/>
  <c r="I308" i="5" s="1"/>
  <c r="C303" i="5"/>
  <c r="F303" i="5" s="1"/>
  <c r="H303" i="5" s="1"/>
  <c r="I303" i="5" s="1"/>
  <c r="C298" i="5"/>
  <c r="F298" i="5" s="1"/>
  <c r="H298" i="5" s="1"/>
  <c r="I298" i="5" s="1"/>
  <c r="C293" i="5"/>
  <c r="F293" i="5" s="1"/>
  <c r="H293" i="5" s="1"/>
  <c r="I293" i="5" s="1"/>
  <c r="C288" i="5"/>
  <c r="F288" i="5" s="1"/>
  <c r="H288" i="5" s="1"/>
  <c r="I288" i="5" s="1"/>
  <c r="C286" i="5"/>
  <c r="F286" i="5" s="1"/>
  <c r="H286" i="5" s="1"/>
  <c r="I286" i="5" s="1"/>
  <c r="C484" i="5"/>
  <c r="F484" i="5" s="1"/>
  <c r="H484" i="5" s="1"/>
  <c r="I484" i="5" s="1"/>
  <c r="C419" i="5"/>
  <c r="F419" i="5" s="1"/>
  <c r="H419" i="5" s="1"/>
  <c r="I419" i="5" s="1"/>
  <c r="C249" i="5"/>
  <c r="F249" i="5" s="1"/>
  <c r="H249" i="5" s="1"/>
  <c r="I249" i="5" s="1"/>
  <c r="C469" i="5"/>
  <c r="F469" i="5" s="1"/>
  <c r="H469" i="5" s="1"/>
  <c r="I469" i="5" s="1"/>
  <c r="D405" i="5"/>
  <c r="E405" i="5" s="1"/>
  <c r="D390" i="5"/>
  <c r="E390" i="5" s="1"/>
  <c r="D236" i="5"/>
  <c r="E236" i="5" s="1"/>
  <c r="C244" i="5"/>
  <c r="F244" i="5" s="1"/>
  <c r="H244" i="5" s="1"/>
  <c r="I244" i="5" s="1"/>
  <c r="C240" i="5"/>
  <c r="F240" i="5" s="1"/>
  <c r="H240" i="5" s="1"/>
  <c r="I240" i="5" s="1"/>
  <c r="C238" i="5"/>
  <c r="F238" i="5" s="1"/>
  <c r="H238" i="5" s="1"/>
  <c r="I238" i="5" s="1"/>
  <c r="C236" i="5"/>
  <c r="F236" i="5" s="1"/>
  <c r="H236" i="5" s="1"/>
  <c r="I236" i="5" s="1"/>
  <c r="C234" i="5"/>
  <c r="F234" i="5" s="1"/>
  <c r="H234" i="5" s="1"/>
  <c r="I234" i="5" s="1"/>
  <c r="C233" i="5"/>
  <c r="F233" i="5" s="1"/>
  <c r="H233" i="5" s="1"/>
  <c r="I233" i="5" s="1"/>
  <c r="C231" i="5"/>
  <c r="F231" i="5" s="1"/>
  <c r="H231" i="5" s="1"/>
  <c r="I231" i="5" s="1"/>
  <c r="C229" i="5"/>
  <c r="F229" i="5" s="1"/>
  <c r="H229" i="5" s="1"/>
  <c r="I229" i="5" s="1"/>
  <c r="C227" i="5"/>
  <c r="F227" i="5" s="1"/>
  <c r="H227" i="5" s="1"/>
  <c r="I227" i="5" s="1"/>
  <c r="C225" i="5"/>
  <c r="F225" i="5" s="1"/>
  <c r="H225" i="5" s="1"/>
  <c r="I225" i="5" s="1"/>
  <c r="C224" i="5"/>
  <c r="F224" i="5" s="1"/>
  <c r="H224" i="5" s="1"/>
  <c r="I224" i="5" s="1"/>
  <c r="C500" i="5"/>
  <c r="F500" i="5" s="1"/>
  <c r="H500" i="5" s="1"/>
  <c r="I500" i="5" s="1"/>
  <c r="C487" i="5"/>
  <c r="F487" i="5" s="1"/>
  <c r="H487" i="5" s="1"/>
  <c r="I487" i="5" s="1"/>
  <c r="C475" i="5"/>
  <c r="F475" i="5" s="1"/>
  <c r="H475" i="5" s="1"/>
  <c r="I475" i="5" s="1"/>
  <c r="C430" i="5"/>
  <c r="F430" i="5" s="1"/>
  <c r="H430" i="5" s="1"/>
  <c r="I430" i="5" s="1"/>
  <c r="C221" i="5"/>
  <c r="F221" i="5" s="1"/>
  <c r="H221" i="5" s="1"/>
  <c r="I221" i="5" s="1"/>
  <c r="C459" i="5"/>
  <c r="F459" i="5" s="1"/>
  <c r="H459" i="5" s="1"/>
  <c r="I459" i="5" s="1"/>
  <c r="D299" i="5"/>
  <c r="E299" i="5" s="1"/>
  <c r="D514" i="5"/>
  <c r="E514" i="5" s="1"/>
  <c r="D505" i="5"/>
  <c r="E505" i="5" s="1"/>
  <c r="D495" i="5"/>
  <c r="E495" i="5" s="1"/>
  <c r="D484" i="5"/>
  <c r="E484" i="5" s="1"/>
  <c r="G484" i="5" s="1"/>
  <c r="D409" i="5"/>
  <c r="E409" i="5" s="1"/>
  <c r="D456" i="5"/>
  <c r="E456" i="5" s="1"/>
  <c r="D330" i="5"/>
  <c r="E330" i="5" s="1"/>
  <c r="D431" i="5"/>
  <c r="E431" i="5" s="1"/>
  <c r="D416" i="5"/>
  <c r="E416" i="5" s="1"/>
  <c r="D406" i="5"/>
  <c r="E406" i="5" s="1"/>
  <c r="D400" i="5"/>
  <c r="E400" i="5" s="1"/>
  <c r="D394" i="5"/>
  <c r="E394" i="5" s="1"/>
  <c r="G394" i="5" s="1"/>
  <c r="D389" i="5"/>
  <c r="E389" i="5" s="1"/>
  <c r="G389" i="5" s="1"/>
  <c r="D359" i="5"/>
  <c r="E359" i="5" s="1"/>
  <c r="D352" i="5"/>
  <c r="E352" i="5" s="1"/>
  <c r="D231" i="5"/>
  <c r="E231" i="5" s="1"/>
  <c r="G231" i="5" s="1"/>
  <c r="C403" i="5"/>
  <c r="F403" i="5" s="1"/>
  <c r="H403" i="5" s="1"/>
  <c r="I403" i="5" s="1"/>
  <c r="C165" i="5"/>
  <c r="F165" i="5" s="1"/>
  <c r="H165" i="5" s="1"/>
  <c r="I165" i="5" s="1"/>
  <c r="C164" i="5"/>
  <c r="F164" i="5" s="1"/>
  <c r="H164" i="5" s="1"/>
  <c r="I164" i="5" s="1"/>
  <c r="C163" i="5"/>
  <c r="F163" i="5" s="1"/>
  <c r="H163" i="5" s="1"/>
  <c r="I163" i="5" s="1"/>
  <c r="C161" i="5"/>
  <c r="F161" i="5" s="1"/>
  <c r="H161" i="5" s="1"/>
  <c r="I161" i="5" s="1"/>
  <c r="C159" i="5"/>
  <c r="F159" i="5" s="1"/>
  <c r="H159" i="5" s="1"/>
  <c r="I159" i="5" s="1"/>
  <c r="C157" i="5"/>
  <c r="F157" i="5" s="1"/>
  <c r="H157" i="5" s="1"/>
  <c r="I157" i="5" s="1"/>
  <c r="C155" i="5"/>
  <c r="F155" i="5" s="1"/>
  <c r="H155" i="5" s="1"/>
  <c r="I155" i="5" s="1"/>
  <c r="C153" i="5"/>
  <c r="F153" i="5" s="1"/>
  <c r="H153" i="5" s="1"/>
  <c r="I153" i="5" s="1"/>
  <c r="C151" i="5"/>
  <c r="F151" i="5" s="1"/>
  <c r="H151" i="5" s="1"/>
  <c r="I151" i="5" s="1"/>
  <c r="C149" i="5"/>
  <c r="F149" i="5" s="1"/>
  <c r="H149" i="5" s="1"/>
  <c r="I149" i="5" s="1"/>
  <c r="C147" i="5"/>
  <c r="F147" i="5" s="1"/>
  <c r="H147" i="5" s="1"/>
  <c r="I147" i="5" s="1"/>
  <c r="C145" i="5"/>
  <c r="F145" i="5" s="1"/>
  <c r="H145" i="5" s="1"/>
  <c r="I145" i="5" s="1"/>
  <c r="C507" i="5"/>
  <c r="F507" i="5" s="1"/>
  <c r="H507" i="5" s="1"/>
  <c r="I507" i="5" s="1"/>
  <c r="C433" i="5"/>
  <c r="F433" i="5" s="1"/>
  <c r="H433" i="5" s="1"/>
  <c r="I433" i="5" s="1"/>
  <c r="D489" i="5"/>
  <c r="E489" i="5" s="1"/>
  <c r="D292" i="5"/>
  <c r="E292" i="5" s="1"/>
  <c r="D520" i="5"/>
  <c r="E520" i="5" s="1"/>
  <c r="D512" i="5"/>
  <c r="E512" i="5" s="1"/>
  <c r="D508" i="5"/>
  <c r="E508" i="5" s="1"/>
  <c r="D504" i="5"/>
  <c r="E504" i="5" s="1"/>
  <c r="G504" i="5" s="1"/>
  <c r="D501" i="5"/>
  <c r="E501" i="5" s="1"/>
  <c r="D496" i="5"/>
  <c r="E496" i="5" s="1"/>
  <c r="D483" i="5"/>
  <c r="E483" i="5" s="1"/>
  <c r="D459" i="5"/>
  <c r="E459" i="5" s="1"/>
  <c r="D415" i="5"/>
  <c r="E415" i="5" s="1"/>
  <c r="D257" i="5"/>
  <c r="E257" i="5" s="1"/>
  <c r="D452" i="5"/>
  <c r="E452" i="5" s="1"/>
  <c r="D447" i="5"/>
  <c r="E447" i="5" s="1"/>
  <c r="D427" i="5"/>
  <c r="E427" i="5" s="1"/>
  <c r="C330" i="5"/>
  <c r="F330" i="5" s="1"/>
  <c r="H330" i="5" s="1"/>
  <c r="I330" i="5" s="1"/>
  <c r="D403" i="5"/>
  <c r="E403" i="5" s="1"/>
  <c r="D397" i="5"/>
  <c r="E397" i="5" s="1"/>
  <c r="D362" i="5"/>
  <c r="E362" i="5" s="1"/>
  <c r="G362" i="5" s="1"/>
  <c r="D356" i="5"/>
  <c r="E356" i="5" s="1"/>
  <c r="D349" i="5"/>
  <c r="E349" i="5" s="1"/>
  <c r="D238" i="5"/>
  <c r="E238" i="5" s="1"/>
  <c r="D235" i="5"/>
  <c r="E235" i="5" s="1"/>
  <c r="D228" i="5"/>
  <c r="E228" i="5" s="1"/>
  <c r="D224" i="5"/>
  <c r="E224" i="5" s="1"/>
  <c r="C283" i="5"/>
  <c r="F283" i="5" s="1"/>
  <c r="H283" i="5" s="1"/>
  <c r="I283" i="5" s="1"/>
  <c r="C276" i="5"/>
  <c r="F276" i="5" s="1"/>
  <c r="H276" i="5" s="1"/>
  <c r="I276" i="5" s="1"/>
  <c r="C269" i="5"/>
  <c r="F269" i="5" s="1"/>
  <c r="H269" i="5" s="1"/>
  <c r="I269" i="5" s="1"/>
  <c r="C501" i="5"/>
  <c r="F501" i="5" s="1"/>
  <c r="H501" i="5" s="1"/>
  <c r="I501" i="5" s="1"/>
  <c r="C479" i="5"/>
  <c r="F479" i="5" s="1"/>
  <c r="H479" i="5" s="1"/>
  <c r="I479" i="5" s="1"/>
  <c r="C462" i="5"/>
  <c r="F462" i="5" s="1"/>
  <c r="H462" i="5" s="1"/>
  <c r="I462" i="5" s="1"/>
  <c r="C261" i="5"/>
  <c r="F261" i="5" s="1"/>
  <c r="H261" i="5" s="1"/>
  <c r="I261" i="5" s="1"/>
  <c r="C258" i="5"/>
  <c r="F258" i="5" s="1"/>
  <c r="H258" i="5" s="1"/>
  <c r="I258" i="5" s="1"/>
  <c r="C254" i="5"/>
  <c r="F254" i="5" s="1"/>
  <c r="H254" i="5" s="1"/>
  <c r="I254" i="5" s="1"/>
  <c r="G497" i="5" l="1"/>
  <c r="G488" i="5"/>
  <c r="G238" i="5"/>
  <c r="G224" i="5"/>
  <c r="G469" i="5"/>
  <c r="G450" i="5"/>
  <c r="G521" i="5"/>
  <c r="G456" i="5"/>
  <c r="G395" i="5"/>
  <c r="G344" i="5"/>
  <c r="G319" i="5"/>
  <c r="G184" i="5"/>
  <c r="G164" i="5"/>
  <c r="G163" i="5"/>
  <c r="G161" i="5"/>
  <c r="G159" i="5"/>
  <c r="G157" i="5"/>
  <c r="G155" i="5"/>
  <c r="G396" i="5"/>
  <c r="G264" i="5"/>
  <c r="G399" i="5"/>
  <c r="G361" i="5"/>
  <c r="G414" i="5"/>
  <c r="G397" i="5"/>
  <c r="G253" i="5"/>
  <c r="G445" i="5"/>
  <c r="G423" i="5"/>
  <c r="G234" i="5"/>
  <c r="G227" i="5"/>
  <c r="G376" i="5"/>
  <c r="G370" i="5"/>
  <c r="G321" i="5"/>
  <c r="G428" i="5"/>
  <c r="G424" i="5"/>
  <c r="G407" i="5"/>
  <c r="G347" i="5"/>
  <c r="G340" i="5"/>
  <c r="G338" i="5"/>
  <c r="G325" i="5"/>
  <c r="G286" i="5"/>
  <c r="G310" i="5"/>
  <c r="G316" i="5"/>
  <c r="G212" i="5"/>
  <c r="G210" i="5"/>
  <c r="G207" i="5"/>
  <c r="G205" i="5"/>
  <c r="G372" i="5"/>
  <c r="G306" i="5"/>
  <c r="G299" i="5"/>
  <c r="G508" i="5"/>
  <c r="G522" i="5"/>
  <c r="G515" i="5"/>
  <c r="G506" i="5"/>
  <c r="G457" i="5"/>
  <c r="G448" i="5"/>
  <c r="G255" i="5"/>
  <c r="G525" i="5"/>
  <c r="G471" i="5"/>
  <c r="G434" i="5"/>
  <c r="G378" i="5"/>
  <c r="G291" i="5"/>
  <c r="G430" i="5"/>
  <c r="G331" i="5"/>
  <c r="G307" i="5"/>
  <c r="G300" i="5"/>
  <c r="G298" i="5"/>
  <c r="G294" i="5"/>
  <c r="G367" i="5"/>
  <c r="G239" i="5"/>
  <c r="G223" i="5"/>
  <c r="G342" i="5"/>
  <c r="G303" i="5"/>
  <c r="G329" i="5"/>
  <c r="G317" i="5"/>
  <c r="G315" i="5"/>
  <c r="G313" i="5"/>
  <c r="G290" i="5"/>
  <c r="G250" i="5"/>
  <c r="G247" i="5"/>
  <c r="G186" i="5"/>
  <c r="G185" i="5"/>
  <c r="G174" i="5"/>
  <c r="G173" i="5"/>
  <c r="G172" i="5"/>
  <c r="G265" i="5"/>
  <c r="G281" i="5"/>
  <c r="G213" i="5"/>
  <c r="G211" i="5"/>
  <c r="G203" i="5"/>
  <c r="G510" i="5"/>
  <c r="G470" i="5"/>
  <c r="G263" i="5"/>
  <c r="G260" i="5"/>
  <c r="G409" i="5"/>
  <c r="G406" i="5"/>
  <c r="G400" i="5"/>
  <c r="G489" i="5"/>
  <c r="G292" i="5"/>
  <c r="G459" i="5"/>
  <c r="G415" i="5"/>
  <c r="G427" i="5"/>
  <c r="G403" i="5"/>
  <c r="G235" i="5"/>
  <c r="G487" i="5"/>
  <c r="G293" i="5"/>
  <c r="G482" i="5"/>
  <c r="G421" i="5"/>
  <c r="G241" i="5"/>
  <c r="G420" i="5"/>
  <c r="G412" i="5"/>
  <c r="G243" i="5"/>
  <c r="G222" i="5"/>
  <c r="G220" i="5"/>
  <c r="G311" i="5"/>
  <c r="G283" i="5"/>
  <c r="G206" i="5"/>
  <c r="G204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78" i="5"/>
  <c r="G177" i="5"/>
  <c r="G176" i="5"/>
  <c r="G175" i="5"/>
  <c r="G251" i="5"/>
  <c r="G165" i="5"/>
  <c r="G153" i="5"/>
  <c r="G288" i="5"/>
  <c r="G147" i="5"/>
  <c r="G289" i="5"/>
  <c r="G151" i="5"/>
  <c r="G312" i="5"/>
  <c r="G280" i="5"/>
  <c r="G475" i="5"/>
  <c r="G284" i="5"/>
  <c r="G149" i="5"/>
  <c r="G474" i="5"/>
  <c r="G512" i="5"/>
  <c r="G256" i="5"/>
  <c r="G326" i="5"/>
  <c r="G322" i="5"/>
  <c r="G314" i="5"/>
  <c r="G249" i="5"/>
  <c r="G244" i="5"/>
  <c r="G476" i="5"/>
  <c r="G309" i="5"/>
  <c r="G271" i="5"/>
  <c r="G472" i="5"/>
  <c r="G285" i="5"/>
  <c r="G518" i="5"/>
  <c r="G485" i="5"/>
  <c r="G240" i="5"/>
  <c r="G523" i="5"/>
  <c r="G519" i="5"/>
  <c r="G509" i="5"/>
  <c r="G462" i="5"/>
  <c r="G295" i="5"/>
  <c r="G524" i="5"/>
  <c r="G516" i="5"/>
  <c r="G500" i="5"/>
  <c r="G413" i="5"/>
  <c r="G402" i="5"/>
  <c r="G233" i="5"/>
  <c r="G229" i="5"/>
  <c r="G268" i="5"/>
  <c r="G520" i="5"/>
  <c r="G308" i="5"/>
  <c r="M338" i="5"/>
  <c r="L338" i="5"/>
  <c r="K338" i="5"/>
  <c r="J338" i="5"/>
  <c r="M316" i="5"/>
  <c r="L316" i="5"/>
  <c r="K316" i="5"/>
  <c r="J316" i="5"/>
  <c r="L424" i="5"/>
  <c r="M424" i="5"/>
  <c r="J424" i="5"/>
  <c r="K424" i="5"/>
  <c r="K273" i="5"/>
  <c r="O273" i="5" s="1"/>
  <c r="M273" i="5"/>
  <c r="Q273" i="5" s="1"/>
  <c r="J273" i="5"/>
  <c r="N273" i="5" s="1"/>
  <c r="L273" i="5"/>
  <c r="P273" i="5" s="1"/>
  <c r="J428" i="5"/>
  <c r="K428" i="5"/>
  <c r="M428" i="5"/>
  <c r="L428" i="5"/>
  <c r="L372" i="5"/>
  <c r="J372" i="5"/>
  <c r="M372" i="5"/>
  <c r="K372" i="5"/>
  <c r="L346" i="5"/>
  <c r="K346" i="5"/>
  <c r="J346" i="5"/>
  <c r="M346" i="5"/>
  <c r="L423" i="5"/>
  <c r="M423" i="5"/>
  <c r="J423" i="5"/>
  <c r="K423" i="5"/>
  <c r="K347" i="5"/>
  <c r="M347" i="5"/>
  <c r="J347" i="5"/>
  <c r="L347" i="5"/>
  <c r="K508" i="5"/>
  <c r="J508" i="5"/>
  <c r="M508" i="5"/>
  <c r="L508" i="5"/>
  <c r="K337" i="5"/>
  <c r="M337" i="5"/>
  <c r="J337" i="5"/>
  <c r="L337" i="5"/>
  <c r="K321" i="5"/>
  <c r="L321" i="5"/>
  <c r="M321" i="5"/>
  <c r="J321" i="5"/>
  <c r="L491" i="5"/>
  <c r="P491" i="5" s="1"/>
  <c r="J491" i="5"/>
  <c r="N491" i="5" s="1"/>
  <c r="K491" i="5"/>
  <c r="O491" i="5" s="1"/>
  <c r="M491" i="5"/>
  <c r="Q491" i="5" s="1"/>
  <c r="K432" i="5"/>
  <c r="L432" i="5"/>
  <c r="M432" i="5"/>
  <c r="J432" i="5"/>
  <c r="M325" i="5"/>
  <c r="L325" i="5"/>
  <c r="K325" i="5"/>
  <c r="J325" i="5"/>
  <c r="M315" i="5"/>
  <c r="L315" i="5"/>
  <c r="K315" i="5"/>
  <c r="J315" i="5"/>
  <c r="M310" i="5"/>
  <c r="J310" i="5"/>
  <c r="K310" i="5"/>
  <c r="L310" i="5"/>
  <c r="K306" i="5"/>
  <c r="M306" i="5"/>
  <c r="L306" i="5"/>
  <c r="J306" i="5"/>
  <c r="M299" i="5"/>
  <c r="J299" i="5"/>
  <c r="L299" i="5"/>
  <c r="K299" i="5"/>
  <c r="L292" i="5"/>
  <c r="J292" i="5"/>
  <c r="K292" i="5"/>
  <c r="M292" i="5"/>
  <c r="M289" i="5"/>
  <c r="L289" i="5"/>
  <c r="K289" i="5"/>
  <c r="J289" i="5"/>
  <c r="K285" i="5"/>
  <c r="J285" i="5"/>
  <c r="M285" i="5"/>
  <c r="L285" i="5"/>
  <c r="M506" i="5"/>
  <c r="Q506" i="5" s="1"/>
  <c r="L506" i="5"/>
  <c r="P506" i="5" s="1"/>
  <c r="K506" i="5"/>
  <c r="J506" i="5"/>
  <c r="M253" i="5"/>
  <c r="J253" i="5"/>
  <c r="L253" i="5"/>
  <c r="K253" i="5"/>
  <c r="L457" i="5"/>
  <c r="K457" i="5"/>
  <c r="M457" i="5"/>
  <c r="J457" i="5"/>
  <c r="L248" i="5"/>
  <c r="K248" i="5"/>
  <c r="J248" i="5"/>
  <c r="M248" i="5"/>
  <c r="L210" i="5"/>
  <c r="J210" i="5"/>
  <c r="M210" i="5"/>
  <c r="K210" i="5"/>
  <c r="L205" i="5"/>
  <c r="K205" i="5"/>
  <c r="O205" i="5" s="1"/>
  <c r="J205" i="5"/>
  <c r="M205" i="5"/>
  <c r="K472" i="5"/>
  <c r="L472" i="5"/>
  <c r="J472" i="5"/>
  <c r="M472" i="5"/>
  <c r="J427" i="5"/>
  <c r="K427" i="5"/>
  <c r="M427" i="5"/>
  <c r="L427" i="5"/>
  <c r="K524" i="5"/>
  <c r="J524" i="5"/>
  <c r="M524" i="5"/>
  <c r="L524" i="5"/>
  <c r="M519" i="5"/>
  <c r="J519" i="5"/>
  <c r="L519" i="5"/>
  <c r="K519" i="5"/>
  <c r="L515" i="5"/>
  <c r="M515" i="5"/>
  <c r="J515" i="5"/>
  <c r="K515" i="5"/>
  <c r="J504" i="5"/>
  <c r="M504" i="5"/>
  <c r="K504" i="5"/>
  <c r="L504" i="5"/>
  <c r="M478" i="5"/>
  <c r="Q478" i="5" s="1"/>
  <c r="J478" i="5"/>
  <c r="N478" i="5" s="1"/>
  <c r="K478" i="5"/>
  <c r="O478" i="5" s="1"/>
  <c r="L478" i="5"/>
  <c r="P478" i="5" s="1"/>
  <c r="L421" i="5"/>
  <c r="K421" i="5"/>
  <c r="M421" i="5"/>
  <c r="J421" i="5"/>
  <c r="M264" i="5"/>
  <c r="K264" i="5"/>
  <c r="J264" i="5"/>
  <c r="L264" i="5"/>
  <c r="L262" i="5"/>
  <c r="K262" i="5"/>
  <c r="J262" i="5"/>
  <c r="M262" i="5"/>
  <c r="K215" i="5"/>
  <c r="J215" i="5"/>
  <c r="M215" i="5"/>
  <c r="L215" i="5"/>
  <c r="K209" i="5"/>
  <c r="M209" i="5"/>
  <c r="J209" i="5"/>
  <c r="L209" i="5"/>
  <c r="K204" i="5"/>
  <c r="J204" i="5"/>
  <c r="M204" i="5"/>
  <c r="L204" i="5"/>
  <c r="L467" i="5"/>
  <c r="M467" i="5"/>
  <c r="K467" i="5"/>
  <c r="J467" i="5"/>
  <c r="M477" i="5"/>
  <c r="J477" i="5"/>
  <c r="L477" i="5"/>
  <c r="K477" i="5"/>
  <c r="L526" i="5"/>
  <c r="M526" i="5"/>
  <c r="K526" i="5"/>
  <c r="O526" i="5" s="1"/>
  <c r="J526" i="5"/>
  <c r="L520" i="5"/>
  <c r="K520" i="5"/>
  <c r="J520" i="5"/>
  <c r="M520" i="5"/>
  <c r="L518" i="5"/>
  <c r="M518" i="5"/>
  <c r="J518" i="5"/>
  <c r="K518" i="5"/>
  <c r="J516" i="5"/>
  <c r="L516" i="5"/>
  <c r="M516" i="5"/>
  <c r="K516" i="5"/>
  <c r="K514" i="5"/>
  <c r="J514" i="5"/>
  <c r="L514" i="5"/>
  <c r="M514" i="5"/>
  <c r="M512" i="5"/>
  <c r="J512" i="5"/>
  <c r="K512" i="5"/>
  <c r="L512" i="5"/>
  <c r="J509" i="5"/>
  <c r="L509" i="5"/>
  <c r="K509" i="5"/>
  <c r="M509" i="5"/>
  <c r="K498" i="5"/>
  <c r="J498" i="5"/>
  <c r="M498" i="5"/>
  <c r="L498" i="5"/>
  <c r="L485" i="5"/>
  <c r="J485" i="5"/>
  <c r="M485" i="5"/>
  <c r="K485" i="5"/>
  <c r="M474" i="5"/>
  <c r="L474" i="5"/>
  <c r="K474" i="5"/>
  <c r="J474" i="5"/>
  <c r="L295" i="5"/>
  <c r="J295" i="5"/>
  <c r="K295" i="5"/>
  <c r="M295" i="5"/>
  <c r="Q526" i="5"/>
  <c r="N526" i="5"/>
  <c r="P526" i="5"/>
  <c r="K300" i="5"/>
  <c r="L300" i="5"/>
  <c r="M300" i="5"/>
  <c r="J300" i="5"/>
  <c r="M371" i="5"/>
  <c r="J371" i="5"/>
  <c r="L371" i="5"/>
  <c r="K371" i="5"/>
  <c r="L410" i="5"/>
  <c r="M410" i="5"/>
  <c r="K410" i="5"/>
  <c r="J410" i="5"/>
  <c r="M344" i="5"/>
  <c r="K344" i="5"/>
  <c r="L344" i="5"/>
  <c r="J344" i="5"/>
  <c r="M458" i="5"/>
  <c r="L458" i="5"/>
  <c r="K458" i="5"/>
  <c r="J458" i="5"/>
  <c r="K444" i="5"/>
  <c r="L444" i="5"/>
  <c r="J444" i="5"/>
  <c r="M444" i="5"/>
  <c r="M412" i="5"/>
  <c r="L412" i="5"/>
  <c r="K412" i="5"/>
  <c r="J412" i="5"/>
  <c r="M277" i="5"/>
  <c r="J277" i="5"/>
  <c r="L277" i="5"/>
  <c r="K277" i="5"/>
  <c r="M496" i="5"/>
  <c r="L496" i="5"/>
  <c r="K496" i="5"/>
  <c r="J496" i="5"/>
  <c r="J375" i="5"/>
  <c r="L375" i="5"/>
  <c r="M375" i="5"/>
  <c r="K375" i="5"/>
  <c r="L365" i="5"/>
  <c r="K365" i="5"/>
  <c r="M365" i="5"/>
  <c r="J365" i="5"/>
  <c r="L454" i="5"/>
  <c r="K454" i="5"/>
  <c r="M454" i="5"/>
  <c r="J454" i="5"/>
  <c r="K280" i="5"/>
  <c r="L280" i="5"/>
  <c r="J280" i="5"/>
  <c r="M280" i="5"/>
  <c r="M465" i="5"/>
  <c r="Q465" i="5" s="1"/>
  <c r="J465" i="5"/>
  <c r="N465" i="5" s="1"/>
  <c r="L465" i="5"/>
  <c r="P465" i="5" s="1"/>
  <c r="K465" i="5"/>
  <c r="O465" i="5" s="1"/>
  <c r="J353" i="5"/>
  <c r="L353" i="5"/>
  <c r="M353" i="5"/>
  <c r="K353" i="5"/>
  <c r="J274" i="5"/>
  <c r="L274" i="5"/>
  <c r="M274" i="5"/>
  <c r="K274" i="5"/>
  <c r="L464" i="5"/>
  <c r="M464" i="5"/>
  <c r="J464" i="5"/>
  <c r="K464" i="5"/>
  <c r="L327" i="5"/>
  <c r="M327" i="5"/>
  <c r="J327" i="5"/>
  <c r="K327" i="5"/>
  <c r="M324" i="5"/>
  <c r="J324" i="5"/>
  <c r="K324" i="5"/>
  <c r="L324" i="5"/>
  <c r="M502" i="5"/>
  <c r="J502" i="5"/>
  <c r="L502" i="5"/>
  <c r="K502" i="5"/>
  <c r="J486" i="5"/>
  <c r="M486" i="5"/>
  <c r="L486" i="5"/>
  <c r="K486" i="5"/>
  <c r="L336" i="5"/>
  <c r="J336" i="5"/>
  <c r="M336" i="5"/>
  <c r="K336" i="5"/>
  <c r="M319" i="5"/>
  <c r="L319" i="5"/>
  <c r="K319" i="5"/>
  <c r="J319" i="5"/>
  <c r="M313" i="5"/>
  <c r="L313" i="5"/>
  <c r="K313" i="5"/>
  <c r="J313" i="5"/>
  <c r="M309" i="5"/>
  <c r="J309" i="5"/>
  <c r="K309" i="5"/>
  <c r="L309" i="5"/>
  <c r="M304" i="5"/>
  <c r="L304" i="5"/>
  <c r="J304" i="5"/>
  <c r="K304" i="5"/>
  <c r="M294" i="5"/>
  <c r="J294" i="5"/>
  <c r="K294" i="5"/>
  <c r="L294" i="5"/>
  <c r="L290" i="5"/>
  <c r="M290" i="5"/>
  <c r="J290" i="5"/>
  <c r="K290" i="5"/>
  <c r="M284" i="5"/>
  <c r="L284" i="5"/>
  <c r="K284" i="5"/>
  <c r="J284" i="5"/>
  <c r="M267" i="5"/>
  <c r="L267" i="5"/>
  <c r="K267" i="5"/>
  <c r="J267" i="5"/>
  <c r="K259" i="5"/>
  <c r="M259" i="5"/>
  <c r="L259" i="5"/>
  <c r="J259" i="5"/>
  <c r="M246" i="5"/>
  <c r="K246" i="5"/>
  <c r="L246" i="5"/>
  <c r="J246" i="5"/>
  <c r="M420" i="5"/>
  <c r="K420" i="5"/>
  <c r="J420" i="5"/>
  <c r="L420" i="5"/>
  <c r="L220" i="5"/>
  <c r="J220" i="5"/>
  <c r="K220" i="5"/>
  <c r="M220" i="5"/>
  <c r="J243" i="5"/>
  <c r="K243" i="5"/>
  <c r="L243" i="5"/>
  <c r="M243" i="5"/>
  <c r="L241" i="5"/>
  <c r="K241" i="5"/>
  <c r="J241" i="5"/>
  <c r="M241" i="5"/>
  <c r="L237" i="5"/>
  <c r="M237" i="5"/>
  <c r="K237" i="5"/>
  <c r="J237" i="5"/>
  <c r="L214" i="5"/>
  <c r="K214" i="5"/>
  <c r="J214" i="5"/>
  <c r="M214" i="5"/>
  <c r="L208" i="5"/>
  <c r="M208" i="5"/>
  <c r="J208" i="5"/>
  <c r="K208" i="5"/>
  <c r="M202" i="5"/>
  <c r="J202" i="5"/>
  <c r="K202" i="5"/>
  <c r="L202" i="5"/>
  <c r="K488" i="5"/>
  <c r="L488" i="5"/>
  <c r="M488" i="5"/>
  <c r="J488" i="5"/>
  <c r="K461" i="5"/>
  <c r="J461" i="5"/>
  <c r="L461" i="5"/>
  <c r="M461" i="5"/>
  <c r="L528" i="5"/>
  <c r="J528" i="5"/>
  <c r="K528" i="5"/>
  <c r="M528" i="5"/>
  <c r="L527" i="5"/>
  <c r="M527" i="5"/>
  <c r="K527" i="5"/>
  <c r="J527" i="5"/>
  <c r="L523" i="5"/>
  <c r="J523" i="5"/>
  <c r="M523" i="5"/>
  <c r="K523" i="5"/>
  <c r="M521" i="5"/>
  <c r="K521" i="5"/>
  <c r="J521" i="5"/>
  <c r="L521" i="5"/>
  <c r="K517" i="5"/>
  <c r="M517" i="5"/>
  <c r="J517" i="5"/>
  <c r="L517" i="5"/>
  <c r="M513" i="5"/>
  <c r="K513" i="5"/>
  <c r="J513" i="5"/>
  <c r="L513" i="5"/>
  <c r="L511" i="5"/>
  <c r="K511" i="5"/>
  <c r="M511" i="5"/>
  <c r="J511" i="5"/>
  <c r="L492" i="5"/>
  <c r="K492" i="5"/>
  <c r="J492" i="5"/>
  <c r="M492" i="5"/>
  <c r="L468" i="5"/>
  <c r="M468" i="5"/>
  <c r="J468" i="5"/>
  <c r="K468" i="5"/>
  <c r="M257" i="5"/>
  <c r="L257" i="5"/>
  <c r="J257" i="5"/>
  <c r="K257" i="5"/>
  <c r="M404" i="5"/>
  <c r="L404" i="5"/>
  <c r="K404" i="5"/>
  <c r="J404" i="5"/>
  <c r="M489" i="5"/>
  <c r="K489" i="5"/>
  <c r="J489" i="5"/>
  <c r="L489" i="5"/>
  <c r="L456" i="5"/>
  <c r="P456" i="5" s="1"/>
  <c r="K456" i="5"/>
  <c r="O456" i="5" s="1"/>
  <c r="M456" i="5"/>
  <c r="Q456" i="5" s="1"/>
  <c r="J456" i="5"/>
  <c r="N456" i="5" s="1"/>
  <c r="L256" i="5"/>
  <c r="K256" i="5"/>
  <c r="M256" i="5"/>
  <c r="J256" i="5"/>
  <c r="J251" i="5"/>
  <c r="K251" i="5"/>
  <c r="L251" i="5"/>
  <c r="M251" i="5"/>
  <c r="K212" i="5"/>
  <c r="J212" i="5"/>
  <c r="M212" i="5"/>
  <c r="L212" i="5"/>
  <c r="M207" i="5"/>
  <c r="J207" i="5"/>
  <c r="L207" i="5"/>
  <c r="K207" i="5"/>
  <c r="K201" i="5"/>
  <c r="M201" i="5"/>
  <c r="L201" i="5"/>
  <c r="J201" i="5"/>
  <c r="K482" i="5"/>
  <c r="L482" i="5"/>
  <c r="J482" i="5"/>
  <c r="M482" i="5"/>
  <c r="L434" i="5"/>
  <c r="P434" i="5" s="1"/>
  <c r="M434" i="5"/>
  <c r="Q434" i="5" s="1"/>
  <c r="K434" i="5"/>
  <c r="O434" i="5" s="1"/>
  <c r="J434" i="5"/>
  <c r="N434" i="5" s="1"/>
  <c r="L525" i="5"/>
  <c r="P525" i="5" s="1"/>
  <c r="M525" i="5"/>
  <c r="Q525" i="5" s="1"/>
  <c r="K525" i="5"/>
  <c r="O525" i="5" s="1"/>
  <c r="J525" i="5"/>
  <c r="N525" i="5" s="1"/>
  <c r="L522" i="5"/>
  <c r="P522" i="5" s="1"/>
  <c r="M522" i="5"/>
  <c r="Q522" i="5" s="1"/>
  <c r="J522" i="5"/>
  <c r="N522" i="5" s="1"/>
  <c r="K522" i="5"/>
  <c r="O522" i="5" s="1"/>
  <c r="M301" i="5"/>
  <c r="Q301" i="5" s="1"/>
  <c r="J301" i="5"/>
  <c r="N301" i="5" s="1"/>
  <c r="L301" i="5"/>
  <c r="P301" i="5" s="1"/>
  <c r="K301" i="5"/>
  <c r="O301" i="5" s="1"/>
  <c r="M402" i="5"/>
  <c r="L402" i="5"/>
  <c r="K402" i="5"/>
  <c r="J402" i="5"/>
  <c r="L296" i="5"/>
  <c r="P296" i="5" s="1"/>
  <c r="J296" i="5"/>
  <c r="N296" i="5" s="1"/>
  <c r="M296" i="5"/>
  <c r="Q296" i="5" s="1"/>
  <c r="K296" i="5"/>
  <c r="O296" i="5" s="1"/>
  <c r="J331" i="5"/>
  <c r="L331" i="5"/>
  <c r="K331" i="5"/>
  <c r="M331" i="5"/>
  <c r="M450" i="5"/>
  <c r="Q450" i="5" s="1"/>
  <c r="K450" i="5"/>
  <c r="O450" i="5" s="1"/>
  <c r="L450" i="5"/>
  <c r="P450" i="5" s="1"/>
  <c r="J450" i="5"/>
  <c r="N450" i="5" s="1"/>
  <c r="L271" i="5"/>
  <c r="K271" i="5"/>
  <c r="M271" i="5"/>
  <c r="J271" i="5"/>
  <c r="J476" i="5"/>
  <c r="M476" i="5"/>
  <c r="K476" i="5"/>
  <c r="L476" i="5"/>
  <c r="L350" i="5"/>
  <c r="K350" i="5"/>
  <c r="M350" i="5"/>
  <c r="J350" i="5"/>
  <c r="L481" i="5"/>
  <c r="J481" i="5"/>
  <c r="M481" i="5"/>
  <c r="K481" i="5"/>
  <c r="M328" i="5"/>
  <c r="L328" i="5"/>
  <c r="K328" i="5"/>
  <c r="J328" i="5"/>
  <c r="M252" i="5"/>
  <c r="K252" i="5"/>
  <c r="L252" i="5"/>
  <c r="J252" i="5"/>
  <c r="J455" i="5"/>
  <c r="L455" i="5"/>
  <c r="K455" i="5"/>
  <c r="M455" i="5"/>
  <c r="K437" i="5"/>
  <c r="L437" i="5"/>
  <c r="M437" i="5"/>
  <c r="J437" i="5"/>
  <c r="J348" i="5"/>
  <c r="M348" i="5"/>
  <c r="K348" i="5"/>
  <c r="L348" i="5"/>
  <c r="L268" i="5"/>
  <c r="K268" i="5"/>
  <c r="J268" i="5"/>
  <c r="M268" i="5"/>
  <c r="L460" i="5"/>
  <c r="J460" i="5"/>
  <c r="K460" i="5"/>
  <c r="M460" i="5"/>
  <c r="L377" i="5"/>
  <c r="J377" i="5"/>
  <c r="M377" i="5"/>
  <c r="K377" i="5"/>
  <c r="M368" i="5"/>
  <c r="J368" i="5"/>
  <c r="K368" i="5"/>
  <c r="L368" i="5"/>
  <c r="L417" i="5"/>
  <c r="K417" i="5"/>
  <c r="M417" i="5"/>
  <c r="J417" i="5"/>
  <c r="M305" i="5"/>
  <c r="L305" i="5"/>
  <c r="K305" i="5"/>
  <c r="J305" i="5"/>
  <c r="Q368" i="5"/>
  <c r="N368" i="5"/>
  <c r="O368" i="5"/>
  <c r="P368" i="5"/>
  <c r="K333" i="5"/>
  <c r="J333" i="5"/>
  <c r="L333" i="5"/>
  <c r="M333" i="5"/>
  <c r="M449" i="5"/>
  <c r="L449" i="5"/>
  <c r="K449" i="5"/>
  <c r="J449" i="5"/>
  <c r="M442" i="5"/>
  <c r="L442" i="5"/>
  <c r="K442" i="5"/>
  <c r="J442" i="5"/>
  <c r="M407" i="5"/>
  <c r="L407" i="5"/>
  <c r="K407" i="5"/>
  <c r="J407" i="5"/>
  <c r="M416" i="5"/>
  <c r="J416" i="5"/>
  <c r="L416" i="5"/>
  <c r="K416" i="5"/>
  <c r="M411" i="5"/>
  <c r="J411" i="5"/>
  <c r="L411" i="5"/>
  <c r="K411" i="5"/>
  <c r="M408" i="5"/>
  <c r="L408" i="5"/>
  <c r="K408" i="5"/>
  <c r="J408" i="5"/>
  <c r="M405" i="5"/>
  <c r="L405" i="5"/>
  <c r="K405" i="5"/>
  <c r="J405" i="5"/>
  <c r="M453" i="5"/>
  <c r="L453" i="5"/>
  <c r="K453" i="5"/>
  <c r="J453" i="5"/>
  <c r="M445" i="5"/>
  <c r="Q445" i="5" s="1"/>
  <c r="L445" i="5"/>
  <c r="P445" i="5" s="1"/>
  <c r="K445" i="5"/>
  <c r="O445" i="5" s="1"/>
  <c r="J445" i="5"/>
  <c r="N445" i="5" s="1"/>
  <c r="M438" i="5"/>
  <c r="L438" i="5"/>
  <c r="K438" i="5"/>
  <c r="J438" i="5"/>
  <c r="B20" i="5"/>
  <c r="B27" i="8" s="1"/>
  <c r="B30" i="8"/>
  <c r="R145" i="5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G145" i="5"/>
  <c r="J451" i="5"/>
  <c r="M451" i="5"/>
  <c r="K451" i="5"/>
  <c r="L451" i="5"/>
  <c r="K447" i="5"/>
  <c r="L447" i="5"/>
  <c r="M447" i="5"/>
  <c r="J447" i="5"/>
  <c r="L441" i="5"/>
  <c r="J441" i="5"/>
  <c r="M441" i="5"/>
  <c r="K441" i="5"/>
  <c r="M436" i="5"/>
  <c r="K436" i="5"/>
  <c r="L436" i="5"/>
  <c r="J436" i="5"/>
  <c r="M431" i="5"/>
  <c r="K431" i="5"/>
  <c r="J431" i="5"/>
  <c r="L431" i="5"/>
  <c r="M503" i="5"/>
  <c r="K503" i="5"/>
  <c r="J503" i="5"/>
  <c r="L503" i="5"/>
  <c r="M363" i="5"/>
  <c r="J363" i="5"/>
  <c r="K363" i="5"/>
  <c r="L363" i="5"/>
  <c r="L278" i="5"/>
  <c r="K278" i="5"/>
  <c r="M278" i="5"/>
  <c r="J278" i="5"/>
  <c r="L341" i="5"/>
  <c r="J341" i="5"/>
  <c r="M341" i="5"/>
  <c r="K341" i="5"/>
  <c r="J448" i="5"/>
  <c r="L448" i="5"/>
  <c r="K448" i="5"/>
  <c r="M448" i="5"/>
  <c r="L415" i="5"/>
  <c r="K415" i="5"/>
  <c r="M415" i="5"/>
  <c r="J415" i="5"/>
  <c r="L342" i="5"/>
  <c r="M342" i="5"/>
  <c r="J342" i="5"/>
  <c r="K342" i="5"/>
  <c r="M510" i="5"/>
  <c r="L510" i="5"/>
  <c r="K510" i="5"/>
  <c r="J510" i="5"/>
  <c r="L376" i="5"/>
  <c r="M376" i="5"/>
  <c r="J376" i="5"/>
  <c r="K376" i="5"/>
  <c r="M370" i="5"/>
  <c r="K370" i="5"/>
  <c r="L370" i="5"/>
  <c r="J370" i="5"/>
  <c r="K414" i="5"/>
  <c r="L414" i="5"/>
  <c r="M414" i="5"/>
  <c r="J414" i="5"/>
  <c r="M332" i="5"/>
  <c r="J332" i="5"/>
  <c r="K332" i="5"/>
  <c r="L332" i="5"/>
  <c r="M413" i="5"/>
  <c r="L413" i="5"/>
  <c r="J413" i="5"/>
  <c r="K413" i="5"/>
  <c r="M409" i="5"/>
  <c r="K409" i="5"/>
  <c r="L409" i="5"/>
  <c r="J409" i="5"/>
  <c r="M406" i="5"/>
  <c r="K406" i="5"/>
  <c r="L406" i="5"/>
  <c r="J406" i="5"/>
  <c r="L401" i="5"/>
  <c r="M401" i="5"/>
  <c r="K401" i="5"/>
  <c r="J401" i="5"/>
  <c r="M400" i="5"/>
  <c r="L400" i="5"/>
  <c r="K400" i="5"/>
  <c r="J400" i="5"/>
  <c r="J399" i="5"/>
  <c r="M399" i="5"/>
  <c r="L399" i="5"/>
  <c r="K399" i="5"/>
  <c r="M398" i="5"/>
  <c r="L398" i="5"/>
  <c r="K398" i="5"/>
  <c r="J398" i="5"/>
  <c r="M397" i="5"/>
  <c r="L397" i="5"/>
  <c r="K397" i="5"/>
  <c r="J397" i="5"/>
  <c r="M396" i="5"/>
  <c r="L396" i="5"/>
  <c r="K396" i="5"/>
  <c r="J396" i="5"/>
  <c r="M395" i="5"/>
  <c r="L395" i="5"/>
  <c r="K395" i="5"/>
  <c r="J395" i="5"/>
  <c r="M394" i="5"/>
  <c r="Q394" i="5" s="1"/>
  <c r="L394" i="5"/>
  <c r="P394" i="5" s="1"/>
  <c r="K394" i="5"/>
  <c r="O394" i="5" s="1"/>
  <c r="J394" i="5"/>
  <c r="N394" i="5" s="1"/>
  <c r="L393" i="5"/>
  <c r="J393" i="5"/>
  <c r="M393" i="5"/>
  <c r="K393" i="5"/>
  <c r="L392" i="5"/>
  <c r="P392" i="5" s="1"/>
  <c r="J392" i="5"/>
  <c r="N392" i="5" s="1"/>
  <c r="M392" i="5"/>
  <c r="Q392" i="5" s="1"/>
  <c r="K392" i="5"/>
  <c r="O392" i="5" s="1"/>
  <c r="L391" i="5"/>
  <c r="P391" i="5" s="1"/>
  <c r="J391" i="5"/>
  <c r="N391" i="5" s="1"/>
  <c r="M391" i="5"/>
  <c r="Q391" i="5" s="1"/>
  <c r="K391" i="5"/>
  <c r="O391" i="5" s="1"/>
  <c r="L390" i="5"/>
  <c r="K390" i="5"/>
  <c r="M390" i="5"/>
  <c r="J390" i="5"/>
  <c r="M389" i="5"/>
  <c r="Q389" i="5" s="1"/>
  <c r="K389" i="5"/>
  <c r="O389" i="5" s="1"/>
  <c r="L389" i="5"/>
  <c r="P389" i="5" s="1"/>
  <c r="J389" i="5"/>
  <c r="N389" i="5" s="1"/>
  <c r="M388" i="5"/>
  <c r="Q388" i="5" s="1"/>
  <c r="K388" i="5"/>
  <c r="O388" i="5" s="1"/>
  <c r="L388" i="5"/>
  <c r="P388" i="5" s="1"/>
  <c r="J388" i="5"/>
  <c r="N388" i="5" s="1"/>
  <c r="M387" i="5"/>
  <c r="L387" i="5"/>
  <c r="J387" i="5"/>
  <c r="K387" i="5"/>
  <c r="L386" i="5"/>
  <c r="J386" i="5"/>
  <c r="M386" i="5"/>
  <c r="K386" i="5"/>
  <c r="L385" i="5"/>
  <c r="J385" i="5"/>
  <c r="M385" i="5"/>
  <c r="K385" i="5"/>
  <c r="L384" i="5"/>
  <c r="M384" i="5"/>
  <c r="K384" i="5"/>
  <c r="J384" i="5"/>
  <c r="J383" i="5"/>
  <c r="M383" i="5"/>
  <c r="L383" i="5"/>
  <c r="K383" i="5"/>
  <c r="M382" i="5"/>
  <c r="K382" i="5"/>
  <c r="J382" i="5"/>
  <c r="L382" i="5"/>
  <c r="L381" i="5"/>
  <c r="J381" i="5"/>
  <c r="M381" i="5"/>
  <c r="K381" i="5"/>
  <c r="L380" i="5"/>
  <c r="J380" i="5"/>
  <c r="M380" i="5"/>
  <c r="K380" i="5"/>
  <c r="L366" i="5"/>
  <c r="P366" i="5" s="1"/>
  <c r="J366" i="5"/>
  <c r="N366" i="5" s="1"/>
  <c r="M366" i="5"/>
  <c r="Q366" i="5" s="1"/>
  <c r="K366" i="5"/>
  <c r="O366" i="5" s="1"/>
  <c r="M364" i="5"/>
  <c r="Q364" i="5" s="1"/>
  <c r="K364" i="5"/>
  <c r="O364" i="5" s="1"/>
  <c r="L364" i="5"/>
  <c r="P364" i="5" s="1"/>
  <c r="J364" i="5"/>
  <c r="N364" i="5" s="1"/>
  <c r="M362" i="5"/>
  <c r="Q362" i="5" s="1"/>
  <c r="K362" i="5"/>
  <c r="O362" i="5" s="1"/>
  <c r="L362" i="5"/>
  <c r="P362" i="5" s="1"/>
  <c r="J362" i="5"/>
  <c r="N362" i="5" s="1"/>
  <c r="M361" i="5"/>
  <c r="K361" i="5"/>
  <c r="J361" i="5"/>
  <c r="L361" i="5"/>
  <c r="L359" i="5"/>
  <c r="J359" i="5"/>
  <c r="M359" i="5"/>
  <c r="K359" i="5"/>
  <c r="J358" i="5"/>
  <c r="K358" i="5"/>
  <c r="L358" i="5"/>
  <c r="M358" i="5"/>
  <c r="J356" i="5"/>
  <c r="L356" i="5"/>
  <c r="M356" i="5"/>
  <c r="K356" i="5"/>
  <c r="L354" i="5"/>
  <c r="J354" i="5"/>
  <c r="M354" i="5"/>
  <c r="K354" i="5"/>
  <c r="M352" i="5"/>
  <c r="L352" i="5"/>
  <c r="J352" i="5"/>
  <c r="K352" i="5"/>
  <c r="K351" i="5"/>
  <c r="L351" i="5"/>
  <c r="J351" i="5"/>
  <c r="M351" i="5"/>
  <c r="K349" i="5"/>
  <c r="M349" i="5"/>
  <c r="J349" i="5"/>
  <c r="L349" i="5"/>
  <c r="J367" i="5"/>
  <c r="M367" i="5"/>
  <c r="L367" i="5"/>
  <c r="K367" i="5"/>
  <c r="L343" i="5"/>
  <c r="J343" i="5"/>
  <c r="M343" i="5"/>
  <c r="K343" i="5"/>
  <c r="K357" i="5"/>
  <c r="M357" i="5"/>
  <c r="L357" i="5"/>
  <c r="J357" i="5"/>
  <c r="M263" i="5"/>
  <c r="K263" i="5"/>
  <c r="L263" i="5"/>
  <c r="J263" i="5"/>
  <c r="M335" i="5"/>
  <c r="L335" i="5"/>
  <c r="K335" i="5"/>
  <c r="J335" i="5"/>
  <c r="M320" i="5"/>
  <c r="L320" i="5"/>
  <c r="K320" i="5"/>
  <c r="J320" i="5"/>
  <c r="K440" i="5"/>
  <c r="M440" i="5"/>
  <c r="J440" i="5"/>
  <c r="L440" i="5"/>
  <c r="K470" i="5"/>
  <c r="J470" i="5"/>
  <c r="L470" i="5"/>
  <c r="M470" i="5"/>
  <c r="L374" i="5"/>
  <c r="K374" i="5"/>
  <c r="J374" i="5"/>
  <c r="M374" i="5"/>
  <c r="M439" i="5"/>
  <c r="K439" i="5"/>
  <c r="L439" i="5"/>
  <c r="J439" i="5"/>
  <c r="K265" i="5"/>
  <c r="M265" i="5"/>
  <c r="L265" i="5"/>
  <c r="J265" i="5"/>
  <c r="L378" i="5"/>
  <c r="J378" i="5"/>
  <c r="K378" i="5"/>
  <c r="M378" i="5"/>
  <c r="M281" i="5"/>
  <c r="K281" i="5"/>
  <c r="J281" i="5"/>
  <c r="L281" i="5"/>
  <c r="L339" i="5"/>
  <c r="J339" i="5"/>
  <c r="M339" i="5"/>
  <c r="K339" i="5"/>
  <c r="L318" i="5"/>
  <c r="M318" i="5"/>
  <c r="J318" i="5"/>
  <c r="K318" i="5"/>
  <c r="M473" i="5"/>
  <c r="L473" i="5"/>
  <c r="K473" i="5"/>
  <c r="J473" i="5"/>
  <c r="M329" i="5"/>
  <c r="J329" i="5"/>
  <c r="K329" i="5"/>
  <c r="L329" i="5"/>
  <c r="M317" i="5"/>
  <c r="L317" i="5"/>
  <c r="K317" i="5"/>
  <c r="J317" i="5"/>
  <c r="M312" i="5"/>
  <c r="L312" i="5"/>
  <c r="K312" i="5"/>
  <c r="J312" i="5"/>
  <c r="L307" i="5"/>
  <c r="M307" i="5"/>
  <c r="K307" i="5"/>
  <c r="J307" i="5"/>
  <c r="J302" i="5"/>
  <c r="N302" i="5" s="1"/>
  <c r="K302" i="5"/>
  <c r="O302" i="5" s="1"/>
  <c r="L302" i="5"/>
  <c r="P302" i="5" s="1"/>
  <c r="M302" i="5"/>
  <c r="Q302" i="5" s="1"/>
  <c r="M297" i="5"/>
  <c r="J297" i="5"/>
  <c r="K297" i="5"/>
  <c r="L297" i="5"/>
  <c r="L291" i="5"/>
  <c r="J291" i="5"/>
  <c r="K291" i="5"/>
  <c r="M291" i="5"/>
  <c r="M287" i="5"/>
  <c r="K287" i="5"/>
  <c r="J287" i="5"/>
  <c r="L287" i="5"/>
  <c r="M279" i="5"/>
  <c r="L279" i="5"/>
  <c r="K279" i="5"/>
  <c r="J279" i="5"/>
  <c r="K466" i="5"/>
  <c r="M466" i="5"/>
  <c r="L466" i="5"/>
  <c r="J466" i="5"/>
  <c r="L480" i="5"/>
  <c r="M480" i="5"/>
  <c r="K480" i="5"/>
  <c r="J480" i="5"/>
  <c r="K222" i="5"/>
  <c r="J222" i="5"/>
  <c r="L222" i="5"/>
  <c r="M222" i="5"/>
  <c r="K493" i="5"/>
  <c r="M493" i="5"/>
  <c r="J493" i="5"/>
  <c r="L493" i="5"/>
  <c r="J245" i="5"/>
  <c r="K245" i="5"/>
  <c r="M245" i="5"/>
  <c r="L245" i="5"/>
  <c r="L242" i="5"/>
  <c r="M242" i="5"/>
  <c r="J242" i="5"/>
  <c r="K242" i="5"/>
  <c r="L239" i="5"/>
  <c r="M239" i="5"/>
  <c r="J239" i="5"/>
  <c r="K239" i="5"/>
  <c r="K235" i="5"/>
  <c r="J235" i="5"/>
  <c r="L235" i="5"/>
  <c r="M235" i="5"/>
  <c r="M232" i="5"/>
  <c r="K232" i="5"/>
  <c r="J232" i="5"/>
  <c r="L232" i="5"/>
  <c r="M230" i="5"/>
  <c r="K230" i="5"/>
  <c r="L230" i="5"/>
  <c r="J230" i="5"/>
  <c r="M228" i="5"/>
  <c r="J228" i="5"/>
  <c r="K228" i="5"/>
  <c r="L228" i="5"/>
  <c r="K226" i="5"/>
  <c r="M226" i="5"/>
  <c r="L226" i="5"/>
  <c r="J226" i="5"/>
  <c r="K505" i="5"/>
  <c r="M505" i="5"/>
  <c r="J505" i="5"/>
  <c r="L505" i="5"/>
  <c r="L495" i="5"/>
  <c r="J495" i="5"/>
  <c r="K495" i="5"/>
  <c r="M495" i="5"/>
  <c r="L463" i="5"/>
  <c r="J463" i="5"/>
  <c r="M463" i="5"/>
  <c r="K463" i="5"/>
  <c r="M223" i="5"/>
  <c r="J223" i="5"/>
  <c r="L223" i="5"/>
  <c r="K223" i="5"/>
  <c r="L219" i="5"/>
  <c r="K219" i="5"/>
  <c r="J219" i="5"/>
  <c r="M219" i="5"/>
  <c r="M218" i="5"/>
  <c r="L218" i="5"/>
  <c r="K218" i="5"/>
  <c r="J218" i="5"/>
  <c r="K217" i="5"/>
  <c r="L217" i="5"/>
  <c r="J217" i="5"/>
  <c r="M217" i="5"/>
  <c r="L216" i="5"/>
  <c r="M216" i="5"/>
  <c r="J216" i="5"/>
  <c r="K216" i="5"/>
  <c r="K282" i="5"/>
  <c r="J282" i="5"/>
  <c r="M282" i="5"/>
  <c r="L282" i="5"/>
  <c r="L272" i="5"/>
  <c r="K272" i="5"/>
  <c r="M272" i="5"/>
  <c r="J272" i="5"/>
  <c r="M494" i="5"/>
  <c r="K494" i="5"/>
  <c r="L494" i="5"/>
  <c r="J494" i="5"/>
  <c r="M471" i="5"/>
  <c r="J471" i="5"/>
  <c r="K471" i="5"/>
  <c r="L471" i="5"/>
  <c r="J429" i="5"/>
  <c r="K429" i="5"/>
  <c r="L429" i="5"/>
  <c r="M429" i="5"/>
  <c r="M260" i="5"/>
  <c r="L260" i="5"/>
  <c r="K260" i="5"/>
  <c r="J260" i="5"/>
  <c r="J255" i="5"/>
  <c r="M255" i="5"/>
  <c r="L255" i="5"/>
  <c r="K255" i="5"/>
  <c r="J250" i="5"/>
  <c r="L250" i="5"/>
  <c r="K250" i="5"/>
  <c r="M250" i="5"/>
  <c r="J247" i="5"/>
  <c r="K247" i="5"/>
  <c r="L247" i="5"/>
  <c r="M247" i="5"/>
  <c r="K213" i="5"/>
  <c r="L213" i="5"/>
  <c r="J213" i="5"/>
  <c r="M213" i="5"/>
  <c r="K211" i="5"/>
  <c r="L211" i="5"/>
  <c r="J211" i="5"/>
  <c r="M211" i="5"/>
  <c r="K206" i="5"/>
  <c r="J206" i="5"/>
  <c r="L206" i="5"/>
  <c r="M206" i="5"/>
  <c r="M203" i="5"/>
  <c r="J203" i="5"/>
  <c r="K203" i="5"/>
  <c r="L203" i="5"/>
  <c r="L200" i="5"/>
  <c r="M200" i="5"/>
  <c r="K200" i="5"/>
  <c r="J200" i="5"/>
  <c r="L199" i="5"/>
  <c r="M199" i="5"/>
  <c r="K199" i="5"/>
  <c r="J199" i="5"/>
  <c r="L198" i="5"/>
  <c r="K198" i="5"/>
  <c r="M198" i="5"/>
  <c r="J198" i="5"/>
  <c r="K197" i="5"/>
  <c r="M197" i="5"/>
  <c r="L197" i="5"/>
  <c r="J197" i="5"/>
  <c r="L196" i="5"/>
  <c r="K196" i="5"/>
  <c r="M196" i="5"/>
  <c r="J196" i="5"/>
  <c r="J195" i="5"/>
  <c r="M195" i="5"/>
  <c r="K195" i="5"/>
  <c r="L195" i="5"/>
  <c r="J194" i="5"/>
  <c r="L194" i="5"/>
  <c r="M194" i="5"/>
  <c r="K194" i="5"/>
  <c r="M193" i="5"/>
  <c r="J193" i="5"/>
  <c r="K193" i="5"/>
  <c r="L193" i="5"/>
  <c r="L192" i="5"/>
  <c r="K192" i="5"/>
  <c r="J192" i="5"/>
  <c r="M192" i="5"/>
  <c r="K191" i="5"/>
  <c r="J191" i="5"/>
  <c r="M191" i="5"/>
  <c r="L191" i="5"/>
  <c r="J190" i="5"/>
  <c r="K190" i="5"/>
  <c r="M190" i="5"/>
  <c r="L190" i="5"/>
  <c r="K189" i="5"/>
  <c r="J189" i="5"/>
  <c r="L189" i="5"/>
  <c r="M189" i="5"/>
  <c r="J188" i="5"/>
  <c r="K188" i="5"/>
  <c r="M188" i="5"/>
  <c r="L188" i="5"/>
  <c r="K187" i="5"/>
  <c r="M187" i="5"/>
  <c r="J187" i="5"/>
  <c r="L187" i="5"/>
  <c r="K186" i="5"/>
  <c r="M186" i="5"/>
  <c r="J186" i="5"/>
  <c r="L186" i="5"/>
  <c r="L185" i="5"/>
  <c r="J185" i="5"/>
  <c r="M185" i="5"/>
  <c r="K185" i="5"/>
  <c r="M184" i="5"/>
  <c r="J184" i="5"/>
  <c r="K184" i="5"/>
  <c r="L184" i="5"/>
  <c r="J183" i="5"/>
  <c r="N183" i="5" s="1"/>
  <c r="K183" i="5"/>
  <c r="O183" i="5" s="1"/>
  <c r="M183" i="5"/>
  <c r="Q183" i="5" s="1"/>
  <c r="L183" i="5"/>
  <c r="P183" i="5" s="1"/>
  <c r="K182" i="5"/>
  <c r="O182" i="5" s="1"/>
  <c r="J182" i="5"/>
  <c r="N182" i="5" s="1"/>
  <c r="L182" i="5"/>
  <c r="P182" i="5" s="1"/>
  <c r="M182" i="5"/>
  <c r="Q182" i="5" s="1"/>
  <c r="J181" i="5"/>
  <c r="N181" i="5" s="1"/>
  <c r="L181" i="5"/>
  <c r="P181" i="5" s="1"/>
  <c r="M181" i="5"/>
  <c r="Q181" i="5" s="1"/>
  <c r="K181" i="5"/>
  <c r="O181" i="5" s="1"/>
  <c r="J180" i="5"/>
  <c r="N180" i="5" s="1"/>
  <c r="M180" i="5"/>
  <c r="Q180" i="5" s="1"/>
  <c r="L180" i="5"/>
  <c r="P180" i="5" s="1"/>
  <c r="K180" i="5"/>
  <c r="O180" i="5" s="1"/>
  <c r="K179" i="5"/>
  <c r="O179" i="5" s="1"/>
  <c r="J179" i="5"/>
  <c r="N179" i="5" s="1"/>
  <c r="L179" i="5"/>
  <c r="P179" i="5" s="1"/>
  <c r="M179" i="5"/>
  <c r="Q179" i="5" s="1"/>
  <c r="M162" i="5"/>
  <c r="L162" i="5"/>
  <c r="K162" i="5"/>
  <c r="J162" i="5"/>
  <c r="M160" i="5"/>
  <c r="L160" i="5"/>
  <c r="K160" i="5"/>
  <c r="J160" i="5"/>
  <c r="M158" i="5"/>
  <c r="L158" i="5"/>
  <c r="K158" i="5"/>
  <c r="J158" i="5"/>
  <c r="M156" i="5"/>
  <c r="L156" i="5"/>
  <c r="K156" i="5"/>
  <c r="J156" i="5"/>
  <c r="M154" i="5"/>
  <c r="L154" i="5"/>
  <c r="K154" i="5"/>
  <c r="J154" i="5"/>
  <c r="M152" i="5"/>
  <c r="L152" i="5"/>
  <c r="K152" i="5"/>
  <c r="J152" i="5"/>
  <c r="M150" i="5"/>
  <c r="L150" i="5"/>
  <c r="K150" i="5"/>
  <c r="J150" i="5"/>
  <c r="M148" i="5"/>
  <c r="L148" i="5"/>
  <c r="K148" i="5"/>
  <c r="J148" i="5"/>
  <c r="M146" i="5"/>
  <c r="Q146" i="5" s="1"/>
  <c r="L146" i="5"/>
  <c r="P146" i="5" s="1"/>
  <c r="K146" i="5"/>
  <c r="O146" i="5" s="1"/>
  <c r="J146" i="5"/>
  <c r="N146" i="5" s="1"/>
  <c r="M422" i="5"/>
  <c r="L422" i="5"/>
  <c r="K422" i="5"/>
  <c r="J422" i="5"/>
  <c r="M499" i="5"/>
  <c r="K499" i="5"/>
  <c r="J499" i="5"/>
  <c r="L499" i="5"/>
  <c r="J426" i="5"/>
  <c r="L426" i="5"/>
  <c r="M426" i="5"/>
  <c r="K426" i="5"/>
  <c r="J178" i="5"/>
  <c r="M178" i="5"/>
  <c r="L178" i="5"/>
  <c r="K178" i="5"/>
  <c r="K177" i="5"/>
  <c r="J177" i="5"/>
  <c r="L177" i="5"/>
  <c r="M177" i="5"/>
  <c r="M176" i="5"/>
  <c r="K176" i="5"/>
  <c r="J176" i="5"/>
  <c r="L176" i="5"/>
  <c r="K175" i="5"/>
  <c r="J175" i="5"/>
  <c r="L175" i="5"/>
  <c r="M175" i="5"/>
  <c r="K174" i="5"/>
  <c r="J174" i="5"/>
  <c r="M174" i="5"/>
  <c r="L174" i="5"/>
  <c r="K173" i="5"/>
  <c r="J173" i="5"/>
  <c r="M173" i="5"/>
  <c r="L173" i="5"/>
  <c r="J172" i="5"/>
  <c r="K172" i="5"/>
  <c r="L172" i="5"/>
  <c r="M172" i="5"/>
  <c r="M171" i="5"/>
  <c r="Q171" i="5" s="1"/>
  <c r="J171" i="5"/>
  <c r="N171" i="5" s="1"/>
  <c r="L171" i="5"/>
  <c r="P171" i="5" s="1"/>
  <c r="K171" i="5"/>
  <c r="O171" i="5" s="1"/>
  <c r="J170" i="5"/>
  <c r="N170" i="5" s="1"/>
  <c r="K170" i="5"/>
  <c r="O170" i="5" s="1"/>
  <c r="L170" i="5"/>
  <c r="P170" i="5" s="1"/>
  <c r="M170" i="5"/>
  <c r="Q170" i="5" s="1"/>
  <c r="J169" i="5"/>
  <c r="K169" i="5"/>
  <c r="L169" i="5"/>
  <c r="M169" i="5"/>
  <c r="M168" i="5"/>
  <c r="Q168" i="5" s="1"/>
  <c r="K168" i="5"/>
  <c r="O168" i="5" s="1"/>
  <c r="L168" i="5"/>
  <c r="P168" i="5" s="1"/>
  <c r="J168" i="5"/>
  <c r="N168" i="5" s="1"/>
  <c r="M167" i="5"/>
  <c r="J167" i="5"/>
  <c r="K167" i="5"/>
  <c r="L167" i="5"/>
  <c r="M166" i="5"/>
  <c r="L166" i="5"/>
  <c r="J166" i="5"/>
  <c r="K166" i="5"/>
  <c r="M369" i="5"/>
  <c r="L369" i="5"/>
  <c r="K369" i="5"/>
  <c r="J369" i="5"/>
  <c r="M443" i="5"/>
  <c r="K443" i="5"/>
  <c r="L443" i="5"/>
  <c r="J443" i="5"/>
  <c r="L275" i="5"/>
  <c r="M275" i="5"/>
  <c r="K275" i="5"/>
  <c r="J275" i="5"/>
  <c r="K435" i="5"/>
  <c r="J435" i="5"/>
  <c r="L435" i="5"/>
  <c r="M435" i="5"/>
  <c r="M355" i="5"/>
  <c r="K355" i="5"/>
  <c r="L355" i="5"/>
  <c r="J355" i="5"/>
  <c r="K270" i="5"/>
  <c r="M270" i="5"/>
  <c r="L270" i="5"/>
  <c r="J270" i="5"/>
  <c r="L418" i="5"/>
  <c r="K418" i="5"/>
  <c r="J418" i="5"/>
  <c r="M418" i="5"/>
  <c r="M323" i="5"/>
  <c r="L323" i="5"/>
  <c r="K323" i="5"/>
  <c r="J323" i="5"/>
  <c r="J452" i="5"/>
  <c r="K452" i="5"/>
  <c r="L452" i="5"/>
  <c r="M452" i="5"/>
  <c r="K345" i="5"/>
  <c r="L345" i="5"/>
  <c r="M345" i="5"/>
  <c r="J345" i="5"/>
  <c r="M483" i="5"/>
  <c r="L483" i="5"/>
  <c r="J483" i="5"/>
  <c r="K483" i="5"/>
  <c r="L379" i="5"/>
  <c r="M379" i="5"/>
  <c r="K379" i="5"/>
  <c r="J379" i="5"/>
  <c r="L373" i="5"/>
  <c r="K373" i="5"/>
  <c r="M373" i="5"/>
  <c r="J373" i="5"/>
  <c r="M446" i="5"/>
  <c r="K446" i="5"/>
  <c r="L446" i="5"/>
  <c r="J446" i="5"/>
  <c r="M490" i="5"/>
  <c r="J490" i="5"/>
  <c r="K490" i="5"/>
  <c r="L490" i="5"/>
  <c r="M360" i="5"/>
  <c r="L360" i="5"/>
  <c r="K360" i="5"/>
  <c r="J360" i="5"/>
  <c r="M266" i="5"/>
  <c r="L266" i="5"/>
  <c r="J266" i="5"/>
  <c r="K266" i="5"/>
  <c r="L425" i="5"/>
  <c r="K425" i="5"/>
  <c r="M425" i="5"/>
  <c r="J425" i="5"/>
  <c r="M334" i="5"/>
  <c r="J334" i="5"/>
  <c r="K334" i="5"/>
  <c r="L334" i="5"/>
  <c r="J497" i="5"/>
  <c r="N497" i="5" s="1"/>
  <c r="M497" i="5"/>
  <c r="Q497" i="5" s="1"/>
  <c r="L497" i="5"/>
  <c r="P497" i="5" s="1"/>
  <c r="K497" i="5"/>
  <c r="O497" i="5" s="1"/>
  <c r="K340" i="5"/>
  <c r="M340" i="5"/>
  <c r="J340" i="5"/>
  <c r="L340" i="5"/>
  <c r="J326" i="5"/>
  <c r="L326" i="5"/>
  <c r="K326" i="5"/>
  <c r="M326" i="5"/>
  <c r="M322" i="5"/>
  <c r="L322" i="5"/>
  <c r="K322" i="5"/>
  <c r="J322" i="5"/>
  <c r="M314" i="5"/>
  <c r="L314" i="5"/>
  <c r="K314" i="5"/>
  <c r="J314" i="5"/>
  <c r="L311" i="5"/>
  <c r="J311" i="5"/>
  <c r="M311" i="5"/>
  <c r="K311" i="5"/>
  <c r="K308" i="5"/>
  <c r="M308" i="5"/>
  <c r="L308" i="5"/>
  <c r="J308" i="5"/>
  <c r="K303" i="5"/>
  <c r="L303" i="5"/>
  <c r="J303" i="5"/>
  <c r="M303" i="5"/>
  <c r="J298" i="5"/>
  <c r="M298" i="5"/>
  <c r="K298" i="5"/>
  <c r="L298" i="5"/>
  <c r="L293" i="5"/>
  <c r="M293" i="5"/>
  <c r="K293" i="5"/>
  <c r="J293" i="5"/>
  <c r="M288" i="5"/>
  <c r="J288" i="5"/>
  <c r="L288" i="5"/>
  <c r="K288" i="5"/>
  <c r="J286" i="5"/>
  <c r="K286" i="5"/>
  <c r="M286" i="5"/>
  <c r="L286" i="5"/>
  <c r="M484" i="5"/>
  <c r="Q484" i="5" s="1"/>
  <c r="L484" i="5"/>
  <c r="P484" i="5" s="1"/>
  <c r="K484" i="5"/>
  <c r="O484" i="5" s="1"/>
  <c r="J484" i="5"/>
  <c r="N484" i="5" s="1"/>
  <c r="J419" i="5"/>
  <c r="M419" i="5"/>
  <c r="L419" i="5"/>
  <c r="K419" i="5"/>
  <c r="K249" i="5"/>
  <c r="J249" i="5"/>
  <c r="M249" i="5"/>
  <c r="L249" i="5"/>
  <c r="M469" i="5"/>
  <c r="Q469" i="5" s="1"/>
  <c r="K469" i="5"/>
  <c r="O469" i="5" s="1"/>
  <c r="J469" i="5"/>
  <c r="N469" i="5" s="1"/>
  <c r="L469" i="5"/>
  <c r="P469" i="5" s="1"/>
  <c r="K244" i="5"/>
  <c r="M244" i="5"/>
  <c r="L244" i="5"/>
  <c r="J244" i="5"/>
  <c r="L240" i="5"/>
  <c r="J240" i="5"/>
  <c r="K240" i="5"/>
  <c r="M240" i="5"/>
  <c r="M238" i="5"/>
  <c r="Q238" i="5" s="1"/>
  <c r="L238" i="5"/>
  <c r="P238" i="5" s="1"/>
  <c r="K238" i="5"/>
  <c r="O238" i="5" s="1"/>
  <c r="J238" i="5"/>
  <c r="N238" i="5" s="1"/>
  <c r="M236" i="5"/>
  <c r="L236" i="5"/>
  <c r="K236" i="5"/>
  <c r="J236" i="5"/>
  <c r="K234" i="5"/>
  <c r="J234" i="5"/>
  <c r="M234" i="5"/>
  <c r="L234" i="5"/>
  <c r="L233" i="5"/>
  <c r="J233" i="5"/>
  <c r="M233" i="5"/>
  <c r="K233" i="5"/>
  <c r="L231" i="5"/>
  <c r="P231" i="5" s="1"/>
  <c r="K231" i="5"/>
  <c r="O231" i="5" s="1"/>
  <c r="M231" i="5"/>
  <c r="Q231" i="5" s="1"/>
  <c r="J231" i="5"/>
  <c r="N231" i="5" s="1"/>
  <c r="M229" i="5"/>
  <c r="K229" i="5"/>
  <c r="L229" i="5"/>
  <c r="J229" i="5"/>
  <c r="K227" i="5"/>
  <c r="L227" i="5"/>
  <c r="J227" i="5"/>
  <c r="M227" i="5"/>
  <c r="J225" i="5"/>
  <c r="L225" i="5"/>
  <c r="K225" i="5"/>
  <c r="M225" i="5"/>
  <c r="J224" i="5"/>
  <c r="N224" i="5" s="1"/>
  <c r="L224" i="5"/>
  <c r="P224" i="5" s="1"/>
  <c r="K224" i="5"/>
  <c r="O224" i="5" s="1"/>
  <c r="M224" i="5"/>
  <c r="Q224" i="5" s="1"/>
  <c r="L500" i="5"/>
  <c r="K500" i="5"/>
  <c r="M500" i="5"/>
  <c r="J500" i="5"/>
  <c r="K487" i="5"/>
  <c r="J487" i="5"/>
  <c r="M487" i="5"/>
  <c r="L487" i="5"/>
  <c r="M475" i="5"/>
  <c r="K475" i="5"/>
  <c r="J475" i="5"/>
  <c r="L475" i="5"/>
  <c r="M430" i="5"/>
  <c r="K430" i="5"/>
  <c r="L430" i="5"/>
  <c r="J430" i="5"/>
  <c r="K221" i="5"/>
  <c r="M221" i="5"/>
  <c r="J221" i="5"/>
  <c r="L221" i="5"/>
  <c r="L459" i="5"/>
  <c r="M459" i="5"/>
  <c r="J459" i="5"/>
  <c r="K459" i="5"/>
  <c r="M403" i="5"/>
  <c r="L403" i="5"/>
  <c r="K403" i="5"/>
  <c r="J403" i="5"/>
  <c r="K165" i="5"/>
  <c r="J165" i="5"/>
  <c r="M165" i="5"/>
  <c r="L165" i="5"/>
  <c r="L164" i="5"/>
  <c r="K164" i="5"/>
  <c r="M164" i="5"/>
  <c r="J164" i="5"/>
  <c r="J163" i="5"/>
  <c r="K163" i="5"/>
  <c r="L163" i="5"/>
  <c r="M163" i="5"/>
  <c r="L161" i="5"/>
  <c r="M161" i="5"/>
  <c r="K161" i="5"/>
  <c r="J161" i="5"/>
  <c r="M159" i="5"/>
  <c r="L159" i="5"/>
  <c r="K159" i="5"/>
  <c r="J159" i="5"/>
  <c r="M157" i="5"/>
  <c r="L157" i="5"/>
  <c r="K157" i="5"/>
  <c r="J157" i="5"/>
  <c r="M155" i="5"/>
  <c r="L155" i="5"/>
  <c r="K155" i="5"/>
  <c r="J155" i="5"/>
  <c r="M153" i="5"/>
  <c r="L153" i="5"/>
  <c r="K153" i="5"/>
  <c r="J153" i="5"/>
  <c r="M151" i="5"/>
  <c r="L151" i="5"/>
  <c r="K151" i="5"/>
  <c r="J151" i="5"/>
  <c r="M149" i="5"/>
  <c r="L149" i="5"/>
  <c r="K149" i="5"/>
  <c r="J149" i="5"/>
  <c r="M147" i="5"/>
  <c r="L147" i="5"/>
  <c r="K147" i="5"/>
  <c r="J147" i="5"/>
  <c r="M145" i="5"/>
  <c r="L145" i="5"/>
  <c r="K145" i="5"/>
  <c r="J145" i="5"/>
  <c r="J507" i="5"/>
  <c r="L507" i="5"/>
  <c r="K507" i="5"/>
  <c r="M507" i="5"/>
  <c r="L433" i="5"/>
  <c r="M433" i="5"/>
  <c r="K433" i="5"/>
  <c r="J433" i="5"/>
  <c r="N504" i="5"/>
  <c r="Q504" i="5"/>
  <c r="O504" i="5"/>
  <c r="P504" i="5"/>
  <c r="K330" i="5"/>
  <c r="L330" i="5"/>
  <c r="J330" i="5"/>
  <c r="M330" i="5"/>
  <c r="Q397" i="5"/>
  <c r="P397" i="5"/>
  <c r="O397" i="5"/>
  <c r="N397" i="5"/>
  <c r="K283" i="5"/>
  <c r="J283" i="5"/>
  <c r="M283" i="5"/>
  <c r="L283" i="5"/>
  <c r="L276" i="5"/>
  <c r="M276" i="5"/>
  <c r="K276" i="5"/>
  <c r="J276" i="5"/>
  <c r="K269" i="5"/>
  <c r="J269" i="5"/>
  <c r="M269" i="5"/>
  <c r="L269" i="5"/>
  <c r="J501" i="5"/>
  <c r="M501" i="5"/>
  <c r="K501" i="5"/>
  <c r="L501" i="5"/>
  <c r="L479" i="5"/>
  <c r="J479" i="5"/>
  <c r="M479" i="5"/>
  <c r="K479" i="5"/>
  <c r="M462" i="5"/>
  <c r="K462" i="5"/>
  <c r="J462" i="5"/>
  <c r="L462" i="5"/>
  <c r="L261" i="5"/>
  <c r="K261" i="5"/>
  <c r="J261" i="5"/>
  <c r="M261" i="5"/>
  <c r="J258" i="5"/>
  <c r="K258" i="5"/>
  <c r="M258" i="5"/>
  <c r="L258" i="5"/>
  <c r="J254" i="5"/>
  <c r="K254" i="5"/>
  <c r="M254" i="5"/>
  <c r="L254" i="5"/>
  <c r="G272" i="5"/>
  <c r="G148" i="5"/>
  <c r="G513" i="5"/>
  <c r="G498" i="5"/>
  <c r="G444" i="5"/>
  <c r="G252" i="5"/>
  <c r="G527" i="5"/>
  <c r="G492" i="5"/>
  <c r="G511" i="5"/>
  <c r="G503" i="5"/>
  <c r="G418" i="5"/>
  <c r="G528" i="5"/>
  <c r="G494" i="5"/>
  <c r="G481" i="5"/>
  <c r="G453" i="5"/>
  <c r="G332" i="5"/>
  <c r="G454" i="5"/>
  <c r="G369" i="5"/>
  <c r="G429" i="5"/>
  <c r="G419" i="5"/>
  <c r="G401" i="5"/>
  <c r="G386" i="5"/>
  <c r="G351" i="5"/>
  <c r="G237" i="5"/>
  <c r="G232" i="5"/>
  <c r="G443" i="5"/>
  <c r="G442" i="5"/>
  <c r="G439" i="5"/>
  <c r="G438" i="5"/>
  <c r="G437" i="5"/>
  <c r="G436" i="5"/>
  <c r="G435" i="5"/>
  <c r="G433" i="5"/>
  <c r="G480" i="5"/>
  <c r="G473" i="5"/>
  <c r="G466" i="5"/>
  <c r="G463" i="5"/>
  <c r="G461" i="5"/>
  <c r="G404" i="5"/>
  <c r="G393" i="5"/>
  <c r="G387" i="5"/>
  <c r="G354" i="5"/>
  <c r="G350" i="5"/>
  <c r="G384" i="5"/>
  <c r="G383" i="5"/>
  <c r="G382" i="5"/>
  <c r="G381" i="5"/>
  <c r="G380" i="5"/>
  <c r="G379" i="5"/>
  <c r="G377" i="5"/>
  <c r="G375" i="5"/>
  <c r="G305" i="5"/>
  <c r="G374" i="5"/>
  <c r="G373" i="5"/>
  <c r="G371" i="5"/>
  <c r="G467" i="5"/>
  <c r="G464" i="5"/>
  <c r="G460" i="5"/>
  <c r="G449" i="5"/>
  <c r="G408" i="5"/>
  <c r="G333" i="5"/>
  <c r="G304" i="5"/>
  <c r="G446" i="5"/>
  <c r="G441" i="5"/>
  <c r="G267" i="5"/>
  <c r="G360" i="5"/>
  <c r="G345" i="5"/>
  <c r="G336" i="5"/>
  <c r="G327" i="5"/>
  <c r="G323" i="5"/>
  <c r="G275" i="5"/>
  <c r="G218" i="5"/>
  <c r="G216" i="5"/>
  <c r="G270" i="5"/>
  <c r="G167" i="5"/>
  <c r="G166" i="5"/>
  <c r="G150" i="5"/>
  <c r="G274" i="5"/>
  <c r="G258" i="5"/>
  <c r="G479" i="5"/>
  <c r="G278" i="5"/>
  <c r="G261" i="5"/>
  <c r="G169" i="5"/>
  <c r="G162" i="5"/>
  <c r="G160" i="5"/>
  <c r="G158" i="5"/>
  <c r="G156" i="5"/>
  <c r="G154" i="5"/>
  <c r="G152" i="5"/>
  <c r="G266" i="5"/>
  <c r="G259" i="5"/>
  <c r="G432" i="5"/>
  <c r="G426" i="5"/>
  <c r="G422" i="5"/>
  <c r="G417" i="5"/>
  <c r="G410" i="5"/>
  <c r="G365" i="5"/>
  <c r="G363" i="5"/>
  <c r="G355" i="5"/>
  <c r="G230" i="5"/>
  <c r="G348" i="5"/>
  <c r="G346" i="5"/>
  <c r="G343" i="5"/>
  <c r="G341" i="5"/>
  <c r="G339" i="5"/>
  <c r="G337" i="5"/>
  <c r="G335" i="5"/>
  <c r="G334" i="5"/>
  <c r="G297" i="5"/>
  <c r="G328" i="5"/>
  <c r="G324" i="5"/>
  <c r="G320" i="5"/>
  <c r="G318" i="5"/>
  <c r="G477" i="5"/>
  <c r="G279" i="5"/>
  <c r="G269" i="5"/>
  <c r="G248" i="5"/>
  <c r="G245" i="5"/>
  <c r="G225" i="5"/>
  <c r="G221" i="5"/>
  <c r="G219" i="5"/>
  <c r="G217" i="5"/>
  <c r="G215" i="5"/>
  <c r="G287" i="5"/>
  <c r="G276" i="5"/>
  <c r="G262" i="5"/>
  <c r="G246" i="5"/>
  <c r="G214" i="5"/>
  <c r="G209" i="5"/>
  <c r="G208" i="5"/>
  <c r="G499" i="5"/>
  <c r="G425" i="5"/>
  <c r="G490" i="5"/>
  <c r="G507" i="5"/>
  <c r="G486" i="5"/>
  <c r="G468" i="5"/>
  <c r="G455" i="5"/>
  <c r="G458" i="5"/>
  <c r="G385" i="5"/>
  <c r="G357" i="5"/>
  <c r="G242" i="5"/>
  <c r="G405" i="5"/>
  <c r="G390" i="5"/>
  <c r="G236" i="5"/>
  <c r="G514" i="5"/>
  <c r="G505" i="5"/>
  <c r="G495" i="5"/>
  <c r="G330" i="5"/>
  <c r="G431" i="5"/>
  <c r="G416" i="5"/>
  <c r="G359" i="5"/>
  <c r="G352" i="5"/>
  <c r="G356" i="5"/>
  <c r="G228" i="5"/>
  <c r="G501" i="5"/>
  <c r="G496" i="5"/>
  <c r="G483" i="5"/>
  <c r="G257" i="5"/>
  <c r="G452" i="5"/>
  <c r="G447" i="5"/>
  <c r="G349" i="5"/>
  <c r="G451" i="5"/>
  <c r="G353" i="5"/>
  <c r="G398" i="5"/>
  <c r="G493" i="5"/>
  <c r="G517" i="5"/>
  <c r="G254" i="5"/>
  <c r="G440" i="5"/>
  <c r="G282" i="5"/>
  <c r="G411" i="5"/>
  <c r="G358" i="5"/>
  <c r="G502" i="5"/>
  <c r="G277" i="5"/>
  <c r="G226" i="5"/>
  <c r="Q338" i="5" l="1"/>
  <c r="P338" i="5"/>
  <c r="O338" i="5"/>
  <c r="P423" i="5"/>
  <c r="O506" i="5"/>
  <c r="N506" i="5"/>
  <c r="O241" i="5"/>
  <c r="O488" i="5"/>
  <c r="P488" i="5"/>
  <c r="Q488" i="5"/>
  <c r="N488" i="5"/>
  <c r="Q521" i="5"/>
  <c r="O521" i="5"/>
  <c r="N521" i="5"/>
  <c r="P521" i="5"/>
  <c r="N241" i="5"/>
  <c r="Q395" i="5"/>
  <c r="P395" i="5"/>
  <c r="O395" i="5"/>
  <c r="N395" i="5"/>
  <c r="Q253" i="5"/>
  <c r="N253" i="5"/>
  <c r="P253" i="5"/>
  <c r="O253" i="5"/>
  <c r="P457" i="5"/>
  <c r="O457" i="5"/>
  <c r="Q457" i="5"/>
  <c r="N457" i="5"/>
  <c r="P210" i="5"/>
  <c r="N210" i="5"/>
  <c r="Q210" i="5"/>
  <c r="O210" i="5"/>
  <c r="P205" i="5"/>
  <c r="N338" i="5"/>
  <c r="Q316" i="5"/>
  <c r="P316" i="5"/>
  <c r="O316" i="5"/>
  <c r="N316" i="5"/>
  <c r="P424" i="5"/>
  <c r="Q424" i="5"/>
  <c r="N424" i="5"/>
  <c r="O424" i="5"/>
  <c r="O347" i="5"/>
  <c r="Q347" i="5"/>
  <c r="N347" i="5"/>
  <c r="P347" i="5"/>
  <c r="O508" i="5"/>
  <c r="N508" i="5"/>
  <c r="Q508" i="5"/>
  <c r="P508" i="5"/>
  <c r="O321" i="5"/>
  <c r="P321" i="5"/>
  <c r="Q321" i="5"/>
  <c r="N321" i="5"/>
  <c r="Q325" i="5"/>
  <c r="P325" i="5"/>
  <c r="O325" i="5"/>
  <c r="N325" i="5"/>
  <c r="Q315" i="5"/>
  <c r="P315" i="5"/>
  <c r="O315" i="5"/>
  <c r="N315" i="5"/>
  <c r="Q310" i="5"/>
  <c r="N310" i="5"/>
  <c r="O310" i="5"/>
  <c r="P310" i="5"/>
  <c r="O306" i="5"/>
  <c r="Q306" i="5"/>
  <c r="P306" i="5"/>
  <c r="N306" i="5"/>
  <c r="Q299" i="5"/>
  <c r="N299" i="5"/>
  <c r="P299" i="5"/>
  <c r="O299" i="5"/>
  <c r="P292" i="5"/>
  <c r="N292" i="5"/>
  <c r="O292" i="5"/>
  <c r="Q292" i="5"/>
  <c r="N205" i="5"/>
  <c r="Q205" i="5"/>
  <c r="N427" i="5"/>
  <c r="O427" i="5"/>
  <c r="Q427" i="5"/>
  <c r="P427" i="5"/>
  <c r="P515" i="5"/>
  <c r="Q515" i="5"/>
  <c r="N515" i="5"/>
  <c r="O515" i="5"/>
  <c r="O421" i="5"/>
  <c r="Q421" i="5"/>
  <c r="N421" i="5"/>
  <c r="Q264" i="5"/>
  <c r="O264" i="5"/>
  <c r="N264" i="5"/>
  <c r="P264" i="5"/>
  <c r="P520" i="5"/>
  <c r="O520" i="5"/>
  <c r="N520" i="5"/>
  <c r="Q520" i="5"/>
  <c r="P518" i="5"/>
  <c r="Q518" i="5"/>
  <c r="N518" i="5"/>
  <c r="O518" i="5"/>
  <c r="N516" i="5"/>
  <c r="P516" i="5"/>
  <c r="Q516" i="5"/>
  <c r="O516" i="5"/>
  <c r="Q512" i="5"/>
  <c r="N512" i="5"/>
  <c r="O512" i="5"/>
  <c r="P512" i="5"/>
  <c r="P485" i="5"/>
  <c r="N485" i="5"/>
  <c r="Q485" i="5"/>
  <c r="O485" i="5"/>
  <c r="Q474" i="5"/>
  <c r="P474" i="5"/>
  <c r="O474" i="5"/>
  <c r="N474" i="5"/>
  <c r="P295" i="5"/>
  <c r="N295" i="5"/>
  <c r="O295" i="5"/>
  <c r="Q295" i="5"/>
  <c r="O300" i="5"/>
  <c r="P300" i="5"/>
  <c r="Q300" i="5"/>
  <c r="N300" i="5"/>
  <c r="Q344" i="5"/>
  <c r="Q309" i="5"/>
  <c r="N309" i="5"/>
  <c r="P309" i="5"/>
  <c r="Q294" i="5"/>
  <c r="O294" i="5"/>
  <c r="P290" i="5"/>
  <c r="Q290" i="5"/>
  <c r="O290" i="5"/>
  <c r="P284" i="5"/>
  <c r="O284" i="5"/>
  <c r="Q420" i="5"/>
  <c r="N243" i="5"/>
  <c r="P241" i="5"/>
  <c r="O402" i="5"/>
  <c r="O344" i="5"/>
  <c r="P344" i="5"/>
  <c r="N344" i="5"/>
  <c r="O280" i="5"/>
  <c r="P280" i="5"/>
  <c r="N280" i="5"/>
  <c r="Q280" i="5"/>
  <c r="Q319" i="5"/>
  <c r="P319" i="5"/>
  <c r="O319" i="5"/>
  <c r="N319" i="5"/>
  <c r="Q313" i="5"/>
  <c r="P313" i="5"/>
  <c r="O313" i="5"/>
  <c r="N313" i="5"/>
  <c r="O309" i="5"/>
  <c r="N294" i="5"/>
  <c r="P294" i="5"/>
  <c r="N290" i="5"/>
  <c r="Q284" i="5"/>
  <c r="N284" i="5"/>
  <c r="O420" i="5"/>
  <c r="O243" i="5"/>
  <c r="Q402" i="5"/>
  <c r="N402" i="5"/>
  <c r="P523" i="5"/>
  <c r="N523" i="5"/>
  <c r="Q523" i="5"/>
  <c r="O523" i="5"/>
  <c r="O212" i="5"/>
  <c r="N212" i="5"/>
  <c r="Q212" i="5"/>
  <c r="P212" i="5"/>
  <c r="Q207" i="5"/>
  <c r="N207" i="5"/>
  <c r="P207" i="5"/>
  <c r="O207" i="5"/>
  <c r="O201" i="5"/>
  <c r="Q201" i="5"/>
  <c r="P201" i="5"/>
  <c r="N201" i="5"/>
  <c r="O482" i="5"/>
  <c r="P482" i="5"/>
  <c r="N482" i="5"/>
  <c r="Q482" i="5"/>
  <c r="P402" i="5"/>
  <c r="N331" i="5"/>
  <c r="P331" i="5"/>
  <c r="O331" i="5"/>
  <c r="Q331" i="5"/>
  <c r="P271" i="5"/>
  <c r="O271" i="5"/>
  <c r="Q271" i="5"/>
  <c r="N271" i="5"/>
  <c r="N476" i="5"/>
  <c r="Q476" i="5"/>
  <c r="O476" i="5"/>
  <c r="P476" i="5"/>
  <c r="Q407" i="5"/>
  <c r="P407" i="5"/>
  <c r="O407" i="5"/>
  <c r="N407" i="5"/>
  <c r="O470" i="5"/>
  <c r="P265" i="5"/>
  <c r="N378" i="5"/>
  <c r="Q281" i="5"/>
  <c r="P281" i="5"/>
  <c r="P318" i="5"/>
  <c r="Q186" i="5"/>
  <c r="Q185" i="5"/>
  <c r="Q178" i="5"/>
  <c r="P177" i="5"/>
  <c r="P176" i="5"/>
  <c r="O174" i="5"/>
  <c r="O462" i="5"/>
  <c r="P376" i="5"/>
  <c r="Q376" i="5"/>
  <c r="N376" i="5"/>
  <c r="O376" i="5"/>
  <c r="Q370" i="5"/>
  <c r="O370" i="5"/>
  <c r="P370" i="5"/>
  <c r="N370" i="5"/>
  <c r="O414" i="5"/>
  <c r="P414" i="5"/>
  <c r="Q414" i="5"/>
  <c r="N414" i="5"/>
  <c r="Q409" i="5"/>
  <c r="O409" i="5"/>
  <c r="P409" i="5"/>
  <c r="N409" i="5"/>
  <c r="Q406" i="5"/>
  <c r="O406" i="5"/>
  <c r="P406" i="5"/>
  <c r="N406" i="5"/>
  <c r="Q400" i="5"/>
  <c r="P400" i="5"/>
  <c r="O400" i="5"/>
  <c r="N400" i="5"/>
  <c r="N399" i="5"/>
  <c r="Q399" i="5"/>
  <c r="P399" i="5"/>
  <c r="O399" i="5"/>
  <c r="Q396" i="5"/>
  <c r="P396" i="5"/>
  <c r="O396" i="5"/>
  <c r="N396" i="5"/>
  <c r="P470" i="5"/>
  <c r="Q265" i="5"/>
  <c r="P378" i="5"/>
  <c r="Q378" i="5"/>
  <c r="N281" i="5"/>
  <c r="N318" i="5"/>
  <c r="N185" i="5"/>
  <c r="O184" i="5"/>
  <c r="O177" i="5"/>
  <c r="O176" i="5"/>
  <c r="Q175" i="5"/>
  <c r="P174" i="5"/>
  <c r="Q361" i="5"/>
  <c r="O361" i="5"/>
  <c r="N361" i="5"/>
  <c r="P361" i="5"/>
  <c r="N367" i="5"/>
  <c r="Q367" i="5"/>
  <c r="P367" i="5"/>
  <c r="O367" i="5"/>
  <c r="Q263" i="5"/>
  <c r="O263" i="5"/>
  <c r="P263" i="5"/>
  <c r="N263" i="5"/>
  <c r="N470" i="5"/>
  <c r="Q470" i="5"/>
  <c r="O265" i="5"/>
  <c r="N265" i="5"/>
  <c r="O378" i="5"/>
  <c r="O281" i="5"/>
  <c r="Q318" i="5"/>
  <c r="P186" i="5"/>
  <c r="Q184" i="5"/>
  <c r="P178" i="5"/>
  <c r="Q177" i="5"/>
  <c r="N175" i="5"/>
  <c r="O173" i="5"/>
  <c r="O318" i="5"/>
  <c r="Q329" i="5"/>
  <c r="N329" i="5"/>
  <c r="O329" i="5"/>
  <c r="P329" i="5"/>
  <c r="Q317" i="5"/>
  <c r="P317" i="5"/>
  <c r="O317" i="5"/>
  <c r="N317" i="5"/>
  <c r="Q312" i="5"/>
  <c r="P312" i="5"/>
  <c r="O312" i="5"/>
  <c r="N312" i="5"/>
  <c r="P307" i="5"/>
  <c r="Q307" i="5"/>
  <c r="O307" i="5"/>
  <c r="N307" i="5"/>
  <c r="P291" i="5"/>
  <c r="N291" i="5"/>
  <c r="O291" i="5"/>
  <c r="Q291" i="5"/>
  <c r="O222" i="5"/>
  <c r="N222" i="5"/>
  <c r="P222" i="5"/>
  <c r="Q222" i="5"/>
  <c r="P239" i="5"/>
  <c r="Q239" i="5"/>
  <c r="N239" i="5"/>
  <c r="O239" i="5"/>
  <c r="O235" i="5"/>
  <c r="N235" i="5"/>
  <c r="P235" i="5"/>
  <c r="Q235" i="5"/>
  <c r="O463" i="5"/>
  <c r="Q223" i="5"/>
  <c r="N223" i="5"/>
  <c r="P223" i="5"/>
  <c r="O223" i="5"/>
  <c r="N282" i="5"/>
  <c r="Q282" i="5"/>
  <c r="P282" i="5"/>
  <c r="P189" i="5"/>
  <c r="Q189" i="5"/>
  <c r="N186" i="5"/>
  <c r="O185" i="5"/>
  <c r="P184" i="5"/>
  <c r="O178" i="5"/>
  <c r="Q176" i="5"/>
  <c r="O175" i="5"/>
  <c r="N174" i="5"/>
  <c r="P272" i="5"/>
  <c r="O272" i="5"/>
  <c r="Q272" i="5"/>
  <c r="N272" i="5"/>
  <c r="Q471" i="5"/>
  <c r="N471" i="5"/>
  <c r="O471" i="5"/>
  <c r="P471" i="5"/>
  <c r="Q260" i="5"/>
  <c r="P260" i="5"/>
  <c r="O260" i="5"/>
  <c r="N260" i="5"/>
  <c r="N255" i="5"/>
  <c r="Q255" i="5"/>
  <c r="P255" i="5"/>
  <c r="O255" i="5"/>
  <c r="N250" i="5"/>
  <c r="P250" i="5"/>
  <c r="O250" i="5"/>
  <c r="Q250" i="5"/>
  <c r="N247" i="5"/>
  <c r="O247" i="5"/>
  <c r="P247" i="5"/>
  <c r="Q247" i="5"/>
  <c r="O213" i="5"/>
  <c r="P213" i="5"/>
  <c r="N213" i="5"/>
  <c r="Q213" i="5"/>
  <c r="O211" i="5"/>
  <c r="P211" i="5"/>
  <c r="N211" i="5"/>
  <c r="Q211" i="5"/>
  <c r="O206" i="5"/>
  <c r="N206" i="5"/>
  <c r="P206" i="5"/>
  <c r="Q206" i="5"/>
  <c r="Q203" i="5"/>
  <c r="N203" i="5"/>
  <c r="O203" i="5"/>
  <c r="P203" i="5"/>
  <c r="P200" i="5"/>
  <c r="Q200" i="5"/>
  <c r="O200" i="5"/>
  <c r="N200" i="5"/>
  <c r="P199" i="5"/>
  <c r="Q199" i="5"/>
  <c r="O199" i="5"/>
  <c r="N199" i="5"/>
  <c r="P198" i="5"/>
  <c r="O198" i="5"/>
  <c r="Q198" i="5"/>
  <c r="N198" i="5"/>
  <c r="O197" i="5"/>
  <c r="Q197" i="5"/>
  <c r="P197" i="5"/>
  <c r="N197" i="5"/>
  <c r="P196" i="5"/>
  <c r="O196" i="5"/>
  <c r="Q196" i="5"/>
  <c r="N196" i="5"/>
  <c r="N195" i="5"/>
  <c r="Q195" i="5"/>
  <c r="O195" i="5"/>
  <c r="P195" i="5"/>
  <c r="N194" i="5"/>
  <c r="P194" i="5"/>
  <c r="Q194" i="5"/>
  <c r="O194" i="5"/>
  <c r="Q193" i="5"/>
  <c r="N193" i="5"/>
  <c r="O193" i="5"/>
  <c r="P193" i="5"/>
  <c r="P192" i="5"/>
  <c r="O192" i="5"/>
  <c r="N192" i="5"/>
  <c r="Q192" i="5"/>
  <c r="O191" i="5"/>
  <c r="N191" i="5"/>
  <c r="Q191" i="5"/>
  <c r="P191" i="5"/>
  <c r="N190" i="5"/>
  <c r="O190" i="5"/>
  <c r="Q190" i="5"/>
  <c r="P190" i="5"/>
  <c r="O189" i="5"/>
  <c r="N189" i="5"/>
  <c r="O186" i="5"/>
  <c r="P185" i="5"/>
  <c r="N184" i="5"/>
  <c r="N178" i="5"/>
  <c r="N177" i="5"/>
  <c r="N176" i="5"/>
  <c r="P175" i="5"/>
  <c r="Q174" i="5"/>
  <c r="N462" i="5"/>
  <c r="N173" i="5"/>
  <c r="Q173" i="5"/>
  <c r="P173" i="5"/>
  <c r="N172" i="5"/>
  <c r="O172" i="5"/>
  <c r="P172" i="5"/>
  <c r="Q172" i="5"/>
  <c r="O340" i="5"/>
  <c r="Q340" i="5"/>
  <c r="N340" i="5"/>
  <c r="P340" i="5"/>
  <c r="N326" i="5"/>
  <c r="P326" i="5"/>
  <c r="O326" i="5"/>
  <c r="Q326" i="5"/>
  <c r="Q322" i="5"/>
  <c r="P322" i="5"/>
  <c r="O322" i="5"/>
  <c r="N322" i="5"/>
  <c r="Q314" i="5"/>
  <c r="P314" i="5"/>
  <c r="O314" i="5"/>
  <c r="N314" i="5"/>
  <c r="O308" i="5"/>
  <c r="Q308" i="5"/>
  <c r="P308" i="5"/>
  <c r="N308" i="5"/>
  <c r="Q283" i="5"/>
  <c r="O303" i="5"/>
  <c r="P303" i="5"/>
  <c r="N303" i="5"/>
  <c r="Q303" i="5"/>
  <c r="N298" i="5"/>
  <c r="Q298" i="5"/>
  <c r="O298" i="5"/>
  <c r="P298" i="5"/>
  <c r="P293" i="5"/>
  <c r="Q293" i="5"/>
  <c r="O293" i="5"/>
  <c r="N293" i="5"/>
  <c r="Q288" i="5"/>
  <c r="N288" i="5"/>
  <c r="P288" i="5"/>
  <c r="O288" i="5"/>
  <c r="N286" i="5"/>
  <c r="O286" i="5"/>
  <c r="Q286" i="5"/>
  <c r="P286" i="5"/>
  <c r="O249" i="5"/>
  <c r="N249" i="5"/>
  <c r="Q249" i="5"/>
  <c r="P249" i="5"/>
  <c r="O244" i="5"/>
  <c r="Q244" i="5"/>
  <c r="P244" i="5"/>
  <c r="N244" i="5"/>
  <c r="P240" i="5"/>
  <c r="N240" i="5"/>
  <c r="O240" i="5"/>
  <c r="Q240" i="5"/>
  <c r="O234" i="5"/>
  <c r="N234" i="5"/>
  <c r="Q234" i="5"/>
  <c r="P234" i="5"/>
  <c r="P233" i="5"/>
  <c r="N233" i="5"/>
  <c r="Q233" i="5"/>
  <c r="O233" i="5"/>
  <c r="Q229" i="5"/>
  <c r="O229" i="5"/>
  <c r="P229" i="5"/>
  <c r="N229" i="5"/>
  <c r="O227" i="5"/>
  <c r="P227" i="5"/>
  <c r="N227" i="5"/>
  <c r="Q227" i="5"/>
  <c r="P500" i="5"/>
  <c r="O500" i="5"/>
  <c r="Q500" i="5"/>
  <c r="N500" i="5"/>
  <c r="O487" i="5"/>
  <c r="N487" i="5"/>
  <c r="Q487" i="5"/>
  <c r="P487" i="5"/>
  <c r="Q475" i="5"/>
  <c r="O475" i="5"/>
  <c r="N475" i="5"/>
  <c r="P475" i="5"/>
  <c r="Q430" i="5"/>
  <c r="O430" i="5"/>
  <c r="O283" i="5"/>
  <c r="P283" i="5"/>
  <c r="P462" i="5"/>
  <c r="P430" i="5"/>
  <c r="N430" i="5"/>
  <c r="P459" i="5"/>
  <c r="Q459" i="5"/>
  <c r="N459" i="5"/>
  <c r="O459" i="5"/>
  <c r="Q403" i="5"/>
  <c r="P403" i="5"/>
  <c r="O403" i="5"/>
  <c r="N403" i="5"/>
  <c r="O165" i="5"/>
  <c r="P164" i="5"/>
  <c r="O164" i="5"/>
  <c r="Q164" i="5"/>
  <c r="N164" i="5"/>
  <c r="N163" i="5"/>
  <c r="O163" i="5"/>
  <c r="P163" i="5"/>
  <c r="Q163" i="5"/>
  <c r="P161" i="5"/>
  <c r="Q161" i="5"/>
  <c r="O161" i="5"/>
  <c r="N161" i="5"/>
  <c r="Q159" i="5"/>
  <c r="P159" i="5"/>
  <c r="O159" i="5"/>
  <c r="N159" i="5"/>
  <c r="Q157" i="5"/>
  <c r="P157" i="5"/>
  <c r="O157" i="5"/>
  <c r="N157" i="5"/>
  <c r="Q155" i="5"/>
  <c r="P155" i="5"/>
  <c r="O155" i="5"/>
  <c r="N155" i="5"/>
  <c r="Q153" i="5"/>
  <c r="P153" i="5"/>
  <c r="O153" i="5"/>
  <c r="N153" i="5"/>
  <c r="Q151" i="5"/>
  <c r="P151" i="5"/>
  <c r="O151" i="5"/>
  <c r="N151" i="5"/>
  <c r="Q149" i="5"/>
  <c r="P149" i="5"/>
  <c r="O149" i="5"/>
  <c r="N149" i="5"/>
  <c r="Q147" i="5"/>
  <c r="P147" i="5"/>
  <c r="O147" i="5"/>
  <c r="N147" i="5"/>
  <c r="N283" i="5"/>
  <c r="Q462" i="5"/>
  <c r="Q423" i="5"/>
  <c r="O423" i="5"/>
  <c r="N423" i="5"/>
  <c r="N428" i="5"/>
  <c r="O428" i="5"/>
  <c r="Q428" i="5"/>
  <c r="P428" i="5"/>
  <c r="N372" i="5"/>
  <c r="O372" i="5"/>
  <c r="P372" i="5"/>
  <c r="Q372" i="5"/>
  <c r="O519" i="5"/>
  <c r="P519" i="5"/>
  <c r="N519" i="5"/>
  <c r="Q519" i="5"/>
  <c r="Q509" i="5"/>
  <c r="O509" i="5"/>
  <c r="N509" i="5"/>
  <c r="P509" i="5"/>
  <c r="Q241" i="5"/>
  <c r="Q494" i="5"/>
  <c r="O494" i="5"/>
  <c r="P494" i="5"/>
  <c r="Q489" i="5"/>
  <c r="O489" i="5"/>
  <c r="N489" i="5"/>
  <c r="P489" i="5"/>
  <c r="P256" i="5"/>
  <c r="O256" i="5"/>
  <c r="Q256" i="5"/>
  <c r="N256" i="5"/>
  <c r="N251" i="5"/>
  <c r="O251" i="5"/>
  <c r="P251" i="5"/>
  <c r="Q251" i="5"/>
  <c r="P268" i="5"/>
  <c r="O268" i="5"/>
  <c r="N268" i="5"/>
  <c r="Q268" i="5"/>
  <c r="Q305" i="5"/>
  <c r="O305" i="5"/>
  <c r="N448" i="5"/>
  <c r="P448" i="5"/>
  <c r="O448" i="5"/>
  <c r="Q448" i="5"/>
  <c r="P415" i="5"/>
  <c r="O415" i="5"/>
  <c r="Q415" i="5"/>
  <c r="N415" i="5"/>
  <c r="P342" i="5"/>
  <c r="Q342" i="5"/>
  <c r="N342" i="5"/>
  <c r="O342" i="5"/>
  <c r="Q510" i="5"/>
  <c r="P510" i="5"/>
  <c r="O510" i="5"/>
  <c r="N510" i="5"/>
  <c r="N188" i="5"/>
  <c r="O188" i="5"/>
  <c r="Q188" i="5"/>
  <c r="P188" i="5"/>
  <c r="O187" i="5"/>
  <c r="Q187" i="5"/>
  <c r="N187" i="5"/>
  <c r="P187" i="5"/>
  <c r="Q297" i="5"/>
  <c r="N297" i="5"/>
  <c r="O297" i="5"/>
  <c r="P297" i="5"/>
  <c r="O432" i="5"/>
  <c r="P432" i="5"/>
  <c r="Q432" i="5"/>
  <c r="N432" i="5"/>
  <c r="Q289" i="5"/>
  <c r="P289" i="5"/>
  <c r="O289" i="5"/>
  <c r="N289" i="5"/>
  <c r="O285" i="5"/>
  <c r="N285" i="5"/>
  <c r="Q285" i="5"/>
  <c r="P285" i="5"/>
  <c r="O472" i="5"/>
  <c r="P472" i="5"/>
  <c r="N472" i="5"/>
  <c r="Q472" i="5"/>
  <c r="O524" i="5"/>
  <c r="N524" i="5"/>
  <c r="Q524" i="5"/>
  <c r="P524" i="5"/>
  <c r="P421" i="5"/>
  <c r="Q304" i="5"/>
  <c r="N304" i="5"/>
  <c r="Q267" i="5"/>
  <c r="O267" i="5"/>
  <c r="O259" i="5"/>
  <c r="P259" i="5"/>
  <c r="P410" i="5"/>
  <c r="Q410" i="5"/>
  <c r="O410" i="5"/>
  <c r="N410" i="5"/>
  <c r="Q412" i="5"/>
  <c r="P412" i="5"/>
  <c r="O412" i="5"/>
  <c r="N412" i="5"/>
  <c r="Q277" i="5"/>
  <c r="N277" i="5"/>
  <c r="P277" i="5"/>
  <c r="O277" i="5"/>
  <c r="P454" i="5"/>
  <c r="O454" i="5"/>
  <c r="Q454" i="5"/>
  <c r="N454" i="5"/>
  <c r="P304" i="5"/>
  <c r="O304" i="5"/>
  <c r="P267" i="5"/>
  <c r="N267" i="5"/>
  <c r="Q259" i="5"/>
  <c r="N259" i="5"/>
  <c r="N420" i="5"/>
  <c r="P420" i="5"/>
  <c r="P220" i="5"/>
  <c r="N220" i="5"/>
  <c r="O220" i="5"/>
  <c r="Q220" i="5"/>
  <c r="Q257" i="5"/>
  <c r="P257" i="5"/>
  <c r="N257" i="5"/>
  <c r="O257" i="5"/>
  <c r="Q404" i="5"/>
  <c r="P404" i="5"/>
  <c r="O404" i="5"/>
  <c r="N404" i="5"/>
  <c r="N328" i="5"/>
  <c r="Q252" i="5"/>
  <c r="O252" i="5"/>
  <c r="P252" i="5"/>
  <c r="N252" i="5"/>
  <c r="P363" i="5"/>
  <c r="Q431" i="5"/>
  <c r="O431" i="5"/>
  <c r="N431" i="5"/>
  <c r="P431" i="5"/>
  <c r="Q503" i="5"/>
  <c r="O503" i="5"/>
  <c r="N503" i="5"/>
  <c r="P503" i="5"/>
  <c r="Q363" i="5"/>
  <c r="N363" i="5"/>
  <c r="O363" i="5"/>
  <c r="Q413" i="5"/>
  <c r="P413" i="5"/>
  <c r="N413" i="5"/>
  <c r="O413" i="5"/>
  <c r="P386" i="5"/>
  <c r="N386" i="5"/>
  <c r="Q386" i="5"/>
  <c r="O386" i="5"/>
  <c r="O351" i="5"/>
  <c r="P351" i="5"/>
  <c r="Q279" i="5"/>
  <c r="O466" i="5"/>
  <c r="Q466" i="5"/>
  <c r="P466" i="5"/>
  <c r="N466" i="5"/>
  <c r="N245" i="5"/>
  <c r="O245" i="5"/>
  <c r="Q245" i="5"/>
  <c r="P245" i="5"/>
  <c r="O226" i="5"/>
  <c r="Q226" i="5"/>
  <c r="P226" i="5"/>
  <c r="N226" i="5"/>
  <c r="P463" i="5"/>
  <c r="N463" i="5"/>
  <c r="Q463" i="5"/>
  <c r="O282" i="5"/>
  <c r="Q162" i="5"/>
  <c r="P162" i="5"/>
  <c r="O162" i="5"/>
  <c r="N162" i="5"/>
  <c r="Q160" i="5"/>
  <c r="P160" i="5"/>
  <c r="O160" i="5"/>
  <c r="N160" i="5"/>
  <c r="Q158" i="5"/>
  <c r="P158" i="5"/>
  <c r="O158" i="5"/>
  <c r="N158" i="5"/>
  <c r="Q156" i="5"/>
  <c r="Q422" i="5"/>
  <c r="P422" i="5"/>
  <c r="N426" i="5"/>
  <c r="P426" i="5"/>
  <c r="Q426" i="5"/>
  <c r="O426" i="5"/>
  <c r="Q369" i="5"/>
  <c r="P369" i="5"/>
  <c r="O369" i="5"/>
  <c r="N369" i="5"/>
  <c r="Q443" i="5"/>
  <c r="O443" i="5"/>
  <c r="P443" i="5"/>
  <c r="N443" i="5"/>
  <c r="P275" i="5"/>
  <c r="Q275" i="5"/>
  <c r="O275" i="5"/>
  <c r="N275" i="5"/>
  <c r="O435" i="5"/>
  <c r="N435" i="5"/>
  <c r="P435" i="5"/>
  <c r="Q435" i="5"/>
  <c r="N225" i="5"/>
  <c r="O225" i="5"/>
  <c r="N419" i="5"/>
  <c r="Q419" i="5"/>
  <c r="P419" i="5"/>
  <c r="O419" i="5"/>
  <c r="P225" i="5"/>
  <c r="Q225" i="5"/>
  <c r="N165" i="5"/>
  <c r="Q165" i="5"/>
  <c r="P165" i="5"/>
  <c r="P276" i="5"/>
  <c r="Q276" i="5"/>
  <c r="O276" i="5"/>
  <c r="N276" i="5"/>
  <c r="Q243" i="5"/>
  <c r="P243" i="5"/>
  <c r="P311" i="5"/>
  <c r="Q311" i="5"/>
  <c r="O311" i="5"/>
  <c r="N311" i="5"/>
  <c r="Q204" i="5"/>
  <c r="O204" i="5"/>
  <c r="P204" i="5"/>
  <c r="N204" i="5"/>
  <c r="N202" i="5"/>
  <c r="P202" i="5"/>
  <c r="O202" i="5"/>
  <c r="Q202" i="5"/>
  <c r="R337" i="5"/>
  <c r="R338" i="5" s="1"/>
  <c r="R339" i="5" s="1"/>
  <c r="R340" i="5" s="1"/>
  <c r="R341" i="5" s="1"/>
  <c r="R342" i="5" s="1"/>
  <c r="R343" i="5" s="1"/>
  <c r="R344" i="5" s="1"/>
  <c r="R345" i="5" s="1"/>
  <c r="R346" i="5" s="1"/>
  <c r="R347" i="5" s="1"/>
  <c r="R348" i="5" s="1"/>
  <c r="R349" i="5" s="1"/>
  <c r="R350" i="5" s="1"/>
  <c r="R351" i="5" s="1"/>
  <c r="R352" i="5" s="1"/>
  <c r="R353" i="5" s="1"/>
  <c r="R354" i="5" s="1"/>
  <c r="R355" i="5" s="1"/>
  <c r="R356" i="5" s="1"/>
  <c r="R357" i="5" s="1"/>
  <c r="R358" i="5" s="1"/>
  <c r="R359" i="5" s="1"/>
  <c r="R360" i="5" s="1"/>
  <c r="R361" i="5" s="1"/>
  <c r="R362" i="5" s="1"/>
  <c r="R363" i="5" s="1"/>
  <c r="R364" i="5" s="1"/>
  <c r="R365" i="5" s="1"/>
  <c r="R366" i="5" s="1"/>
  <c r="R367" i="5" s="1"/>
  <c r="R368" i="5" s="1"/>
  <c r="R369" i="5" s="1"/>
  <c r="R370" i="5" s="1"/>
  <c r="R371" i="5" s="1"/>
  <c r="R372" i="5" s="1"/>
  <c r="R373" i="5" s="1"/>
  <c r="R374" i="5" s="1"/>
  <c r="R375" i="5" s="1"/>
  <c r="R376" i="5" s="1"/>
  <c r="R377" i="5" s="1"/>
  <c r="R378" i="5" s="1"/>
  <c r="R379" i="5" s="1"/>
  <c r="R380" i="5" s="1"/>
  <c r="R381" i="5" s="1"/>
  <c r="R382" i="5" s="1"/>
  <c r="R383" i="5" s="1"/>
  <c r="R384" i="5" s="1"/>
  <c r="R385" i="5" s="1"/>
  <c r="R386" i="5" s="1"/>
  <c r="R387" i="5" s="1"/>
  <c r="R388" i="5" s="1"/>
  <c r="R389" i="5" s="1"/>
  <c r="R390" i="5" s="1"/>
  <c r="R391" i="5" s="1"/>
  <c r="R392" i="5" s="1"/>
  <c r="R393" i="5" s="1"/>
  <c r="R394" i="5" s="1"/>
  <c r="R395" i="5" s="1"/>
  <c r="R396" i="5" s="1"/>
  <c r="R397" i="5" s="1"/>
  <c r="R398" i="5" s="1"/>
  <c r="R399" i="5" s="1"/>
  <c r="R400" i="5" s="1"/>
  <c r="R401" i="5" s="1"/>
  <c r="R402" i="5" s="1"/>
  <c r="R403" i="5" s="1"/>
  <c r="R404" i="5" s="1"/>
  <c r="R405" i="5" s="1"/>
  <c r="R406" i="5" s="1"/>
  <c r="R407" i="5" s="1"/>
  <c r="R408" i="5" s="1"/>
  <c r="R409" i="5" s="1"/>
  <c r="R410" i="5" s="1"/>
  <c r="R411" i="5" s="1"/>
  <c r="R412" i="5" s="1"/>
  <c r="R413" i="5" s="1"/>
  <c r="R414" i="5" s="1"/>
  <c r="R415" i="5" s="1"/>
  <c r="R416" i="5" s="1"/>
  <c r="R417" i="5" s="1"/>
  <c r="R418" i="5" s="1"/>
  <c r="R419" i="5" s="1"/>
  <c r="R420" i="5" s="1"/>
  <c r="R421" i="5" s="1"/>
  <c r="R422" i="5" s="1"/>
  <c r="R423" i="5" s="1"/>
  <c r="R424" i="5" s="1"/>
  <c r="R425" i="5" s="1"/>
  <c r="R426" i="5" s="1"/>
  <c r="R427" i="5" s="1"/>
  <c r="R428" i="5" s="1"/>
  <c r="R429" i="5" s="1"/>
  <c r="R430" i="5" s="1"/>
  <c r="R431" i="5" s="1"/>
  <c r="R432" i="5" s="1"/>
  <c r="Y50" i="5"/>
  <c r="Y45" i="5"/>
  <c r="Z45" i="5" s="1"/>
  <c r="Y25" i="5"/>
  <c r="Y48" i="5"/>
  <c r="Y49" i="5"/>
  <c r="Y43" i="5"/>
  <c r="Z43" i="5" s="1"/>
  <c r="Y42" i="5"/>
  <c r="Y38" i="5"/>
  <c r="Y29" i="5"/>
  <c r="Y30" i="5"/>
  <c r="Y27" i="5"/>
  <c r="Y31" i="5"/>
  <c r="Y26" i="5"/>
  <c r="Y40" i="5"/>
  <c r="Z40" i="5" s="1"/>
  <c r="Y32" i="5"/>
  <c r="Y37" i="5"/>
  <c r="Z37" i="5" s="1"/>
  <c r="Y39" i="5"/>
  <c r="Z39" i="5" s="1"/>
  <c r="Y34" i="5"/>
  <c r="Z34" i="5" s="1"/>
  <c r="Y33" i="5"/>
  <c r="Y44" i="5"/>
  <c r="Y28" i="5"/>
  <c r="Y35" i="5"/>
  <c r="Y47" i="5"/>
  <c r="Z47" i="5" s="1"/>
  <c r="Y41" i="5"/>
  <c r="Z41" i="5" s="1"/>
  <c r="Y46" i="5"/>
  <c r="Y36" i="5"/>
  <c r="Y24" i="5"/>
  <c r="B18" i="5"/>
  <c r="B19" i="5" s="1"/>
  <c r="P145" i="5"/>
  <c r="V145" i="5" s="1"/>
  <c r="V146" i="5" s="1"/>
  <c r="V147" i="5" s="1"/>
  <c r="V148" i="5" s="1"/>
  <c r="V149" i="5" s="1"/>
  <c r="V150" i="5" s="1"/>
  <c r="V151" i="5" s="1"/>
  <c r="N145" i="5"/>
  <c r="T145" i="5" s="1"/>
  <c r="T146" i="5" s="1"/>
  <c r="S145" i="5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299" i="5" s="1"/>
  <c r="S300" i="5" s="1"/>
  <c r="S301" i="5" s="1"/>
  <c r="S302" i="5" s="1"/>
  <c r="S303" i="5" s="1"/>
  <c r="S304" i="5" s="1"/>
  <c r="S305" i="5" s="1"/>
  <c r="S306" i="5" s="1"/>
  <c r="S307" i="5" s="1"/>
  <c r="S308" i="5" s="1"/>
  <c r="S309" i="5" s="1"/>
  <c r="S310" i="5" s="1"/>
  <c r="S311" i="5" s="1"/>
  <c r="S312" i="5" s="1"/>
  <c r="S313" i="5" s="1"/>
  <c r="S314" i="5" s="1"/>
  <c r="S315" i="5" s="1"/>
  <c r="S316" i="5" s="1"/>
  <c r="S317" i="5" s="1"/>
  <c r="S318" i="5" s="1"/>
  <c r="S319" i="5" s="1"/>
  <c r="S320" i="5" s="1"/>
  <c r="S321" i="5" s="1"/>
  <c r="S322" i="5" s="1"/>
  <c r="S323" i="5" s="1"/>
  <c r="S324" i="5" s="1"/>
  <c r="S325" i="5" s="1"/>
  <c r="S326" i="5" s="1"/>
  <c r="S327" i="5" s="1"/>
  <c r="S328" i="5" s="1"/>
  <c r="S329" i="5" s="1"/>
  <c r="S330" i="5" s="1"/>
  <c r="S331" i="5" s="1"/>
  <c r="S332" i="5" s="1"/>
  <c r="S333" i="5" s="1"/>
  <c r="S334" i="5" s="1"/>
  <c r="S335" i="5" s="1"/>
  <c r="S336" i="5" s="1"/>
  <c r="S337" i="5" s="1"/>
  <c r="S338" i="5" s="1"/>
  <c r="S339" i="5" s="1"/>
  <c r="S340" i="5" s="1"/>
  <c r="S341" i="5" s="1"/>
  <c r="S342" i="5" s="1"/>
  <c r="S343" i="5" s="1"/>
  <c r="S344" i="5" s="1"/>
  <c r="S345" i="5" s="1"/>
  <c r="S346" i="5" s="1"/>
  <c r="S347" i="5" s="1"/>
  <c r="S348" i="5" s="1"/>
  <c r="S349" i="5" s="1"/>
  <c r="S350" i="5" s="1"/>
  <c r="S351" i="5" s="1"/>
  <c r="S352" i="5" s="1"/>
  <c r="S353" i="5" s="1"/>
  <c r="S354" i="5" s="1"/>
  <c r="S355" i="5" s="1"/>
  <c r="S356" i="5" s="1"/>
  <c r="S357" i="5" s="1"/>
  <c r="S358" i="5" s="1"/>
  <c r="S359" i="5" s="1"/>
  <c r="S360" i="5" s="1"/>
  <c r="S361" i="5" s="1"/>
  <c r="S362" i="5" s="1"/>
  <c r="S363" i="5" s="1"/>
  <c r="S364" i="5" s="1"/>
  <c r="S365" i="5" s="1"/>
  <c r="S366" i="5" s="1"/>
  <c r="S367" i="5" s="1"/>
  <c r="S368" i="5" s="1"/>
  <c r="S369" i="5" s="1"/>
  <c r="S370" i="5" s="1"/>
  <c r="S371" i="5" s="1"/>
  <c r="S372" i="5" s="1"/>
  <c r="S373" i="5" s="1"/>
  <c r="S374" i="5" s="1"/>
  <c r="S375" i="5" s="1"/>
  <c r="S376" i="5" s="1"/>
  <c r="S377" i="5" s="1"/>
  <c r="S378" i="5" s="1"/>
  <c r="S379" i="5" s="1"/>
  <c r="S380" i="5" s="1"/>
  <c r="S381" i="5" s="1"/>
  <c r="S382" i="5" s="1"/>
  <c r="S383" i="5" s="1"/>
  <c r="S384" i="5" s="1"/>
  <c r="S385" i="5" s="1"/>
  <c r="S386" i="5" s="1"/>
  <c r="S387" i="5" s="1"/>
  <c r="S388" i="5" s="1"/>
  <c r="S389" i="5" s="1"/>
  <c r="S390" i="5" s="1"/>
  <c r="S391" i="5" s="1"/>
  <c r="S392" i="5" s="1"/>
  <c r="S393" i="5" s="1"/>
  <c r="S394" i="5" s="1"/>
  <c r="S395" i="5" s="1"/>
  <c r="S396" i="5" s="1"/>
  <c r="S397" i="5" s="1"/>
  <c r="S398" i="5" s="1"/>
  <c r="S399" i="5" s="1"/>
  <c r="S400" i="5" s="1"/>
  <c r="S401" i="5" s="1"/>
  <c r="S402" i="5" s="1"/>
  <c r="S403" i="5" s="1"/>
  <c r="S404" i="5" s="1"/>
  <c r="S405" i="5" s="1"/>
  <c r="S406" i="5" s="1"/>
  <c r="S407" i="5" s="1"/>
  <c r="S408" i="5" s="1"/>
  <c r="S409" i="5" s="1"/>
  <c r="S410" i="5" s="1"/>
  <c r="S411" i="5" s="1"/>
  <c r="S412" i="5" s="1"/>
  <c r="S413" i="5" s="1"/>
  <c r="S414" i="5" s="1"/>
  <c r="S415" i="5" s="1"/>
  <c r="S416" i="5" s="1"/>
  <c r="S417" i="5" s="1"/>
  <c r="S418" i="5" s="1"/>
  <c r="S419" i="5" s="1"/>
  <c r="S420" i="5" s="1"/>
  <c r="S421" i="5" s="1"/>
  <c r="S422" i="5" s="1"/>
  <c r="S423" i="5" s="1"/>
  <c r="S424" i="5" s="1"/>
  <c r="S425" i="5" s="1"/>
  <c r="S426" i="5" s="1"/>
  <c r="S427" i="5" s="1"/>
  <c r="S428" i="5" s="1"/>
  <c r="S429" i="5" s="1"/>
  <c r="S430" i="5" s="1"/>
  <c r="S431" i="5" s="1"/>
  <c r="S432" i="5" s="1"/>
  <c r="S433" i="5" s="1"/>
  <c r="S434" i="5" s="1"/>
  <c r="S435" i="5" s="1"/>
  <c r="S436" i="5" s="1"/>
  <c r="S437" i="5" s="1"/>
  <c r="S438" i="5" s="1"/>
  <c r="S439" i="5" s="1"/>
  <c r="S440" i="5" s="1"/>
  <c r="S441" i="5" s="1"/>
  <c r="S442" i="5" s="1"/>
  <c r="S443" i="5" s="1"/>
  <c r="S444" i="5" s="1"/>
  <c r="S445" i="5" s="1"/>
  <c r="S446" i="5" s="1"/>
  <c r="S447" i="5" s="1"/>
  <c r="S448" i="5" s="1"/>
  <c r="S449" i="5" s="1"/>
  <c r="S450" i="5" s="1"/>
  <c r="S451" i="5" s="1"/>
  <c r="S452" i="5" s="1"/>
  <c r="S453" i="5" s="1"/>
  <c r="S454" i="5" s="1"/>
  <c r="S455" i="5" s="1"/>
  <c r="S456" i="5" s="1"/>
  <c r="S457" i="5" s="1"/>
  <c r="S458" i="5" s="1"/>
  <c r="S459" i="5" s="1"/>
  <c r="S460" i="5" s="1"/>
  <c r="S461" i="5" s="1"/>
  <c r="S462" i="5" s="1"/>
  <c r="S463" i="5" s="1"/>
  <c r="S464" i="5" s="1"/>
  <c r="S465" i="5" s="1"/>
  <c r="S466" i="5" s="1"/>
  <c r="S467" i="5" s="1"/>
  <c r="S468" i="5" s="1"/>
  <c r="S469" i="5" s="1"/>
  <c r="S470" i="5" s="1"/>
  <c r="S471" i="5" s="1"/>
  <c r="S472" i="5" s="1"/>
  <c r="S473" i="5" s="1"/>
  <c r="S474" i="5" s="1"/>
  <c r="S475" i="5" s="1"/>
  <c r="S476" i="5" s="1"/>
  <c r="S477" i="5" s="1"/>
  <c r="S478" i="5" s="1"/>
  <c r="S479" i="5" s="1"/>
  <c r="S480" i="5" s="1"/>
  <c r="S481" i="5" s="1"/>
  <c r="S482" i="5" s="1"/>
  <c r="S483" i="5" s="1"/>
  <c r="S484" i="5" s="1"/>
  <c r="S485" i="5" s="1"/>
  <c r="S486" i="5" s="1"/>
  <c r="S487" i="5" s="1"/>
  <c r="S488" i="5" s="1"/>
  <c r="S489" i="5" s="1"/>
  <c r="S490" i="5" s="1"/>
  <c r="S491" i="5" s="1"/>
  <c r="S492" i="5" s="1"/>
  <c r="S493" i="5" s="1"/>
  <c r="S494" i="5" s="1"/>
  <c r="S495" i="5" s="1"/>
  <c r="S496" i="5" s="1"/>
  <c r="S497" i="5" s="1"/>
  <c r="S498" i="5" s="1"/>
  <c r="S499" i="5" s="1"/>
  <c r="S500" i="5" s="1"/>
  <c r="S501" i="5" s="1"/>
  <c r="S502" i="5" s="1"/>
  <c r="S503" i="5" s="1"/>
  <c r="S504" i="5" s="1"/>
  <c r="S505" i="5" s="1"/>
  <c r="S506" i="5" s="1"/>
  <c r="S507" i="5" s="1"/>
  <c r="S508" i="5" s="1"/>
  <c r="S509" i="5" s="1"/>
  <c r="S510" i="5" s="1"/>
  <c r="S511" i="5" s="1"/>
  <c r="S512" i="5" s="1"/>
  <c r="S513" i="5" s="1"/>
  <c r="S514" i="5" s="1"/>
  <c r="S515" i="5" s="1"/>
  <c r="S516" i="5" s="1"/>
  <c r="S517" i="5" s="1"/>
  <c r="S518" i="5" s="1"/>
  <c r="S519" i="5" s="1"/>
  <c r="S520" i="5" s="1"/>
  <c r="S521" i="5" s="1"/>
  <c r="S522" i="5" s="1"/>
  <c r="S523" i="5" s="1"/>
  <c r="S524" i="5" s="1"/>
  <c r="S525" i="5" s="1"/>
  <c r="S526" i="5" s="1"/>
  <c r="S527" i="5" s="1"/>
  <c r="S528" i="5" s="1"/>
  <c r="Q145" i="5"/>
  <c r="W145" i="5" s="1"/>
  <c r="W146" i="5" s="1"/>
  <c r="O145" i="5"/>
  <c r="U145" i="5" s="1"/>
  <c r="U146" i="5" s="1"/>
  <c r="P148" i="5"/>
  <c r="Q148" i="5"/>
  <c r="O148" i="5"/>
  <c r="N148" i="5"/>
  <c r="N513" i="5"/>
  <c r="P513" i="5"/>
  <c r="O513" i="5"/>
  <c r="Q513" i="5"/>
  <c r="O498" i="5"/>
  <c r="P498" i="5"/>
  <c r="N498" i="5"/>
  <c r="Q498" i="5"/>
  <c r="P444" i="5"/>
  <c r="N444" i="5"/>
  <c r="Q444" i="5"/>
  <c r="O444" i="5"/>
  <c r="O527" i="5"/>
  <c r="P527" i="5"/>
  <c r="N527" i="5"/>
  <c r="Q527" i="5"/>
  <c r="Q492" i="5"/>
  <c r="N492" i="5"/>
  <c r="O492" i="5"/>
  <c r="P492" i="5"/>
  <c r="N511" i="5"/>
  <c r="Q511" i="5"/>
  <c r="O511" i="5"/>
  <c r="P511" i="5"/>
  <c r="Q418" i="5"/>
  <c r="O418" i="5"/>
  <c r="P418" i="5"/>
  <c r="N418" i="5"/>
  <c r="O528" i="5"/>
  <c r="Q528" i="5"/>
  <c r="P528" i="5"/>
  <c r="N528" i="5"/>
  <c r="Q481" i="5"/>
  <c r="P481" i="5"/>
  <c r="O481" i="5"/>
  <c r="N481" i="5"/>
  <c r="N453" i="5"/>
  <c r="O453" i="5"/>
  <c r="P453" i="5"/>
  <c r="Q453" i="5"/>
  <c r="P332" i="5"/>
  <c r="O332" i="5"/>
  <c r="N332" i="5"/>
  <c r="Q332" i="5"/>
  <c r="P429" i="5"/>
  <c r="Q429" i="5"/>
  <c r="O429" i="5"/>
  <c r="N429" i="5"/>
  <c r="P401" i="5"/>
  <c r="Q401" i="5"/>
  <c r="O401" i="5"/>
  <c r="N401" i="5"/>
  <c r="N351" i="5"/>
  <c r="Q351" i="5"/>
  <c r="P237" i="5"/>
  <c r="Q237" i="5"/>
  <c r="O237" i="5"/>
  <c r="N237" i="5"/>
  <c r="P232" i="5"/>
  <c r="Q232" i="5"/>
  <c r="N232" i="5"/>
  <c r="O232" i="5"/>
  <c r="N442" i="5"/>
  <c r="P442" i="5"/>
  <c r="Q442" i="5"/>
  <c r="O442" i="5"/>
  <c r="P439" i="5"/>
  <c r="Q439" i="5"/>
  <c r="N439" i="5"/>
  <c r="O439" i="5"/>
  <c r="Q438" i="5"/>
  <c r="P438" i="5"/>
  <c r="O438" i="5"/>
  <c r="N438" i="5"/>
  <c r="P437" i="5"/>
  <c r="O437" i="5"/>
  <c r="Q437" i="5"/>
  <c r="N437" i="5"/>
  <c r="N436" i="5"/>
  <c r="Q436" i="5"/>
  <c r="P436" i="5"/>
  <c r="O436" i="5"/>
  <c r="N433" i="5"/>
  <c r="O433" i="5"/>
  <c r="Q433" i="5"/>
  <c r="P433" i="5"/>
  <c r="P480" i="5"/>
  <c r="O480" i="5"/>
  <c r="Q480" i="5"/>
  <c r="N480" i="5"/>
  <c r="O473" i="5"/>
  <c r="Q473" i="5"/>
  <c r="N473" i="5"/>
  <c r="P473" i="5"/>
  <c r="O461" i="5"/>
  <c r="N461" i="5"/>
  <c r="P461" i="5"/>
  <c r="Q461" i="5"/>
  <c r="O393" i="5"/>
  <c r="N393" i="5"/>
  <c r="Q393" i="5"/>
  <c r="P393" i="5"/>
  <c r="O387" i="5"/>
  <c r="Q387" i="5"/>
  <c r="N387" i="5"/>
  <c r="P387" i="5"/>
  <c r="Q354" i="5"/>
  <c r="P354" i="5"/>
  <c r="O354" i="5"/>
  <c r="N354" i="5"/>
  <c r="O350" i="5"/>
  <c r="Q350" i="5"/>
  <c r="P350" i="5"/>
  <c r="N350" i="5"/>
  <c r="Q384" i="5"/>
  <c r="O384" i="5"/>
  <c r="P384" i="5"/>
  <c r="N384" i="5"/>
  <c r="Q383" i="5"/>
  <c r="P383" i="5"/>
  <c r="O383" i="5"/>
  <c r="N383" i="5"/>
  <c r="P382" i="5"/>
  <c r="Q382" i="5"/>
  <c r="O382" i="5"/>
  <c r="N382" i="5"/>
  <c r="Q381" i="5"/>
  <c r="N381" i="5"/>
  <c r="O381" i="5"/>
  <c r="P381" i="5"/>
  <c r="N380" i="5"/>
  <c r="Q380" i="5"/>
  <c r="P380" i="5"/>
  <c r="O380" i="5"/>
  <c r="N379" i="5"/>
  <c r="O379" i="5"/>
  <c r="Q379" i="5"/>
  <c r="P379" i="5"/>
  <c r="Q377" i="5"/>
  <c r="P377" i="5"/>
  <c r="N377" i="5"/>
  <c r="O377" i="5"/>
  <c r="N375" i="5"/>
  <c r="P375" i="5"/>
  <c r="O375" i="5"/>
  <c r="Q375" i="5"/>
  <c r="P305" i="5"/>
  <c r="N305" i="5"/>
  <c r="N374" i="5"/>
  <c r="P374" i="5"/>
  <c r="Q374" i="5"/>
  <c r="O374" i="5"/>
  <c r="P373" i="5"/>
  <c r="N373" i="5"/>
  <c r="Q373" i="5"/>
  <c r="O373" i="5"/>
  <c r="N371" i="5"/>
  <c r="Q371" i="5"/>
  <c r="P371" i="5"/>
  <c r="O371" i="5"/>
  <c r="Q467" i="5"/>
  <c r="P467" i="5"/>
  <c r="O467" i="5"/>
  <c r="N467" i="5"/>
  <c r="P464" i="5"/>
  <c r="O464" i="5"/>
  <c r="N464" i="5"/>
  <c r="Q464" i="5"/>
  <c r="Q460" i="5"/>
  <c r="O460" i="5"/>
  <c r="N460" i="5"/>
  <c r="P460" i="5"/>
  <c r="Q449" i="5"/>
  <c r="P449" i="5"/>
  <c r="O449" i="5"/>
  <c r="N449" i="5"/>
  <c r="N408" i="5"/>
  <c r="O408" i="5"/>
  <c r="Q408" i="5"/>
  <c r="P408" i="5"/>
  <c r="O333" i="5"/>
  <c r="N333" i="5"/>
  <c r="P333" i="5"/>
  <c r="Q333" i="5"/>
  <c r="Q446" i="5"/>
  <c r="N446" i="5"/>
  <c r="P446" i="5"/>
  <c r="O446" i="5"/>
  <c r="P441" i="5"/>
  <c r="N441" i="5"/>
  <c r="Q441" i="5"/>
  <c r="O441" i="5"/>
  <c r="P360" i="5"/>
  <c r="Q360" i="5"/>
  <c r="N360" i="5"/>
  <c r="O360" i="5"/>
  <c r="P345" i="5"/>
  <c r="O345" i="5"/>
  <c r="N345" i="5"/>
  <c r="Q345" i="5"/>
  <c r="N336" i="5"/>
  <c r="O336" i="5"/>
  <c r="P336" i="5"/>
  <c r="Q336" i="5"/>
  <c r="N327" i="5"/>
  <c r="O327" i="5"/>
  <c r="P327" i="5"/>
  <c r="Q327" i="5"/>
  <c r="O323" i="5"/>
  <c r="P323" i="5"/>
  <c r="N323" i="5"/>
  <c r="Q323" i="5"/>
  <c r="N218" i="5"/>
  <c r="P218" i="5"/>
  <c r="O218" i="5"/>
  <c r="Q218" i="5"/>
  <c r="N216" i="5"/>
  <c r="P216" i="5"/>
  <c r="O216" i="5"/>
  <c r="Q216" i="5"/>
  <c r="O270" i="5"/>
  <c r="Q270" i="5"/>
  <c r="P270" i="5"/>
  <c r="N270" i="5"/>
  <c r="P167" i="5"/>
  <c r="O167" i="5"/>
  <c r="N167" i="5"/>
  <c r="Q167" i="5"/>
  <c r="Q166" i="5"/>
  <c r="N166" i="5"/>
  <c r="O166" i="5"/>
  <c r="P166" i="5"/>
  <c r="P150" i="5"/>
  <c r="N150" i="5"/>
  <c r="Q150" i="5"/>
  <c r="O150" i="5"/>
  <c r="O274" i="5"/>
  <c r="P274" i="5"/>
  <c r="Q274" i="5"/>
  <c r="N274" i="5"/>
  <c r="Q258" i="5"/>
  <c r="O258" i="5"/>
  <c r="P258" i="5"/>
  <c r="N258" i="5"/>
  <c r="Q278" i="5"/>
  <c r="P278" i="5"/>
  <c r="N278" i="5"/>
  <c r="O278" i="5"/>
  <c r="Q261" i="5"/>
  <c r="P261" i="5"/>
  <c r="N261" i="5"/>
  <c r="O261" i="5"/>
  <c r="P169" i="5"/>
  <c r="O169" i="5"/>
  <c r="Q169" i="5"/>
  <c r="N169" i="5"/>
  <c r="N156" i="5"/>
  <c r="O156" i="5"/>
  <c r="P156" i="5"/>
  <c r="N154" i="5"/>
  <c r="O154" i="5"/>
  <c r="P154" i="5"/>
  <c r="Q154" i="5"/>
  <c r="N152" i="5"/>
  <c r="O152" i="5"/>
  <c r="P152" i="5"/>
  <c r="Q152" i="5"/>
  <c r="N266" i="5"/>
  <c r="P266" i="5"/>
  <c r="O266" i="5"/>
  <c r="Q266" i="5"/>
  <c r="N417" i="5"/>
  <c r="Q417" i="5"/>
  <c r="O417" i="5"/>
  <c r="P417" i="5"/>
  <c r="N365" i="5"/>
  <c r="Q365" i="5"/>
  <c r="O365" i="5"/>
  <c r="P365" i="5"/>
  <c r="O355" i="5"/>
  <c r="Q355" i="5"/>
  <c r="N355" i="5"/>
  <c r="P355" i="5"/>
  <c r="Q230" i="5"/>
  <c r="P230" i="5"/>
  <c r="N230" i="5"/>
  <c r="O230" i="5"/>
  <c r="O348" i="5"/>
  <c r="Q348" i="5"/>
  <c r="N348" i="5"/>
  <c r="P348" i="5"/>
  <c r="Q346" i="5"/>
  <c r="P346" i="5"/>
  <c r="O346" i="5"/>
  <c r="N346" i="5"/>
  <c r="Q343" i="5"/>
  <c r="P343" i="5"/>
  <c r="O343" i="5"/>
  <c r="N343" i="5"/>
  <c r="P341" i="5"/>
  <c r="O341" i="5"/>
  <c r="N341" i="5"/>
  <c r="Q341" i="5"/>
  <c r="N339" i="5"/>
  <c r="P339" i="5"/>
  <c r="O339" i="5"/>
  <c r="Q339" i="5"/>
  <c r="N337" i="5"/>
  <c r="O337" i="5"/>
  <c r="P337" i="5"/>
  <c r="Q337" i="5"/>
  <c r="N335" i="5"/>
  <c r="O335" i="5"/>
  <c r="P335" i="5"/>
  <c r="Q335" i="5"/>
  <c r="N334" i="5"/>
  <c r="O334" i="5"/>
  <c r="P334" i="5"/>
  <c r="Q334" i="5"/>
  <c r="O328" i="5"/>
  <c r="P328" i="5"/>
  <c r="Q328" i="5"/>
  <c r="N324" i="5"/>
  <c r="O324" i="5"/>
  <c r="P324" i="5"/>
  <c r="Q324" i="5"/>
  <c r="N320" i="5"/>
  <c r="P320" i="5"/>
  <c r="O320" i="5"/>
  <c r="Q320" i="5"/>
  <c r="Q477" i="5"/>
  <c r="P477" i="5"/>
  <c r="O477" i="5"/>
  <c r="N477" i="5"/>
  <c r="N279" i="5"/>
  <c r="O279" i="5"/>
  <c r="P279" i="5"/>
  <c r="N248" i="5"/>
  <c r="P248" i="5"/>
  <c r="Q248" i="5"/>
  <c r="O248" i="5"/>
  <c r="P221" i="5"/>
  <c r="Q221" i="5"/>
  <c r="N221" i="5"/>
  <c r="O221" i="5"/>
  <c r="Q219" i="5"/>
  <c r="N219" i="5"/>
  <c r="P219" i="5"/>
  <c r="O219" i="5"/>
  <c r="P217" i="5"/>
  <c r="O217" i="5"/>
  <c r="Q217" i="5"/>
  <c r="N217" i="5"/>
  <c r="O215" i="5"/>
  <c r="N215" i="5"/>
  <c r="P215" i="5"/>
  <c r="Q215" i="5"/>
  <c r="Q287" i="5"/>
  <c r="N287" i="5"/>
  <c r="P287" i="5"/>
  <c r="O287" i="5"/>
  <c r="N262" i="5"/>
  <c r="P262" i="5"/>
  <c r="Q262" i="5"/>
  <c r="O262" i="5"/>
  <c r="O246" i="5"/>
  <c r="Q246" i="5"/>
  <c r="N246" i="5"/>
  <c r="P246" i="5"/>
  <c r="O214" i="5"/>
  <c r="Q214" i="5"/>
  <c r="P214" i="5"/>
  <c r="N214" i="5"/>
  <c r="Q209" i="5"/>
  <c r="N209" i="5"/>
  <c r="P209" i="5"/>
  <c r="O209" i="5"/>
  <c r="P208" i="5"/>
  <c r="N208" i="5"/>
  <c r="O208" i="5"/>
  <c r="Q208" i="5"/>
  <c r="O499" i="5"/>
  <c r="N499" i="5"/>
  <c r="P499" i="5"/>
  <c r="Q499" i="5"/>
  <c r="N425" i="5"/>
  <c r="P425" i="5"/>
  <c r="O425" i="5"/>
  <c r="Q425" i="5"/>
  <c r="O490" i="5"/>
  <c r="Q490" i="5"/>
  <c r="P490" i="5"/>
  <c r="N490" i="5"/>
  <c r="Q507" i="5"/>
  <c r="P507" i="5"/>
  <c r="N507" i="5"/>
  <c r="O507" i="5"/>
  <c r="Q486" i="5"/>
  <c r="O486" i="5"/>
  <c r="P486" i="5"/>
  <c r="N486" i="5"/>
  <c r="N468" i="5"/>
  <c r="Q468" i="5"/>
  <c r="O468" i="5"/>
  <c r="P468" i="5"/>
  <c r="P455" i="5"/>
  <c r="O455" i="5"/>
  <c r="Q455" i="5"/>
  <c r="N455" i="5"/>
  <c r="Q458" i="5"/>
  <c r="P458" i="5"/>
  <c r="O458" i="5"/>
  <c r="N458" i="5"/>
  <c r="N385" i="5"/>
  <c r="P385" i="5"/>
  <c r="Q385" i="5"/>
  <c r="O385" i="5"/>
  <c r="P357" i="5"/>
  <c r="Q357" i="5"/>
  <c r="N357" i="5"/>
  <c r="O357" i="5"/>
  <c r="Q242" i="5"/>
  <c r="P242" i="5"/>
  <c r="O242" i="5"/>
  <c r="N242" i="5"/>
  <c r="P405" i="5"/>
  <c r="N405" i="5"/>
  <c r="Q405" i="5"/>
  <c r="O405" i="5"/>
  <c r="P390" i="5"/>
  <c r="Q390" i="5"/>
  <c r="O390" i="5"/>
  <c r="N390" i="5"/>
  <c r="Q236" i="5"/>
  <c r="N236" i="5"/>
  <c r="P236" i="5"/>
  <c r="O236" i="5"/>
  <c r="Q514" i="5"/>
  <c r="P514" i="5"/>
  <c r="N514" i="5"/>
  <c r="O514" i="5"/>
  <c r="Q505" i="5"/>
  <c r="N505" i="5"/>
  <c r="P505" i="5"/>
  <c r="O505" i="5"/>
  <c r="Q495" i="5"/>
  <c r="O495" i="5"/>
  <c r="P495" i="5"/>
  <c r="N495" i="5"/>
  <c r="Q330" i="5"/>
  <c r="P330" i="5"/>
  <c r="N330" i="5"/>
  <c r="O330" i="5"/>
  <c r="N416" i="5"/>
  <c r="Q416" i="5"/>
  <c r="P416" i="5"/>
  <c r="O416" i="5"/>
  <c r="O359" i="5"/>
  <c r="Q359" i="5"/>
  <c r="P359" i="5"/>
  <c r="N359" i="5"/>
  <c r="N352" i="5"/>
  <c r="Q352" i="5"/>
  <c r="O352" i="5"/>
  <c r="P352" i="5"/>
  <c r="Q356" i="5"/>
  <c r="O356" i="5"/>
  <c r="P356" i="5"/>
  <c r="N356" i="5"/>
  <c r="P228" i="5"/>
  <c r="O228" i="5"/>
  <c r="N228" i="5"/>
  <c r="Q228" i="5"/>
  <c r="N496" i="5"/>
  <c r="O496" i="5"/>
  <c r="P496" i="5"/>
  <c r="Q496" i="5"/>
  <c r="O483" i="5"/>
  <c r="N483" i="5"/>
  <c r="P483" i="5"/>
  <c r="Q483" i="5"/>
  <c r="O452" i="5"/>
  <c r="N452" i="5"/>
  <c r="P452" i="5"/>
  <c r="Q452" i="5"/>
  <c r="P447" i="5"/>
  <c r="Q447" i="5"/>
  <c r="O447" i="5"/>
  <c r="N447" i="5"/>
  <c r="P349" i="5"/>
  <c r="Q349" i="5"/>
  <c r="O349" i="5"/>
  <c r="N349" i="5"/>
  <c r="Q451" i="5"/>
  <c r="P451" i="5"/>
  <c r="N451" i="5"/>
  <c r="O451" i="5"/>
  <c r="O353" i="5"/>
  <c r="Q353" i="5"/>
  <c r="P353" i="5"/>
  <c r="N353" i="5"/>
  <c r="Q398" i="5"/>
  <c r="N398" i="5"/>
  <c r="P398" i="5"/>
  <c r="O398" i="5"/>
  <c r="P493" i="5"/>
  <c r="N493" i="5"/>
  <c r="Q493" i="5"/>
  <c r="O493" i="5"/>
  <c r="P517" i="5"/>
  <c r="O517" i="5"/>
  <c r="Q517" i="5"/>
  <c r="N517" i="5"/>
  <c r="N440" i="5"/>
  <c r="P440" i="5"/>
  <c r="Q440" i="5"/>
  <c r="O440" i="5"/>
  <c r="Q411" i="5"/>
  <c r="P411" i="5"/>
  <c r="N411" i="5"/>
  <c r="O411" i="5"/>
  <c r="Q358" i="5"/>
  <c r="O358" i="5"/>
  <c r="P358" i="5"/>
  <c r="N358" i="5"/>
  <c r="Q502" i="5"/>
  <c r="N502" i="5"/>
  <c r="P502" i="5"/>
  <c r="O502" i="5"/>
  <c r="O422" i="5"/>
  <c r="N422" i="5"/>
  <c r="O269" i="5"/>
  <c r="N269" i="5"/>
  <c r="Q269" i="5"/>
  <c r="P269" i="5"/>
  <c r="N501" i="5"/>
  <c r="Q501" i="5"/>
  <c r="O501" i="5"/>
  <c r="P501" i="5"/>
  <c r="P479" i="5"/>
  <c r="N479" i="5"/>
  <c r="Q479" i="5"/>
  <c r="O479" i="5"/>
  <c r="N254" i="5"/>
  <c r="O254" i="5"/>
  <c r="Q254" i="5"/>
  <c r="P254" i="5"/>
  <c r="N494" i="5"/>
  <c r="T147" i="5" l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W147" i="5"/>
  <c r="W148" i="5" s="1"/>
  <c r="W149" i="5" s="1"/>
  <c r="W150" i="5" s="1"/>
  <c r="W151" i="5" s="1"/>
  <c r="W152" i="5" s="1"/>
  <c r="W153" i="5" s="1"/>
  <c r="W154" i="5" s="1"/>
  <c r="W155" i="5" s="1"/>
  <c r="W156" i="5" s="1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W186" i="5" s="1"/>
  <c r="W187" i="5" s="1"/>
  <c r="W188" i="5" s="1"/>
  <c r="W189" i="5" s="1"/>
  <c r="W190" i="5" s="1"/>
  <c r="W191" i="5" s="1"/>
  <c r="W192" i="5" s="1"/>
  <c r="W193" i="5" s="1"/>
  <c r="W194" i="5" s="1"/>
  <c r="W195" i="5" s="1"/>
  <c r="W196" i="5" s="1"/>
  <c r="W197" i="5" s="1"/>
  <c r="W198" i="5" s="1"/>
  <c r="W199" i="5" s="1"/>
  <c r="U147" i="5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V152" i="5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Z50" i="5"/>
  <c r="AA50" i="5" s="1"/>
  <c r="Z25" i="5"/>
  <c r="Z48" i="5"/>
  <c r="AA48" i="5" s="1"/>
  <c r="Z49" i="5"/>
  <c r="AA49" i="5" s="1"/>
  <c r="Z42" i="5"/>
  <c r="AA42" i="5" s="1"/>
  <c r="Z38" i="5"/>
  <c r="AA38" i="5" s="1"/>
  <c r="Z29" i="5"/>
  <c r="AA29" i="5" s="1"/>
  <c r="Z30" i="5"/>
  <c r="AA30" i="5" s="1"/>
  <c r="Z27" i="5"/>
  <c r="Z31" i="5"/>
  <c r="AA31" i="5" s="1"/>
  <c r="Z26" i="5"/>
  <c r="Z32" i="5"/>
  <c r="AA32" i="5" s="1"/>
  <c r="Z33" i="5"/>
  <c r="AA33" i="5" s="1"/>
  <c r="Z44" i="5"/>
  <c r="AA44" i="5" s="1"/>
  <c r="Z28" i="5"/>
  <c r="Z35" i="5"/>
  <c r="AA35" i="5" s="1"/>
  <c r="Z46" i="5"/>
  <c r="AA46" i="5" s="1"/>
  <c r="Z36" i="5"/>
  <c r="AA36" i="5" s="1"/>
  <c r="Z24" i="5"/>
  <c r="AA45" i="5"/>
  <c r="AA43" i="5"/>
  <c r="AA40" i="5"/>
  <c r="AA37" i="5"/>
  <c r="AA39" i="5"/>
  <c r="AA34" i="5"/>
  <c r="AA47" i="5"/>
  <c r="AA41" i="5"/>
  <c r="E41" i="5" s="1"/>
  <c r="R433" i="5"/>
  <c r="R434" i="5" s="1"/>
  <c r="R435" i="5" s="1"/>
  <c r="R436" i="5" s="1"/>
  <c r="R437" i="5" s="1"/>
  <c r="R438" i="5" s="1"/>
  <c r="R439" i="5" s="1"/>
  <c r="R440" i="5" s="1"/>
  <c r="R441" i="5" s="1"/>
  <c r="R442" i="5" s="1"/>
  <c r="R443" i="5" s="1"/>
  <c r="R444" i="5" s="1"/>
  <c r="R445" i="5" s="1"/>
  <c r="R446" i="5" s="1"/>
  <c r="R447" i="5" s="1"/>
  <c r="R448" i="5" s="1"/>
  <c r="R449" i="5" s="1"/>
  <c r="R450" i="5" s="1"/>
  <c r="R451" i="5" s="1"/>
  <c r="R452" i="5" s="1"/>
  <c r="R453" i="5" s="1"/>
  <c r="R454" i="5" s="1"/>
  <c r="R455" i="5" s="1"/>
  <c r="R456" i="5" s="1"/>
  <c r="R457" i="5" s="1"/>
  <c r="R458" i="5" s="1"/>
  <c r="R459" i="5" s="1"/>
  <c r="R460" i="5" s="1"/>
  <c r="R461" i="5" s="1"/>
  <c r="R462" i="5" s="1"/>
  <c r="R463" i="5" s="1"/>
  <c r="R464" i="5" s="1"/>
  <c r="R465" i="5" s="1"/>
  <c r="R466" i="5" s="1"/>
  <c r="R467" i="5" s="1"/>
  <c r="R468" i="5" s="1"/>
  <c r="R469" i="5" s="1"/>
  <c r="R470" i="5" s="1"/>
  <c r="R471" i="5" s="1"/>
  <c r="R472" i="5" s="1"/>
  <c r="R473" i="5" s="1"/>
  <c r="R474" i="5" s="1"/>
  <c r="R475" i="5" s="1"/>
  <c r="R476" i="5" s="1"/>
  <c r="R477" i="5" s="1"/>
  <c r="R478" i="5" s="1"/>
  <c r="R479" i="5" s="1"/>
  <c r="R480" i="5" s="1"/>
  <c r="Y65" i="5"/>
  <c r="Z65" i="5" s="1"/>
  <c r="AA65" i="5" s="1"/>
  <c r="Y53" i="5"/>
  <c r="Z53" i="5" s="1"/>
  <c r="AA53" i="5" s="1"/>
  <c r="Y56" i="5"/>
  <c r="Z56" i="5" s="1"/>
  <c r="AA56" i="5" s="1"/>
  <c r="Y57" i="5"/>
  <c r="Z57" i="5" s="1"/>
  <c r="AA57" i="5" s="1"/>
  <c r="Y59" i="5"/>
  <c r="Z59" i="5" s="1"/>
  <c r="AA59" i="5" s="1"/>
  <c r="Y71" i="5"/>
  <c r="Z71" i="5" s="1"/>
  <c r="AA71" i="5" s="1"/>
  <c r="Y58" i="5"/>
  <c r="Z58" i="5" s="1"/>
  <c r="AA58" i="5" s="1"/>
  <c r="Y52" i="5"/>
  <c r="Z52" i="5" s="1"/>
  <c r="AA52" i="5" s="1"/>
  <c r="Y60" i="5"/>
  <c r="Z60" i="5" s="1"/>
  <c r="AA60" i="5" s="1"/>
  <c r="Y55" i="5"/>
  <c r="Z55" i="5" s="1"/>
  <c r="AA55" i="5" s="1"/>
  <c r="Y68" i="5"/>
  <c r="Z68" i="5" s="1"/>
  <c r="AA68" i="5" s="1"/>
  <c r="Y62" i="5"/>
  <c r="Z62" i="5" s="1"/>
  <c r="AA62" i="5" s="1"/>
  <c r="Y70" i="5"/>
  <c r="Z70" i="5" s="1"/>
  <c r="AA70" i="5" s="1"/>
  <c r="Y66" i="5"/>
  <c r="Z66" i="5" s="1"/>
  <c r="AA66" i="5" s="1"/>
  <c r="Y51" i="5"/>
  <c r="Z51" i="5" s="1"/>
  <c r="AA51" i="5" s="1"/>
  <c r="Y63" i="5"/>
  <c r="Z63" i="5" s="1"/>
  <c r="AA63" i="5" s="1"/>
  <c r="Y54" i="5"/>
  <c r="Z54" i="5" s="1"/>
  <c r="AA54" i="5" s="1"/>
  <c r="Y67" i="5"/>
  <c r="Z67" i="5" s="1"/>
  <c r="AA67" i="5" s="1"/>
  <c r="Y61" i="5"/>
  <c r="Z61" i="5" s="1"/>
  <c r="AA61" i="5" s="1"/>
  <c r="Y72" i="5"/>
  <c r="Z72" i="5" s="1"/>
  <c r="AA72" i="5" s="1"/>
  <c r="Y69" i="5"/>
  <c r="Z69" i="5" s="1"/>
  <c r="AA69" i="5" s="1"/>
  <c r="Y64" i="5"/>
  <c r="Z64" i="5" s="1"/>
  <c r="AA64" i="5" s="1"/>
  <c r="E66" i="5" l="1"/>
  <c r="E31" i="5"/>
  <c r="E30" i="5"/>
  <c r="E58" i="5"/>
  <c r="E60" i="5"/>
  <c r="E54" i="5"/>
  <c r="E67" i="5"/>
  <c r="E61" i="5"/>
  <c r="E72" i="5"/>
  <c r="E55" i="5"/>
  <c r="E49" i="5"/>
  <c r="E62" i="5"/>
  <c r="E63" i="5"/>
  <c r="E69" i="5"/>
  <c r="E48" i="5"/>
  <c r="E35" i="5"/>
  <c r="T231" i="5"/>
  <c r="R481" i="5"/>
  <c r="R482" i="5" s="1"/>
  <c r="R483" i="5" s="1"/>
  <c r="R484" i="5" s="1"/>
  <c r="R485" i="5" s="1"/>
  <c r="R486" i="5" s="1"/>
  <c r="R487" i="5" s="1"/>
  <c r="R488" i="5" s="1"/>
  <c r="R489" i="5" s="1"/>
  <c r="R490" i="5" s="1"/>
  <c r="R491" i="5" s="1"/>
  <c r="R492" i="5" s="1"/>
  <c r="R493" i="5" s="1"/>
  <c r="R494" i="5" s="1"/>
  <c r="R495" i="5" s="1"/>
  <c r="R496" i="5" s="1"/>
  <c r="R497" i="5" s="1"/>
  <c r="R498" i="5" s="1"/>
  <c r="R499" i="5" s="1"/>
  <c r="R500" i="5" s="1"/>
  <c r="R501" i="5" s="1"/>
  <c r="R502" i="5" s="1"/>
  <c r="R503" i="5" s="1"/>
  <c r="R504" i="5" s="1"/>
  <c r="Y79" i="5" s="1"/>
  <c r="Y74" i="5"/>
  <c r="Y76" i="5"/>
  <c r="Y75" i="5"/>
  <c r="Y73" i="5"/>
  <c r="Y77" i="5"/>
  <c r="C66" i="7"/>
  <c r="D66" i="7"/>
  <c r="D66" i="5"/>
  <c r="C66" i="6"/>
  <c r="D66" i="6"/>
  <c r="C66" i="5"/>
  <c r="D41" i="7"/>
  <c r="C41" i="6"/>
  <c r="C41" i="7"/>
  <c r="D41" i="5"/>
  <c r="C41" i="5"/>
  <c r="D41" i="6"/>
  <c r="V239" i="5"/>
  <c r="E40" i="5"/>
  <c r="E65" i="5"/>
  <c r="E56" i="5"/>
  <c r="E53" i="5"/>
  <c r="E57" i="5"/>
  <c r="E71" i="5"/>
  <c r="E64" i="5"/>
  <c r="E59" i="5"/>
  <c r="E52" i="5"/>
  <c r="E70" i="5"/>
  <c r="E68" i="5"/>
  <c r="E51" i="5"/>
  <c r="E50" i="5"/>
  <c r="AB25" i="5"/>
  <c r="AA25" i="5"/>
  <c r="AD25" i="5"/>
  <c r="E43" i="5"/>
  <c r="E42" i="5"/>
  <c r="E39" i="5"/>
  <c r="E38" i="5"/>
  <c r="AB27" i="5"/>
  <c r="AD27" i="5"/>
  <c r="AA27" i="5"/>
  <c r="AD26" i="5"/>
  <c r="AB26" i="5"/>
  <c r="AA26" i="5"/>
  <c r="E34" i="5"/>
  <c r="E33" i="5"/>
  <c r="E45" i="5"/>
  <c r="E44" i="5"/>
  <c r="AD28" i="5"/>
  <c r="AA28" i="5"/>
  <c r="E47" i="5"/>
  <c r="E46" i="5"/>
  <c r="E37" i="5"/>
  <c r="E36" i="5"/>
  <c r="AD24" i="5"/>
  <c r="K24" i="5" s="1"/>
  <c r="AB24" i="5"/>
  <c r="G24" i="5" s="1"/>
  <c r="AA24" i="5"/>
  <c r="E24" i="5" s="1"/>
  <c r="AC24" i="5"/>
  <c r="I24" i="5" s="1"/>
  <c r="AE24" i="5"/>
  <c r="M24" i="5" s="1"/>
  <c r="W200" i="5"/>
  <c r="U200" i="5"/>
  <c r="E32" i="5"/>
  <c r="E26" i="5" l="1"/>
  <c r="T232" i="5"/>
  <c r="T233" i="5" s="1"/>
  <c r="T234" i="5" s="1"/>
  <c r="T235" i="5" s="1"/>
  <c r="T236" i="5" s="1"/>
  <c r="T237" i="5" s="1"/>
  <c r="T238" i="5" s="1"/>
  <c r="AB28" i="5"/>
  <c r="G28" i="5" s="1"/>
  <c r="K26" i="5"/>
  <c r="J26" i="5" s="1"/>
  <c r="C31" i="6"/>
  <c r="C31" i="7"/>
  <c r="D31" i="5"/>
  <c r="D31" i="6"/>
  <c r="D31" i="7"/>
  <c r="C31" i="5"/>
  <c r="D58" i="7"/>
  <c r="C58" i="5"/>
  <c r="C35" i="5"/>
  <c r="D35" i="6"/>
  <c r="C35" i="7"/>
  <c r="U201" i="5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AC25" i="5"/>
  <c r="I25" i="5" s="1"/>
  <c r="K28" i="5"/>
  <c r="D30" i="5"/>
  <c r="C30" i="6"/>
  <c r="C30" i="5"/>
  <c r="D30" i="7"/>
  <c r="D30" i="6"/>
  <c r="C30" i="7"/>
  <c r="C58" i="7"/>
  <c r="D58" i="6"/>
  <c r="D58" i="5"/>
  <c r="C58" i="6"/>
  <c r="D60" i="6"/>
  <c r="C60" i="5"/>
  <c r="C60" i="7"/>
  <c r="D60" i="5"/>
  <c r="C60" i="6"/>
  <c r="D60" i="7"/>
  <c r="D54" i="7"/>
  <c r="C54" i="7"/>
  <c r="D54" i="6"/>
  <c r="C54" i="5"/>
  <c r="C54" i="6"/>
  <c r="D54" i="5"/>
  <c r="D67" i="7"/>
  <c r="D67" i="5"/>
  <c r="C67" i="7"/>
  <c r="C67" i="6"/>
  <c r="C67" i="5"/>
  <c r="D67" i="6"/>
  <c r="D61" i="7"/>
  <c r="C61" i="5"/>
  <c r="D61" i="6"/>
  <c r="D61" i="5"/>
  <c r="C61" i="6"/>
  <c r="C61" i="7"/>
  <c r="G61" i="7" s="1"/>
  <c r="C72" i="6"/>
  <c r="C72" i="5"/>
  <c r="D72" i="5"/>
  <c r="C72" i="7"/>
  <c r="D72" i="6"/>
  <c r="D72" i="7"/>
  <c r="C49" i="7"/>
  <c r="C49" i="5"/>
  <c r="C49" i="6"/>
  <c r="D49" i="6"/>
  <c r="D49" i="7"/>
  <c r="D49" i="5"/>
  <c r="C48" i="7"/>
  <c r="C48" i="6"/>
  <c r="D48" i="7"/>
  <c r="P48" i="7" s="1"/>
  <c r="D48" i="5"/>
  <c r="C48" i="5"/>
  <c r="D48" i="6"/>
  <c r="D35" i="7"/>
  <c r="D35" i="5"/>
  <c r="C35" i="6"/>
  <c r="L24" i="5"/>
  <c r="H24" i="5"/>
  <c r="C55" i="5"/>
  <c r="C55" i="6"/>
  <c r="D55" i="7"/>
  <c r="C55" i="7"/>
  <c r="D55" i="6"/>
  <c r="D55" i="5"/>
  <c r="D69" i="6"/>
  <c r="C69" i="7"/>
  <c r="C69" i="6"/>
  <c r="D69" i="5"/>
  <c r="C69" i="5"/>
  <c r="D69" i="7"/>
  <c r="T239" i="5"/>
  <c r="T240" i="5" s="1"/>
  <c r="T241" i="5" s="1"/>
  <c r="T242" i="5" s="1"/>
  <c r="T243" i="5" s="1"/>
  <c r="T244" i="5" s="1"/>
  <c r="T245" i="5" s="1"/>
  <c r="T246" i="5" s="1"/>
  <c r="AB29" i="5"/>
  <c r="G29" i="5" s="1"/>
  <c r="K66" i="7"/>
  <c r="G66" i="7"/>
  <c r="F66" i="7"/>
  <c r="O66" i="7"/>
  <c r="S66" i="7"/>
  <c r="H66" i="7"/>
  <c r="P66" i="7"/>
  <c r="T66" i="7"/>
  <c r="L66" i="7"/>
  <c r="E66" i="7"/>
  <c r="E66" i="6"/>
  <c r="G66" i="6"/>
  <c r="O66" i="6"/>
  <c r="S66" i="6"/>
  <c r="K66" i="6"/>
  <c r="F66" i="6"/>
  <c r="L66" i="6"/>
  <c r="H66" i="6"/>
  <c r="T66" i="6"/>
  <c r="P66" i="6"/>
  <c r="R505" i="5"/>
  <c r="R506" i="5" s="1"/>
  <c r="R507" i="5" s="1"/>
  <c r="R508" i="5" s="1"/>
  <c r="R509" i="5" s="1"/>
  <c r="R510" i="5" s="1"/>
  <c r="R511" i="5" s="1"/>
  <c r="R512" i="5" s="1"/>
  <c r="R513" i="5" s="1"/>
  <c r="R514" i="5" s="1"/>
  <c r="R515" i="5" s="1"/>
  <c r="R516" i="5" s="1"/>
  <c r="Y78" i="5"/>
  <c r="Z79" i="5"/>
  <c r="AA79" i="5" s="1"/>
  <c r="Z74" i="5"/>
  <c r="AA74" i="5" s="1"/>
  <c r="Z76" i="5"/>
  <c r="AA76" i="5" s="1"/>
  <c r="Z75" i="5"/>
  <c r="AA75" i="5" s="1"/>
  <c r="Z73" i="5"/>
  <c r="AA73" i="5" s="1"/>
  <c r="E73" i="5" s="1"/>
  <c r="Z77" i="5"/>
  <c r="AA77" i="5" s="1"/>
  <c r="C62" i="5"/>
  <c r="C62" i="7"/>
  <c r="D62" i="5"/>
  <c r="D62" i="6"/>
  <c r="H62" i="6" s="1"/>
  <c r="D62" i="7"/>
  <c r="C62" i="6"/>
  <c r="D63" i="5"/>
  <c r="C63" i="7"/>
  <c r="D63" i="6"/>
  <c r="C63" i="6"/>
  <c r="C63" i="5"/>
  <c r="D63" i="7"/>
  <c r="W201" i="5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AE25" i="5"/>
  <c r="M25" i="5" s="1"/>
  <c r="H41" i="7"/>
  <c r="T41" i="7"/>
  <c r="P41" i="7"/>
  <c r="L41" i="7"/>
  <c r="K41" i="6"/>
  <c r="G41" i="6"/>
  <c r="S41" i="6"/>
  <c r="O41" i="6"/>
  <c r="F41" i="6"/>
  <c r="K41" i="7"/>
  <c r="N41" i="7" s="1"/>
  <c r="F41" i="7"/>
  <c r="O41" i="7"/>
  <c r="G41" i="7"/>
  <c r="S41" i="7"/>
  <c r="E41" i="6"/>
  <c r="E41" i="7"/>
  <c r="H41" i="6"/>
  <c r="L41" i="6"/>
  <c r="P41" i="6"/>
  <c r="T41" i="6"/>
  <c r="D40" i="7"/>
  <c r="D40" i="5"/>
  <c r="C40" i="6"/>
  <c r="C40" i="5"/>
  <c r="D40" i="6"/>
  <c r="C40" i="7"/>
  <c r="D65" i="7"/>
  <c r="C65" i="5"/>
  <c r="C65" i="6"/>
  <c r="D65" i="6"/>
  <c r="D65" i="5"/>
  <c r="C65" i="7"/>
  <c r="D56" i="5"/>
  <c r="C56" i="5"/>
  <c r="D56" i="7"/>
  <c r="D56" i="6"/>
  <c r="C56" i="6"/>
  <c r="C56" i="7"/>
  <c r="C53" i="5"/>
  <c r="C53" i="7"/>
  <c r="D53" i="7"/>
  <c r="D53" i="6"/>
  <c r="C53" i="6"/>
  <c r="D53" i="5"/>
  <c r="C57" i="7"/>
  <c r="C57" i="5"/>
  <c r="D57" i="6"/>
  <c r="D57" i="7"/>
  <c r="C57" i="6"/>
  <c r="D57" i="5"/>
  <c r="C71" i="6"/>
  <c r="C71" i="5"/>
  <c r="C71" i="7"/>
  <c r="D71" i="6"/>
  <c r="D71" i="7"/>
  <c r="D71" i="5"/>
  <c r="D64" i="6"/>
  <c r="C64" i="6"/>
  <c r="D64" i="7"/>
  <c r="C64" i="7"/>
  <c r="D64" i="5"/>
  <c r="C64" i="5"/>
  <c r="C59" i="7"/>
  <c r="D59" i="6"/>
  <c r="C59" i="6"/>
  <c r="D59" i="7"/>
  <c r="D59" i="5"/>
  <c r="C59" i="5"/>
  <c r="D52" i="6"/>
  <c r="C52" i="5"/>
  <c r="D52" i="7"/>
  <c r="C52" i="7"/>
  <c r="C52" i="6"/>
  <c r="D52" i="5"/>
  <c r="C70" i="7"/>
  <c r="C70" i="6"/>
  <c r="D70" i="6"/>
  <c r="C70" i="5"/>
  <c r="D70" i="7"/>
  <c r="D70" i="5"/>
  <c r="D68" i="5"/>
  <c r="C68" i="6"/>
  <c r="C68" i="5"/>
  <c r="D68" i="7"/>
  <c r="D68" i="6"/>
  <c r="C68" i="7"/>
  <c r="C51" i="6"/>
  <c r="D51" i="6"/>
  <c r="C51" i="7"/>
  <c r="C51" i="5"/>
  <c r="D51" i="5"/>
  <c r="D51" i="7"/>
  <c r="C50" i="6"/>
  <c r="D50" i="6"/>
  <c r="C50" i="5"/>
  <c r="C50" i="7"/>
  <c r="D50" i="5"/>
  <c r="D50" i="7"/>
  <c r="C43" i="6"/>
  <c r="D43" i="6"/>
  <c r="C43" i="5"/>
  <c r="C43" i="7"/>
  <c r="D43" i="5"/>
  <c r="D43" i="7"/>
  <c r="D42" i="6"/>
  <c r="C42" i="7"/>
  <c r="D42" i="7"/>
  <c r="C42" i="6"/>
  <c r="D42" i="5"/>
  <c r="C42" i="5"/>
  <c r="D39" i="6"/>
  <c r="C39" i="7"/>
  <c r="D39" i="7"/>
  <c r="C39" i="5"/>
  <c r="C39" i="6"/>
  <c r="D39" i="5"/>
  <c r="C38" i="5"/>
  <c r="D38" i="7"/>
  <c r="D38" i="6"/>
  <c r="D38" i="5"/>
  <c r="C38" i="6"/>
  <c r="C38" i="7"/>
  <c r="G27" i="5"/>
  <c r="G26" i="5"/>
  <c r="C34" i="7"/>
  <c r="D34" i="5"/>
  <c r="D34" i="7"/>
  <c r="C34" i="6"/>
  <c r="D34" i="6"/>
  <c r="C34" i="5"/>
  <c r="C33" i="7"/>
  <c r="D33" i="5"/>
  <c r="D33" i="6"/>
  <c r="C33" i="5"/>
  <c r="C33" i="6"/>
  <c r="D33" i="7"/>
  <c r="C45" i="5"/>
  <c r="D45" i="6"/>
  <c r="D45" i="5"/>
  <c r="C45" i="7"/>
  <c r="D45" i="7"/>
  <c r="C45" i="6"/>
  <c r="D44" i="5"/>
  <c r="C44" i="5"/>
  <c r="C44" i="7"/>
  <c r="C44" i="6"/>
  <c r="D44" i="6"/>
  <c r="D44" i="7"/>
  <c r="E29" i="5"/>
  <c r="E28" i="5"/>
  <c r="C47" i="5"/>
  <c r="D47" i="6"/>
  <c r="C47" i="6"/>
  <c r="D47" i="7"/>
  <c r="D47" i="5"/>
  <c r="C47" i="7"/>
  <c r="C46" i="7"/>
  <c r="D46" i="5"/>
  <c r="D46" i="7"/>
  <c r="C46" i="6"/>
  <c r="D46" i="6"/>
  <c r="C46" i="5"/>
  <c r="D37" i="7"/>
  <c r="C37" i="6"/>
  <c r="D37" i="5"/>
  <c r="D37" i="6"/>
  <c r="C37" i="7"/>
  <c r="C37" i="5"/>
  <c r="D36" i="7"/>
  <c r="C36" i="5"/>
  <c r="D36" i="5"/>
  <c r="C36" i="6"/>
  <c r="D36" i="6"/>
  <c r="C36" i="7"/>
  <c r="D24" i="6"/>
  <c r="C24" i="7"/>
  <c r="D24" i="7"/>
  <c r="C24" i="5"/>
  <c r="D24" i="5"/>
  <c r="C24" i="6"/>
  <c r="C32" i="6"/>
  <c r="D32" i="6"/>
  <c r="D32" i="5"/>
  <c r="C32" i="5"/>
  <c r="C32" i="7"/>
  <c r="D32" i="7"/>
  <c r="G25" i="5"/>
  <c r="E25" i="5"/>
  <c r="K25" i="5"/>
  <c r="J25" i="5" s="1"/>
  <c r="K27" i="5"/>
  <c r="E27" i="5"/>
  <c r="J24" i="5"/>
  <c r="F24" i="5"/>
  <c r="V240" i="5"/>
  <c r="V241" i="5" s="1"/>
  <c r="V242" i="5" s="1"/>
  <c r="V243" i="5" s="1"/>
  <c r="V244" i="5" s="1"/>
  <c r="V245" i="5" s="1"/>
  <c r="AD29" i="5"/>
  <c r="K29" i="5" s="1"/>
  <c r="F26" i="5" l="1"/>
  <c r="C26" i="5"/>
  <c r="C26" i="6"/>
  <c r="C26" i="7"/>
  <c r="D26" i="5"/>
  <c r="D26" i="7"/>
  <c r="D26" i="6"/>
  <c r="R41" i="7"/>
  <c r="Q41" i="7" s="1"/>
  <c r="S31" i="6"/>
  <c r="G31" i="6"/>
  <c r="K31" i="6"/>
  <c r="O31" i="6"/>
  <c r="F31" i="6"/>
  <c r="S31" i="7"/>
  <c r="G31" i="7"/>
  <c r="K31" i="7"/>
  <c r="F31" i="7"/>
  <c r="O31" i="7"/>
  <c r="E31" i="7"/>
  <c r="E31" i="6"/>
  <c r="T31" i="6"/>
  <c r="L31" i="6"/>
  <c r="H31" i="6"/>
  <c r="P31" i="6"/>
  <c r="T31" i="7"/>
  <c r="L31" i="7"/>
  <c r="P31" i="7"/>
  <c r="H31" i="7"/>
  <c r="P58" i="7"/>
  <c r="L58" i="7"/>
  <c r="H58" i="7"/>
  <c r="T58" i="7"/>
  <c r="P35" i="6"/>
  <c r="T35" i="6"/>
  <c r="L35" i="6"/>
  <c r="H35" i="6"/>
  <c r="O35" i="7"/>
  <c r="G35" i="7"/>
  <c r="K35" i="7"/>
  <c r="S35" i="7"/>
  <c r="P61" i="6"/>
  <c r="H61" i="6"/>
  <c r="T61" i="6"/>
  <c r="L61" i="6"/>
  <c r="E62" i="6"/>
  <c r="E62" i="7"/>
  <c r="H62" i="7"/>
  <c r="L62" i="7"/>
  <c r="G62" i="6"/>
  <c r="J62" i="6" s="1"/>
  <c r="O62" i="6"/>
  <c r="K62" i="6"/>
  <c r="F62" i="6"/>
  <c r="S62" i="6"/>
  <c r="E63" i="6"/>
  <c r="E63" i="7"/>
  <c r="O63" i="7"/>
  <c r="F63" i="7"/>
  <c r="G63" i="7"/>
  <c r="K63" i="7"/>
  <c r="S63" i="7"/>
  <c r="T63" i="6"/>
  <c r="H63" i="6"/>
  <c r="L63" i="6"/>
  <c r="P63" i="6"/>
  <c r="S63" i="6"/>
  <c r="V63" i="6" s="1"/>
  <c r="O63" i="6"/>
  <c r="R63" i="6" s="1"/>
  <c r="F63" i="6"/>
  <c r="K63" i="6"/>
  <c r="N63" i="6" s="1"/>
  <c r="M63" i="6" s="1"/>
  <c r="G63" i="6"/>
  <c r="H63" i="7"/>
  <c r="T63" i="7"/>
  <c r="P63" i="7"/>
  <c r="L63" i="7"/>
  <c r="J29" i="5"/>
  <c r="F58" i="7"/>
  <c r="K58" i="7"/>
  <c r="P58" i="6"/>
  <c r="T58" i="6"/>
  <c r="H58" i="6"/>
  <c r="L58" i="6"/>
  <c r="E58" i="7"/>
  <c r="E58" i="6"/>
  <c r="O58" i="6"/>
  <c r="R58" i="6" s="1"/>
  <c r="F58" i="6"/>
  <c r="S58" i="6"/>
  <c r="V58" i="6" s="1"/>
  <c r="U58" i="6" s="1"/>
  <c r="K58" i="6"/>
  <c r="N58" i="6" s="1"/>
  <c r="M58" i="6" s="1"/>
  <c r="G58" i="6"/>
  <c r="J58" i="6" s="1"/>
  <c r="I58" i="6" s="1"/>
  <c r="H67" i="7"/>
  <c r="L67" i="7"/>
  <c r="T67" i="7"/>
  <c r="P67" i="7"/>
  <c r="F67" i="7"/>
  <c r="S67" i="7"/>
  <c r="V67" i="7" s="1"/>
  <c r="U67" i="7" s="1"/>
  <c r="K67" i="7"/>
  <c r="N67" i="7" s="1"/>
  <c r="M67" i="7" s="1"/>
  <c r="O67" i="7"/>
  <c r="R67" i="7" s="1"/>
  <c r="Q67" i="7" s="1"/>
  <c r="G67" i="7"/>
  <c r="J67" i="7" s="1"/>
  <c r="I67" i="7" s="1"/>
  <c r="G67" i="6"/>
  <c r="F67" i="6"/>
  <c r="S67" i="6"/>
  <c r="K67" i="6"/>
  <c r="O67" i="6"/>
  <c r="P67" i="6"/>
  <c r="L67" i="6"/>
  <c r="H67" i="6"/>
  <c r="T67" i="6"/>
  <c r="T61" i="7"/>
  <c r="L61" i="7"/>
  <c r="H61" i="7"/>
  <c r="J61" i="7" s="1"/>
  <c r="P61" i="7"/>
  <c r="G61" i="6"/>
  <c r="F61" i="6"/>
  <c r="O61" i="6"/>
  <c r="K61" i="6"/>
  <c r="S61" i="6"/>
  <c r="K61" i="7"/>
  <c r="O61" i="7"/>
  <c r="F61" i="7"/>
  <c r="S61" i="7"/>
  <c r="U213" i="5"/>
  <c r="U214" i="5" s="1"/>
  <c r="U215" i="5" s="1"/>
  <c r="U216" i="5" s="1"/>
  <c r="U217" i="5" s="1"/>
  <c r="U218" i="5" s="1"/>
  <c r="U219" i="5" s="1"/>
  <c r="U220" i="5" s="1"/>
  <c r="U221" i="5" s="1"/>
  <c r="U222" i="5" s="1"/>
  <c r="AC26" i="5"/>
  <c r="I26" i="5" s="1"/>
  <c r="H26" i="5" s="1"/>
  <c r="N66" i="7"/>
  <c r="M66" i="7" s="1"/>
  <c r="J66" i="7"/>
  <c r="I66" i="7" s="1"/>
  <c r="R66" i="7"/>
  <c r="Q66" i="7" s="1"/>
  <c r="V66" i="7"/>
  <c r="U66" i="7" s="1"/>
  <c r="J66" i="6"/>
  <c r="I66" i="6" s="1"/>
  <c r="V66" i="6"/>
  <c r="U66" i="6" s="1"/>
  <c r="J41" i="7"/>
  <c r="I41" i="7" s="1"/>
  <c r="V41" i="7"/>
  <c r="U41" i="7" s="1"/>
  <c r="N66" i="6"/>
  <c r="M66" i="6" s="1"/>
  <c r="R66" i="6"/>
  <c r="Q66" i="6" s="1"/>
  <c r="E30" i="6"/>
  <c r="E30" i="7"/>
  <c r="K30" i="6"/>
  <c r="F30" i="6"/>
  <c r="G30" i="6"/>
  <c r="S30" i="6"/>
  <c r="O30" i="6"/>
  <c r="T30" i="7"/>
  <c r="H30" i="7"/>
  <c r="L30" i="7"/>
  <c r="P30" i="7"/>
  <c r="H30" i="6"/>
  <c r="J30" i="6" s="1"/>
  <c r="I30" i="6" s="1"/>
  <c r="L30" i="6"/>
  <c r="T30" i="6"/>
  <c r="V30" i="6" s="1"/>
  <c r="U30" i="6" s="1"/>
  <c r="P30" i="6"/>
  <c r="O30" i="7"/>
  <c r="R30" i="7" s="1"/>
  <c r="F30" i="7"/>
  <c r="G30" i="7"/>
  <c r="J30" i="7" s="1"/>
  <c r="I30" i="7" s="1"/>
  <c r="K30" i="7"/>
  <c r="N30" i="7" s="1"/>
  <c r="M30" i="7" s="1"/>
  <c r="S30" i="7"/>
  <c r="V30" i="7" s="1"/>
  <c r="U30" i="7" s="1"/>
  <c r="O58" i="7"/>
  <c r="S58" i="7"/>
  <c r="G58" i="7"/>
  <c r="L60" i="6"/>
  <c r="P60" i="6"/>
  <c r="T60" i="6"/>
  <c r="H60" i="6"/>
  <c r="F60" i="7"/>
  <c r="G60" i="7"/>
  <c r="O60" i="7"/>
  <c r="S60" i="7"/>
  <c r="K60" i="7"/>
  <c r="E60" i="7"/>
  <c r="E60" i="6"/>
  <c r="O60" i="6"/>
  <c r="S60" i="6"/>
  <c r="V60" i="6" s="1"/>
  <c r="F60" i="6"/>
  <c r="K60" i="6"/>
  <c r="G60" i="6"/>
  <c r="J60" i="6" s="1"/>
  <c r="I60" i="6" s="1"/>
  <c r="P60" i="7"/>
  <c r="T60" i="7"/>
  <c r="H60" i="7"/>
  <c r="L60" i="7"/>
  <c r="T54" i="7"/>
  <c r="L54" i="7"/>
  <c r="H54" i="7"/>
  <c r="P54" i="7"/>
  <c r="O54" i="7"/>
  <c r="R54" i="7" s="1"/>
  <c r="S54" i="7"/>
  <c r="V54" i="7" s="1"/>
  <c r="G54" i="7"/>
  <c r="J54" i="7" s="1"/>
  <c r="F54" i="7"/>
  <c r="K54" i="7"/>
  <c r="P54" i="6"/>
  <c r="H54" i="6"/>
  <c r="T54" i="6"/>
  <c r="L54" i="6"/>
  <c r="O54" i="6"/>
  <c r="R54" i="6" s="1"/>
  <c r="S54" i="6"/>
  <c r="V54" i="6" s="1"/>
  <c r="K54" i="6"/>
  <c r="N54" i="6" s="1"/>
  <c r="F54" i="6"/>
  <c r="G54" i="6"/>
  <c r="J54" i="6" s="1"/>
  <c r="I54" i="6" s="1"/>
  <c r="E54" i="7"/>
  <c r="E54" i="6"/>
  <c r="E67" i="6"/>
  <c r="E67" i="7"/>
  <c r="E61" i="7"/>
  <c r="E61" i="6"/>
  <c r="O72" i="6"/>
  <c r="K72" i="6"/>
  <c r="F72" i="6"/>
  <c r="G72" i="6"/>
  <c r="S72" i="6"/>
  <c r="E72" i="7"/>
  <c r="E72" i="6"/>
  <c r="G72" i="7"/>
  <c r="K72" i="7"/>
  <c r="S72" i="7"/>
  <c r="O72" i="7"/>
  <c r="F72" i="7"/>
  <c r="H72" i="6"/>
  <c r="L72" i="6"/>
  <c r="P72" i="6"/>
  <c r="T72" i="6"/>
  <c r="P72" i="7"/>
  <c r="L72" i="7"/>
  <c r="H72" i="7"/>
  <c r="T72" i="7"/>
  <c r="G49" i="7"/>
  <c r="K49" i="7"/>
  <c r="S49" i="7"/>
  <c r="F49" i="7"/>
  <c r="O49" i="7"/>
  <c r="G49" i="6"/>
  <c r="O49" i="6"/>
  <c r="K49" i="6"/>
  <c r="F49" i="6"/>
  <c r="S49" i="6"/>
  <c r="T49" i="6"/>
  <c r="H49" i="6"/>
  <c r="L49" i="6"/>
  <c r="P49" i="6"/>
  <c r="P49" i="7"/>
  <c r="H49" i="7"/>
  <c r="L49" i="7"/>
  <c r="T49" i="7"/>
  <c r="E49" i="7"/>
  <c r="E49" i="6"/>
  <c r="F48" i="7"/>
  <c r="K48" i="7"/>
  <c r="O48" i="7"/>
  <c r="R48" i="7" s="1"/>
  <c r="Q48" i="7" s="1"/>
  <c r="S48" i="7"/>
  <c r="G48" i="7"/>
  <c r="F48" i="6"/>
  <c r="S48" i="6"/>
  <c r="O48" i="6"/>
  <c r="K48" i="6"/>
  <c r="G48" i="6"/>
  <c r="L48" i="7"/>
  <c r="H48" i="7"/>
  <c r="T48" i="7"/>
  <c r="E48" i="6"/>
  <c r="E48" i="7"/>
  <c r="P48" i="6"/>
  <c r="T48" i="6"/>
  <c r="L48" i="6"/>
  <c r="H48" i="6"/>
  <c r="P35" i="7"/>
  <c r="T35" i="7"/>
  <c r="L35" i="7"/>
  <c r="H35" i="7"/>
  <c r="F35" i="7"/>
  <c r="E35" i="6"/>
  <c r="E35" i="7"/>
  <c r="F35" i="6"/>
  <c r="O35" i="6"/>
  <c r="S35" i="6"/>
  <c r="G35" i="6"/>
  <c r="K35" i="6"/>
  <c r="E76" i="5"/>
  <c r="E75" i="5"/>
  <c r="S55" i="6"/>
  <c r="K55" i="6"/>
  <c r="O55" i="6"/>
  <c r="F55" i="6"/>
  <c r="G55" i="6"/>
  <c r="H55" i="7"/>
  <c r="P55" i="7"/>
  <c r="T55" i="7"/>
  <c r="L55" i="7"/>
  <c r="F55" i="7"/>
  <c r="S55" i="7"/>
  <c r="V55" i="7" s="1"/>
  <c r="U55" i="7" s="1"/>
  <c r="G55" i="7"/>
  <c r="J55" i="7" s="1"/>
  <c r="I55" i="7" s="1"/>
  <c r="K55" i="7"/>
  <c r="N55" i="7" s="1"/>
  <c r="M55" i="7" s="1"/>
  <c r="O55" i="7"/>
  <c r="R55" i="7" s="1"/>
  <c r="Q55" i="7" s="1"/>
  <c r="P55" i="6"/>
  <c r="R55" i="6" s="1"/>
  <c r="Q55" i="6" s="1"/>
  <c r="T55" i="6"/>
  <c r="L55" i="6"/>
  <c r="H55" i="6"/>
  <c r="E55" i="7"/>
  <c r="E55" i="6"/>
  <c r="T69" i="6"/>
  <c r="P69" i="6"/>
  <c r="H69" i="6"/>
  <c r="L69" i="6"/>
  <c r="F69" i="7"/>
  <c r="K69" i="7"/>
  <c r="S69" i="7"/>
  <c r="O69" i="7"/>
  <c r="G69" i="7"/>
  <c r="F69" i="6"/>
  <c r="G69" i="6"/>
  <c r="S69" i="6"/>
  <c r="K69" i="6"/>
  <c r="O69" i="6"/>
  <c r="E69" i="7"/>
  <c r="E69" i="6"/>
  <c r="T69" i="7"/>
  <c r="P69" i="7"/>
  <c r="L69" i="7"/>
  <c r="H69" i="7"/>
  <c r="Z78" i="5"/>
  <c r="AA78" i="5" s="1"/>
  <c r="F62" i="7"/>
  <c r="O62" i="7"/>
  <c r="K62" i="7"/>
  <c r="G62" i="7"/>
  <c r="S62" i="7"/>
  <c r="T62" i="6"/>
  <c r="P62" i="6"/>
  <c r="L62" i="6"/>
  <c r="T62" i="7"/>
  <c r="P62" i="7"/>
  <c r="R517" i="5"/>
  <c r="R518" i="5" s="1"/>
  <c r="R519" i="5" s="1"/>
  <c r="R520" i="5" s="1"/>
  <c r="R521" i="5" s="1"/>
  <c r="R522" i="5" s="1"/>
  <c r="E77" i="5"/>
  <c r="W212" i="5"/>
  <c r="M41" i="7"/>
  <c r="C73" i="5"/>
  <c r="D73" i="5"/>
  <c r="D73" i="7"/>
  <c r="D73" i="6"/>
  <c r="C73" i="7"/>
  <c r="C73" i="6"/>
  <c r="E74" i="5"/>
  <c r="L40" i="7"/>
  <c r="T40" i="7"/>
  <c r="P40" i="7"/>
  <c r="H40" i="7"/>
  <c r="E40" i="6"/>
  <c r="E40" i="7"/>
  <c r="S40" i="6"/>
  <c r="F40" i="6"/>
  <c r="G40" i="6"/>
  <c r="O40" i="6"/>
  <c r="K40" i="6"/>
  <c r="P40" i="6"/>
  <c r="H40" i="6"/>
  <c r="L40" i="6"/>
  <c r="T40" i="6"/>
  <c r="G40" i="7"/>
  <c r="J40" i="7" s="1"/>
  <c r="S40" i="7"/>
  <c r="V40" i="7" s="1"/>
  <c r="F40" i="7"/>
  <c r="O40" i="7"/>
  <c r="R40" i="7" s="1"/>
  <c r="Q40" i="7" s="1"/>
  <c r="K40" i="7"/>
  <c r="L65" i="7"/>
  <c r="P65" i="7"/>
  <c r="H65" i="7"/>
  <c r="T65" i="7"/>
  <c r="K65" i="6"/>
  <c r="F65" i="6"/>
  <c r="O65" i="6"/>
  <c r="S65" i="6"/>
  <c r="G65" i="6"/>
  <c r="P65" i="6"/>
  <c r="H65" i="6"/>
  <c r="T65" i="6"/>
  <c r="L65" i="6"/>
  <c r="E65" i="6"/>
  <c r="E65" i="7"/>
  <c r="O65" i="7"/>
  <c r="F65" i="7"/>
  <c r="S65" i="7"/>
  <c r="G65" i="7"/>
  <c r="K65" i="7"/>
  <c r="E56" i="6"/>
  <c r="E56" i="7"/>
  <c r="T56" i="7"/>
  <c r="P56" i="7"/>
  <c r="L56" i="7"/>
  <c r="H56" i="7"/>
  <c r="H56" i="6"/>
  <c r="L56" i="6"/>
  <c r="P56" i="6"/>
  <c r="T56" i="6"/>
  <c r="S56" i="6"/>
  <c r="V56" i="6" s="1"/>
  <c r="O56" i="6"/>
  <c r="K56" i="6"/>
  <c r="G56" i="6"/>
  <c r="F56" i="6"/>
  <c r="G56" i="7"/>
  <c r="F56" i="7"/>
  <c r="K56" i="7"/>
  <c r="O56" i="7"/>
  <c r="S56" i="7"/>
  <c r="O53" i="7"/>
  <c r="F53" i="7"/>
  <c r="K53" i="7"/>
  <c r="S53" i="7"/>
  <c r="G53" i="7"/>
  <c r="T53" i="7"/>
  <c r="L53" i="7"/>
  <c r="H53" i="7"/>
  <c r="P53" i="7"/>
  <c r="H53" i="6"/>
  <c r="P53" i="6"/>
  <c r="L53" i="6"/>
  <c r="T53" i="6"/>
  <c r="K53" i="6"/>
  <c r="N53" i="6" s="1"/>
  <c r="G53" i="6"/>
  <c r="J53" i="6" s="1"/>
  <c r="O53" i="6"/>
  <c r="R53" i="6" s="1"/>
  <c r="F53" i="6"/>
  <c r="S53" i="6"/>
  <c r="E53" i="7"/>
  <c r="E53" i="6"/>
  <c r="S57" i="7"/>
  <c r="G57" i="7"/>
  <c r="K57" i="7"/>
  <c r="O57" i="7"/>
  <c r="F57" i="7"/>
  <c r="H57" i="6"/>
  <c r="L57" i="6"/>
  <c r="P57" i="6"/>
  <c r="T57" i="6"/>
  <c r="H57" i="7"/>
  <c r="L57" i="7"/>
  <c r="T57" i="7"/>
  <c r="P57" i="7"/>
  <c r="F57" i="6"/>
  <c r="O57" i="6"/>
  <c r="R57" i="6" s="1"/>
  <c r="Q57" i="6" s="1"/>
  <c r="G57" i="6"/>
  <c r="S57" i="6"/>
  <c r="V57" i="6" s="1"/>
  <c r="U57" i="6" s="1"/>
  <c r="K57" i="6"/>
  <c r="E57" i="7"/>
  <c r="E57" i="6"/>
  <c r="O71" i="6"/>
  <c r="F71" i="6"/>
  <c r="K71" i="6"/>
  <c r="G71" i="6"/>
  <c r="S71" i="6"/>
  <c r="S71" i="7"/>
  <c r="F71" i="7"/>
  <c r="G71" i="7"/>
  <c r="K71" i="7"/>
  <c r="O71" i="7"/>
  <c r="P71" i="6"/>
  <c r="L71" i="6"/>
  <c r="T71" i="6"/>
  <c r="H71" i="6"/>
  <c r="L71" i="7"/>
  <c r="T71" i="7"/>
  <c r="H71" i="7"/>
  <c r="P71" i="7"/>
  <c r="E71" i="6"/>
  <c r="E71" i="7"/>
  <c r="T64" i="6"/>
  <c r="P64" i="6"/>
  <c r="L64" i="6"/>
  <c r="H64" i="6"/>
  <c r="G64" i="6"/>
  <c r="J64" i="6" s="1"/>
  <c r="O64" i="6"/>
  <c r="R64" i="6" s="1"/>
  <c r="S64" i="6"/>
  <c r="V64" i="6" s="1"/>
  <c r="F64" i="6"/>
  <c r="K64" i="6"/>
  <c r="N64" i="6" s="1"/>
  <c r="M64" i="6" s="1"/>
  <c r="P64" i="7"/>
  <c r="L64" i="7"/>
  <c r="H64" i="7"/>
  <c r="T64" i="7"/>
  <c r="K64" i="7"/>
  <c r="N64" i="7" s="1"/>
  <c r="F64" i="7"/>
  <c r="G64" i="7"/>
  <c r="O64" i="7"/>
  <c r="S64" i="7"/>
  <c r="E64" i="7"/>
  <c r="E64" i="6"/>
  <c r="F59" i="7"/>
  <c r="K59" i="7"/>
  <c r="G59" i="7"/>
  <c r="S59" i="7"/>
  <c r="O59" i="7"/>
  <c r="T59" i="6"/>
  <c r="L59" i="6"/>
  <c r="P59" i="6"/>
  <c r="H59" i="6"/>
  <c r="O59" i="6"/>
  <c r="K59" i="6"/>
  <c r="N59" i="6" s="1"/>
  <c r="S59" i="6"/>
  <c r="V59" i="6" s="1"/>
  <c r="F59" i="6"/>
  <c r="G59" i="6"/>
  <c r="J59" i="6" s="1"/>
  <c r="P59" i="7"/>
  <c r="H59" i="7"/>
  <c r="L59" i="7"/>
  <c r="T59" i="7"/>
  <c r="E59" i="7"/>
  <c r="E59" i="6"/>
  <c r="H52" i="6"/>
  <c r="T52" i="6"/>
  <c r="L52" i="6"/>
  <c r="P52" i="6"/>
  <c r="P52" i="7"/>
  <c r="H52" i="7"/>
  <c r="L52" i="7"/>
  <c r="T52" i="7"/>
  <c r="K52" i="7"/>
  <c r="N52" i="7" s="1"/>
  <c r="S52" i="7"/>
  <c r="V52" i="7" s="1"/>
  <c r="O52" i="7"/>
  <c r="R52" i="7" s="1"/>
  <c r="G52" i="7"/>
  <c r="F52" i="7"/>
  <c r="G52" i="6"/>
  <c r="S52" i="6"/>
  <c r="O52" i="6"/>
  <c r="F52" i="6"/>
  <c r="K52" i="6"/>
  <c r="E52" i="6"/>
  <c r="E52" i="7"/>
  <c r="S70" i="7"/>
  <c r="K70" i="7"/>
  <c r="F70" i="7"/>
  <c r="O70" i="7"/>
  <c r="G70" i="7"/>
  <c r="K70" i="6"/>
  <c r="O70" i="6"/>
  <c r="S70" i="6"/>
  <c r="G70" i="6"/>
  <c r="F70" i="6"/>
  <c r="L70" i="6"/>
  <c r="T70" i="6"/>
  <c r="P70" i="6"/>
  <c r="H70" i="6"/>
  <c r="T70" i="7"/>
  <c r="H70" i="7"/>
  <c r="L70" i="7"/>
  <c r="P70" i="7"/>
  <c r="E70" i="6"/>
  <c r="E70" i="7"/>
  <c r="E68" i="6"/>
  <c r="E68" i="7"/>
  <c r="S68" i="6"/>
  <c r="G68" i="6"/>
  <c r="F68" i="6"/>
  <c r="K68" i="6"/>
  <c r="O68" i="6"/>
  <c r="P68" i="7"/>
  <c r="T68" i="7"/>
  <c r="H68" i="7"/>
  <c r="L68" i="7"/>
  <c r="H68" i="6"/>
  <c r="T68" i="6"/>
  <c r="P68" i="6"/>
  <c r="L68" i="6"/>
  <c r="O68" i="7"/>
  <c r="S68" i="7"/>
  <c r="F68" i="7"/>
  <c r="K68" i="7"/>
  <c r="N68" i="7" s="1"/>
  <c r="M68" i="7" s="1"/>
  <c r="G68" i="7"/>
  <c r="G51" i="6"/>
  <c r="K51" i="6"/>
  <c r="S51" i="6"/>
  <c r="O51" i="6"/>
  <c r="F51" i="6"/>
  <c r="L51" i="6"/>
  <c r="P51" i="6"/>
  <c r="T51" i="6"/>
  <c r="H51" i="6"/>
  <c r="O51" i="7"/>
  <c r="S51" i="7"/>
  <c r="K51" i="7"/>
  <c r="G51" i="7"/>
  <c r="F51" i="7"/>
  <c r="E51" i="6"/>
  <c r="E51" i="7"/>
  <c r="P51" i="7"/>
  <c r="T51" i="7"/>
  <c r="L51" i="7"/>
  <c r="H51" i="7"/>
  <c r="S50" i="6"/>
  <c r="O50" i="6"/>
  <c r="K50" i="6"/>
  <c r="F50" i="6"/>
  <c r="G50" i="6"/>
  <c r="H50" i="6"/>
  <c r="L50" i="6"/>
  <c r="T50" i="6"/>
  <c r="P50" i="6"/>
  <c r="K50" i="7"/>
  <c r="O50" i="7"/>
  <c r="S50" i="7"/>
  <c r="G50" i="7"/>
  <c r="F50" i="7"/>
  <c r="E50" i="6"/>
  <c r="E50" i="7"/>
  <c r="T50" i="7"/>
  <c r="P50" i="7"/>
  <c r="L50" i="7"/>
  <c r="H50" i="7"/>
  <c r="S43" i="6"/>
  <c r="G43" i="6"/>
  <c r="O43" i="6"/>
  <c r="K43" i="6"/>
  <c r="F43" i="6"/>
  <c r="P43" i="6"/>
  <c r="T43" i="6"/>
  <c r="H43" i="6"/>
  <c r="L43" i="6"/>
  <c r="K43" i="7"/>
  <c r="S43" i="7"/>
  <c r="G43" i="7"/>
  <c r="O43" i="7"/>
  <c r="F43" i="7"/>
  <c r="E43" i="6"/>
  <c r="E43" i="7"/>
  <c r="H43" i="7"/>
  <c r="P43" i="7"/>
  <c r="L43" i="7"/>
  <c r="T43" i="7"/>
  <c r="H42" i="6"/>
  <c r="P42" i="6"/>
  <c r="L42" i="6"/>
  <c r="T42" i="6"/>
  <c r="S42" i="7"/>
  <c r="O42" i="7"/>
  <c r="K42" i="7"/>
  <c r="G42" i="7"/>
  <c r="F42" i="7"/>
  <c r="H42" i="7"/>
  <c r="T42" i="7"/>
  <c r="L42" i="7"/>
  <c r="P42" i="7"/>
  <c r="O42" i="6"/>
  <c r="G42" i="6"/>
  <c r="F42" i="6"/>
  <c r="S42" i="6"/>
  <c r="K42" i="6"/>
  <c r="E42" i="7"/>
  <c r="E42" i="6"/>
  <c r="T39" i="6"/>
  <c r="P39" i="6"/>
  <c r="H39" i="6"/>
  <c r="L39" i="6"/>
  <c r="K39" i="7"/>
  <c r="F39" i="7"/>
  <c r="O39" i="7"/>
  <c r="S39" i="7"/>
  <c r="G39" i="7"/>
  <c r="T39" i="7"/>
  <c r="H39" i="7"/>
  <c r="J39" i="7" s="1"/>
  <c r="P39" i="7"/>
  <c r="L39" i="7"/>
  <c r="O39" i="6"/>
  <c r="S39" i="6"/>
  <c r="F39" i="6"/>
  <c r="G39" i="6"/>
  <c r="K39" i="6"/>
  <c r="E39" i="7"/>
  <c r="E39" i="6"/>
  <c r="H38" i="7"/>
  <c r="L38" i="7"/>
  <c r="P38" i="7"/>
  <c r="T38" i="7"/>
  <c r="H38" i="6"/>
  <c r="P38" i="6"/>
  <c r="T38" i="6"/>
  <c r="L38" i="6"/>
  <c r="E38" i="7"/>
  <c r="E38" i="6"/>
  <c r="O38" i="6"/>
  <c r="R38" i="6" s="1"/>
  <c r="F38" i="6"/>
  <c r="S38" i="6"/>
  <c r="V38" i="6" s="1"/>
  <c r="K38" i="6"/>
  <c r="N38" i="6" s="1"/>
  <c r="M38" i="6" s="1"/>
  <c r="G38" i="6"/>
  <c r="J38" i="6" s="1"/>
  <c r="I38" i="6" s="1"/>
  <c r="S38" i="7"/>
  <c r="V38" i="7" s="1"/>
  <c r="K38" i="7"/>
  <c r="N38" i="7" s="1"/>
  <c r="F38" i="7"/>
  <c r="O38" i="7"/>
  <c r="R38" i="7" s="1"/>
  <c r="Q38" i="7" s="1"/>
  <c r="G38" i="7"/>
  <c r="J38" i="7" s="1"/>
  <c r="I38" i="7" s="1"/>
  <c r="O26" i="6"/>
  <c r="S26" i="6"/>
  <c r="K26" i="6"/>
  <c r="G26" i="6"/>
  <c r="F26" i="6"/>
  <c r="S26" i="7"/>
  <c r="G26" i="7"/>
  <c r="F26" i="7"/>
  <c r="O26" i="7"/>
  <c r="K26" i="7"/>
  <c r="E26" i="6"/>
  <c r="E26" i="7"/>
  <c r="T26" i="7"/>
  <c r="H26" i="7"/>
  <c r="P26" i="7"/>
  <c r="L26" i="7"/>
  <c r="H26" i="6"/>
  <c r="S34" i="7"/>
  <c r="O34" i="7"/>
  <c r="F34" i="7"/>
  <c r="G34" i="7"/>
  <c r="K34" i="7"/>
  <c r="E34" i="7"/>
  <c r="E34" i="6"/>
  <c r="P34" i="7"/>
  <c r="T34" i="7"/>
  <c r="H34" i="7"/>
  <c r="L34" i="7"/>
  <c r="K34" i="6"/>
  <c r="O34" i="6"/>
  <c r="G34" i="6"/>
  <c r="F34" i="6"/>
  <c r="S34" i="6"/>
  <c r="P34" i="6"/>
  <c r="L34" i="6"/>
  <c r="T34" i="6"/>
  <c r="H34" i="6"/>
  <c r="S33" i="7"/>
  <c r="F33" i="7"/>
  <c r="O33" i="7"/>
  <c r="G33" i="7"/>
  <c r="K33" i="7"/>
  <c r="E33" i="7"/>
  <c r="E33" i="6"/>
  <c r="H33" i="6"/>
  <c r="P33" i="6"/>
  <c r="L33" i="6"/>
  <c r="T33" i="6"/>
  <c r="G33" i="6"/>
  <c r="J33" i="6" s="1"/>
  <c r="S33" i="6"/>
  <c r="V33" i="6" s="1"/>
  <c r="F33" i="6"/>
  <c r="O33" i="6"/>
  <c r="R33" i="6" s="1"/>
  <c r="K33" i="6"/>
  <c r="N33" i="6" s="1"/>
  <c r="M33" i="6" s="1"/>
  <c r="H33" i="7"/>
  <c r="T33" i="7"/>
  <c r="L33" i="7"/>
  <c r="P33" i="7"/>
  <c r="H45" i="6"/>
  <c r="P45" i="6"/>
  <c r="L45" i="6"/>
  <c r="T45" i="6"/>
  <c r="E45" i="6"/>
  <c r="E45" i="7"/>
  <c r="S45" i="7"/>
  <c r="F45" i="7"/>
  <c r="O45" i="7"/>
  <c r="K45" i="7"/>
  <c r="G45" i="7"/>
  <c r="H45" i="7"/>
  <c r="T45" i="7"/>
  <c r="P45" i="7"/>
  <c r="L45" i="7"/>
  <c r="G45" i="6"/>
  <c r="O45" i="6"/>
  <c r="S45" i="6"/>
  <c r="F45" i="6"/>
  <c r="K45" i="6"/>
  <c r="E44" i="7"/>
  <c r="E44" i="6"/>
  <c r="G44" i="7"/>
  <c r="O44" i="7"/>
  <c r="S44" i="7"/>
  <c r="K44" i="7"/>
  <c r="F44" i="7"/>
  <c r="S44" i="6"/>
  <c r="F44" i="6"/>
  <c r="O44" i="6"/>
  <c r="K44" i="6"/>
  <c r="G44" i="6"/>
  <c r="L44" i="6"/>
  <c r="T44" i="6"/>
  <c r="H44" i="6"/>
  <c r="P44" i="6"/>
  <c r="L44" i="7"/>
  <c r="T44" i="7"/>
  <c r="H44" i="7"/>
  <c r="P44" i="7"/>
  <c r="F29" i="5"/>
  <c r="D29" i="7"/>
  <c r="C29" i="5"/>
  <c r="D29" i="5"/>
  <c r="C29" i="6"/>
  <c r="D29" i="6"/>
  <c r="C29" i="7"/>
  <c r="J28" i="5"/>
  <c r="C28" i="6"/>
  <c r="C28" i="7"/>
  <c r="D28" i="6"/>
  <c r="C28" i="5"/>
  <c r="D28" i="5"/>
  <c r="D28" i="7"/>
  <c r="F28" i="5"/>
  <c r="H47" i="6"/>
  <c r="T47" i="6"/>
  <c r="L47" i="6"/>
  <c r="P47" i="6"/>
  <c r="O47" i="6"/>
  <c r="K47" i="6"/>
  <c r="S47" i="6"/>
  <c r="V47" i="6" s="1"/>
  <c r="G47" i="6"/>
  <c r="F47" i="6"/>
  <c r="H47" i="7"/>
  <c r="T47" i="7"/>
  <c r="L47" i="7"/>
  <c r="P47" i="7"/>
  <c r="E47" i="6"/>
  <c r="E47" i="7"/>
  <c r="K47" i="7"/>
  <c r="N47" i="7" s="1"/>
  <c r="O47" i="7"/>
  <c r="R47" i="7" s="1"/>
  <c r="F47" i="7"/>
  <c r="S47" i="7"/>
  <c r="G47" i="7"/>
  <c r="O46" i="7"/>
  <c r="G46" i="7"/>
  <c r="F46" i="7"/>
  <c r="K46" i="7"/>
  <c r="S46" i="7"/>
  <c r="E46" i="7"/>
  <c r="E46" i="6"/>
  <c r="T46" i="7"/>
  <c r="H46" i="7"/>
  <c r="P46" i="7"/>
  <c r="L46" i="7"/>
  <c r="O46" i="6"/>
  <c r="G46" i="6"/>
  <c r="K46" i="6"/>
  <c r="S46" i="6"/>
  <c r="F46" i="6"/>
  <c r="L46" i="6"/>
  <c r="T46" i="6"/>
  <c r="P46" i="6"/>
  <c r="H46" i="6"/>
  <c r="H37" i="7"/>
  <c r="P37" i="7"/>
  <c r="L37" i="7"/>
  <c r="T37" i="7"/>
  <c r="S37" i="6"/>
  <c r="K37" i="6"/>
  <c r="O37" i="6"/>
  <c r="G37" i="6"/>
  <c r="F37" i="6"/>
  <c r="E37" i="6"/>
  <c r="E37" i="7"/>
  <c r="H37" i="6"/>
  <c r="P37" i="6"/>
  <c r="L37" i="6"/>
  <c r="T37" i="6"/>
  <c r="O37" i="7"/>
  <c r="S37" i="7"/>
  <c r="F37" i="7"/>
  <c r="G37" i="7"/>
  <c r="K37" i="7"/>
  <c r="H36" i="7"/>
  <c r="L36" i="7"/>
  <c r="T36" i="7"/>
  <c r="P36" i="7"/>
  <c r="E36" i="6"/>
  <c r="E36" i="7"/>
  <c r="S36" i="6"/>
  <c r="K36" i="6"/>
  <c r="O36" i="6"/>
  <c r="F36" i="6"/>
  <c r="G36" i="6"/>
  <c r="T36" i="6"/>
  <c r="P36" i="6"/>
  <c r="L36" i="6"/>
  <c r="H36" i="6"/>
  <c r="O36" i="7"/>
  <c r="G36" i="7"/>
  <c r="S36" i="7"/>
  <c r="K36" i="7"/>
  <c r="F36" i="7"/>
  <c r="H24" i="6"/>
  <c r="P24" i="6"/>
  <c r="L24" i="6"/>
  <c r="T24" i="6"/>
  <c r="G24" i="7"/>
  <c r="F24" i="7"/>
  <c r="S24" i="7"/>
  <c r="K24" i="7"/>
  <c r="O24" i="7"/>
  <c r="T24" i="7"/>
  <c r="H24" i="7"/>
  <c r="P24" i="7"/>
  <c r="L24" i="7"/>
  <c r="E24" i="7"/>
  <c r="E24" i="6"/>
  <c r="G24" i="6"/>
  <c r="S24" i="6"/>
  <c r="O24" i="6"/>
  <c r="K24" i="6"/>
  <c r="F24" i="6"/>
  <c r="O32" i="6"/>
  <c r="F32" i="6"/>
  <c r="S32" i="6"/>
  <c r="K32" i="6"/>
  <c r="G32" i="6"/>
  <c r="H32" i="6"/>
  <c r="L32" i="6"/>
  <c r="T32" i="6"/>
  <c r="P32" i="6"/>
  <c r="E32" i="7"/>
  <c r="E32" i="6"/>
  <c r="O32" i="7"/>
  <c r="F32" i="7"/>
  <c r="S32" i="7"/>
  <c r="G32" i="7"/>
  <c r="K32" i="7"/>
  <c r="P32" i="7"/>
  <c r="L32" i="7"/>
  <c r="H32" i="7"/>
  <c r="T32" i="7"/>
  <c r="C25" i="7"/>
  <c r="D25" i="6"/>
  <c r="D25" i="7"/>
  <c r="C25" i="5"/>
  <c r="D25" i="5"/>
  <c r="C25" i="6"/>
  <c r="H25" i="5"/>
  <c r="L25" i="5"/>
  <c r="C27" i="7"/>
  <c r="C27" i="6"/>
  <c r="D27" i="5"/>
  <c r="D27" i="6"/>
  <c r="D27" i="7"/>
  <c r="C27" i="5"/>
  <c r="V246" i="5"/>
  <c r="V247" i="5" s="1"/>
  <c r="V248" i="5" s="1"/>
  <c r="V249" i="5" s="1"/>
  <c r="V250" i="5" s="1"/>
  <c r="V251" i="5" s="1"/>
  <c r="V252" i="5" s="1"/>
  <c r="AD30" i="5"/>
  <c r="K30" i="5" s="1"/>
  <c r="J30" i="5" s="1"/>
  <c r="J41" i="6"/>
  <c r="I41" i="6" s="1"/>
  <c r="F27" i="5"/>
  <c r="F25" i="5"/>
  <c r="J27" i="5"/>
  <c r="N41" i="6"/>
  <c r="M41" i="6" s="1"/>
  <c r="V41" i="6"/>
  <c r="U41" i="6" s="1"/>
  <c r="R41" i="6"/>
  <c r="Q41" i="6" s="1"/>
  <c r="T247" i="5"/>
  <c r="T248" i="5" s="1"/>
  <c r="T249" i="5" s="1"/>
  <c r="T250" i="5" s="1"/>
  <c r="T251" i="5" s="1"/>
  <c r="T252" i="5" s="1"/>
  <c r="AB30" i="5"/>
  <c r="G30" i="5" s="1"/>
  <c r="F30" i="5" s="1"/>
  <c r="N61" i="7" l="1"/>
  <c r="M54" i="6"/>
  <c r="R47" i="6"/>
  <c r="L26" i="6"/>
  <c r="P26" i="6"/>
  <c r="T26" i="6"/>
  <c r="R60" i="6"/>
  <c r="N60" i="6"/>
  <c r="M60" i="6" s="1"/>
  <c r="Q54" i="6"/>
  <c r="J52" i="7"/>
  <c r="J52" i="6"/>
  <c r="V55" i="6"/>
  <c r="U55" i="6" s="1"/>
  <c r="N55" i="6"/>
  <c r="M55" i="6" s="1"/>
  <c r="R56" i="6"/>
  <c r="Q56" i="6" s="1"/>
  <c r="N56" i="6"/>
  <c r="M56" i="6" s="1"/>
  <c r="J56" i="6"/>
  <c r="I56" i="6" s="1"/>
  <c r="J56" i="7"/>
  <c r="I56" i="7" s="1"/>
  <c r="N56" i="7"/>
  <c r="M56" i="7" s="1"/>
  <c r="J63" i="7"/>
  <c r="I63" i="7" s="1"/>
  <c r="I61" i="7"/>
  <c r="R63" i="7"/>
  <c r="N63" i="7"/>
  <c r="M63" i="7" s="1"/>
  <c r="D75" i="6"/>
  <c r="C75" i="6"/>
  <c r="O75" i="6" s="1"/>
  <c r="D75" i="7"/>
  <c r="C75" i="7"/>
  <c r="C75" i="5"/>
  <c r="D75" i="5"/>
  <c r="J63" i="6"/>
  <c r="I63" i="6" s="1"/>
  <c r="J67" i="6"/>
  <c r="V67" i="6"/>
  <c r="U67" i="6" s="1"/>
  <c r="N67" i="6"/>
  <c r="M67" i="6" s="1"/>
  <c r="R61" i="7"/>
  <c r="V61" i="7"/>
  <c r="U61" i="7" s="1"/>
  <c r="N54" i="7"/>
  <c r="M54" i="7" s="1"/>
  <c r="Q54" i="7"/>
  <c r="U54" i="7"/>
  <c r="I54" i="7"/>
  <c r="V56" i="7"/>
  <c r="U56" i="7" s="1"/>
  <c r="N45" i="6"/>
  <c r="M45" i="6" s="1"/>
  <c r="V31" i="6"/>
  <c r="U31" i="6" s="1"/>
  <c r="J31" i="6"/>
  <c r="I31" i="6" s="1"/>
  <c r="N31" i="6"/>
  <c r="M31" i="6" s="1"/>
  <c r="R31" i="6"/>
  <c r="Q31" i="6" s="1"/>
  <c r="V31" i="7"/>
  <c r="U31" i="7" s="1"/>
  <c r="J31" i="7"/>
  <c r="I31" i="7" s="1"/>
  <c r="N31" i="7"/>
  <c r="M31" i="7" s="1"/>
  <c r="R31" i="7"/>
  <c r="Q31" i="7" s="1"/>
  <c r="V63" i="7"/>
  <c r="U63" i="7" s="1"/>
  <c r="U63" i="6"/>
  <c r="Q63" i="6"/>
  <c r="N58" i="7"/>
  <c r="M58" i="7" s="1"/>
  <c r="I67" i="6"/>
  <c r="R67" i="6"/>
  <c r="Q67" i="6" s="1"/>
  <c r="J61" i="6"/>
  <c r="I61" i="6" s="1"/>
  <c r="R61" i="6"/>
  <c r="Q61" i="6" s="1"/>
  <c r="N61" i="6"/>
  <c r="M61" i="6" s="1"/>
  <c r="V61" i="6"/>
  <c r="U61" i="6" s="1"/>
  <c r="M61" i="7"/>
  <c r="Q61" i="7"/>
  <c r="R60" i="7"/>
  <c r="Q60" i="7" s="1"/>
  <c r="N60" i="7"/>
  <c r="M60" i="7" s="1"/>
  <c r="Q30" i="7"/>
  <c r="V60" i="7"/>
  <c r="U60" i="7" s="1"/>
  <c r="J69" i="6"/>
  <c r="I69" i="6" s="1"/>
  <c r="V69" i="6"/>
  <c r="U69" i="6" s="1"/>
  <c r="N69" i="6"/>
  <c r="M69" i="6" s="1"/>
  <c r="R69" i="6"/>
  <c r="Q69" i="6" s="1"/>
  <c r="R68" i="7"/>
  <c r="Q68" i="7" s="1"/>
  <c r="V68" i="7"/>
  <c r="U68" i="7" s="1"/>
  <c r="J68" i="7"/>
  <c r="I68" i="7" s="1"/>
  <c r="J45" i="6"/>
  <c r="I45" i="6" s="1"/>
  <c r="R45" i="6"/>
  <c r="Q45" i="6" s="1"/>
  <c r="V45" i="6"/>
  <c r="U45" i="6" s="1"/>
  <c r="V47" i="7"/>
  <c r="U47" i="7" s="1"/>
  <c r="I62" i="6"/>
  <c r="Q63" i="7"/>
  <c r="R58" i="7"/>
  <c r="Q58" i="7" s="1"/>
  <c r="V58" i="7"/>
  <c r="U58" i="7" s="1"/>
  <c r="J58" i="7"/>
  <c r="I58" i="7" s="1"/>
  <c r="N62" i="6"/>
  <c r="M62" i="6" s="1"/>
  <c r="R35" i="7"/>
  <c r="Q35" i="7" s="1"/>
  <c r="V35" i="7"/>
  <c r="U35" i="7" s="1"/>
  <c r="N35" i="7"/>
  <c r="M35" i="7" s="1"/>
  <c r="J35" i="7"/>
  <c r="I35" i="7" s="1"/>
  <c r="R35" i="6"/>
  <c r="Q35" i="6" s="1"/>
  <c r="V35" i="6"/>
  <c r="U35" i="6" s="1"/>
  <c r="J35" i="6"/>
  <c r="I35" i="6" s="1"/>
  <c r="N35" i="6"/>
  <c r="M35" i="6" s="1"/>
  <c r="N62" i="7"/>
  <c r="M62" i="7" s="1"/>
  <c r="J62" i="7"/>
  <c r="I62" i="7" s="1"/>
  <c r="V62" i="6"/>
  <c r="U62" i="6" s="1"/>
  <c r="R62" i="6"/>
  <c r="Q62" i="6" s="1"/>
  <c r="R65" i="7"/>
  <c r="Q65" i="7" s="1"/>
  <c r="V65" i="7"/>
  <c r="U65" i="7" s="1"/>
  <c r="J57" i="6"/>
  <c r="I57" i="6" s="1"/>
  <c r="N57" i="6"/>
  <c r="M57" i="6" s="1"/>
  <c r="R42" i="6"/>
  <c r="Q42" i="6" s="1"/>
  <c r="J42" i="6"/>
  <c r="I42" i="6" s="1"/>
  <c r="V42" i="6"/>
  <c r="U42" i="6" s="1"/>
  <c r="N42" i="6"/>
  <c r="M42" i="6" s="1"/>
  <c r="Q58" i="6"/>
  <c r="U60" i="6"/>
  <c r="I59" i="6"/>
  <c r="N30" i="6"/>
  <c r="M30" i="6" s="1"/>
  <c r="J60" i="7"/>
  <c r="I60" i="7" s="1"/>
  <c r="J48" i="6"/>
  <c r="I48" i="6" s="1"/>
  <c r="R56" i="7"/>
  <c r="Q56" i="7" s="1"/>
  <c r="U54" i="6"/>
  <c r="R48" i="6"/>
  <c r="Q48" i="6" s="1"/>
  <c r="V52" i="6"/>
  <c r="U52" i="6" s="1"/>
  <c r="R52" i="6"/>
  <c r="Q52" i="6" s="1"/>
  <c r="N52" i="6"/>
  <c r="M52" i="6" s="1"/>
  <c r="J49" i="7"/>
  <c r="I49" i="7" s="1"/>
  <c r="R30" i="6"/>
  <c r="Q30" i="6" s="1"/>
  <c r="N48" i="6"/>
  <c r="M48" i="6" s="1"/>
  <c r="Q60" i="6"/>
  <c r="N72" i="6"/>
  <c r="M72" i="6" s="1"/>
  <c r="J72" i="6"/>
  <c r="I72" i="6" s="1"/>
  <c r="N72" i="7"/>
  <c r="M72" i="7" s="1"/>
  <c r="R72" i="6"/>
  <c r="Q72" i="6" s="1"/>
  <c r="V72" i="6"/>
  <c r="U72" i="6" s="1"/>
  <c r="J72" i="7"/>
  <c r="I72" i="7" s="1"/>
  <c r="N49" i="7"/>
  <c r="M49" i="7" s="1"/>
  <c r="V49" i="7"/>
  <c r="U49" i="7" s="1"/>
  <c r="R49" i="7"/>
  <c r="Q49" i="7" s="1"/>
  <c r="J49" i="6"/>
  <c r="I49" i="6" s="1"/>
  <c r="R49" i="6"/>
  <c r="Q49" i="6" s="1"/>
  <c r="N49" i="6"/>
  <c r="M49" i="6" s="1"/>
  <c r="V49" i="6"/>
  <c r="U49" i="6" s="1"/>
  <c r="N48" i="7"/>
  <c r="M48" i="7" s="1"/>
  <c r="V48" i="7"/>
  <c r="U48" i="7" s="1"/>
  <c r="J48" i="7"/>
  <c r="I48" i="7" s="1"/>
  <c r="V48" i="6"/>
  <c r="U48" i="6" s="1"/>
  <c r="N69" i="7"/>
  <c r="M69" i="7" s="1"/>
  <c r="V69" i="7"/>
  <c r="U69" i="7" s="1"/>
  <c r="R69" i="7"/>
  <c r="Q69" i="7" s="1"/>
  <c r="N40" i="7"/>
  <c r="M40" i="7" s="1"/>
  <c r="V53" i="6"/>
  <c r="U53" i="6" s="1"/>
  <c r="V62" i="7"/>
  <c r="U62" i="7" s="1"/>
  <c r="U38" i="6"/>
  <c r="R72" i="7"/>
  <c r="Q72" i="7" s="1"/>
  <c r="R62" i="7"/>
  <c r="Q62" i="7" s="1"/>
  <c r="J47" i="6"/>
  <c r="I47" i="6" s="1"/>
  <c r="J55" i="6"/>
  <c r="I55" i="6" s="1"/>
  <c r="R36" i="7"/>
  <c r="Q36" i="7" s="1"/>
  <c r="J36" i="7"/>
  <c r="I36" i="7" s="1"/>
  <c r="V36" i="7"/>
  <c r="U36" i="7" s="1"/>
  <c r="V72" i="7"/>
  <c r="U72" i="7" s="1"/>
  <c r="E79" i="5"/>
  <c r="E78" i="5"/>
  <c r="W213" i="5"/>
  <c r="W214" i="5" s="1"/>
  <c r="W215" i="5" s="1"/>
  <c r="W216" i="5" s="1"/>
  <c r="W217" i="5" s="1"/>
  <c r="W218" i="5" s="1"/>
  <c r="W219" i="5" s="1"/>
  <c r="W220" i="5" s="1"/>
  <c r="W221" i="5" s="1"/>
  <c r="AE26" i="5"/>
  <c r="M26" i="5" s="1"/>
  <c r="L26" i="5" s="1"/>
  <c r="J69" i="7"/>
  <c r="I69" i="7" s="1"/>
  <c r="U59" i="6"/>
  <c r="N39" i="7"/>
  <c r="M39" i="7" s="1"/>
  <c r="D76" i="5"/>
  <c r="C76" i="6"/>
  <c r="C76" i="5"/>
  <c r="C76" i="7"/>
  <c r="D76" i="7"/>
  <c r="D76" i="6"/>
  <c r="C77" i="6"/>
  <c r="D77" i="5"/>
  <c r="D77" i="7"/>
  <c r="C77" i="5"/>
  <c r="C77" i="7"/>
  <c r="D77" i="6"/>
  <c r="C74" i="5"/>
  <c r="D74" i="7"/>
  <c r="D74" i="6"/>
  <c r="D74" i="5"/>
  <c r="C74" i="6"/>
  <c r="C74" i="7"/>
  <c r="R71" i="6"/>
  <c r="Q71" i="6" s="1"/>
  <c r="J71" i="6"/>
  <c r="I71" i="6" s="1"/>
  <c r="J71" i="7"/>
  <c r="I71" i="7" s="1"/>
  <c r="N71" i="6"/>
  <c r="M71" i="6" s="1"/>
  <c r="V71" i="6"/>
  <c r="U71" i="6" s="1"/>
  <c r="V71" i="7"/>
  <c r="U71" i="7" s="1"/>
  <c r="N71" i="7"/>
  <c r="M71" i="7" s="1"/>
  <c r="J64" i="7"/>
  <c r="I64" i="7" s="1"/>
  <c r="R64" i="7"/>
  <c r="Q64" i="7" s="1"/>
  <c r="V64" i="7"/>
  <c r="U64" i="7" s="1"/>
  <c r="N44" i="6"/>
  <c r="M44" i="6" s="1"/>
  <c r="J47" i="7"/>
  <c r="I47" i="7" s="1"/>
  <c r="V37" i="6"/>
  <c r="U37" i="6" s="1"/>
  <c r="N37" i="6"/>
  <c r="M37" i="6" s="1"/>
  <c r="R37" i="6"/>
  <c r="Q37" i="6" s="1"/>
  <c r="N36" i="7"/>
  <c r="M36" i="7" s="1"/>
  <c r="R32" i="7"/>
  <c r="Q32" i="7" s="1"/>
  <c r="V32" i="7"/>
  <c r="U32" i="7" s="1"/>
  <c r="R523" i="5"/>
  <c r="R524" i="5" s="1"/>
  <c r="R525" i="5" s="1"/>
  <c r="R526" i="5" s="1"/>
  <c r="R527" i="5" s="1"/>
  <c r="Y80" i="5"/>
  <c r="Z80" i="5" s="1"/>
  <c r="AA80" i="5" s="1"/>
  <c r="E80" i="5" s="1"/>
  <c r="E73" i="7"/>
  <c r="E73" i="6"/>
  <c r="T73" i="7"/>
  <c r="H73" i="7"/>
  <c r="L73" i="7"/>
  <c r="P73" i="7"/>
  <c r="P73" i="6"/>
  <c r="T73" i="6"/>
  <c r="L73" i="6"/>
  <c r="H73" i="6"/>
  <c r="F73" i="7"/>
  <c r="G73" i="7"/>
  <c r="K73" i="7"/>
  <c r="S73" i="7"/>
  <c r="O73" i="7"/>
  <c r="F73" i="6"/>
  <c r="O73" i="6"/>
  <c r="S73" i="6"/>
  <c r="K73" i="6"/>
  <c r="G73" i="6"/>
  <c r="J73" i="6" s="1"/>
  <c r="I73" i="6" s="1"/>
  <c r="T253" i="5"/>
  <c r="L29" i="7"/>
  <c r="P29" i="7"/>
  <c r="T29" i="7"/>
  <c r="H29" i="7"/>
  <c r="E29" i="7"/>
  <c r="E29" i="6"/>
  <c r="F29" i="6"/>
  <c r="K29" i="6"/>
  <c r="S29" i="6"/>
  <c r="G29" i="6"/>
  <c r="O29" i="6"/>
  <c r="L29" i="6"/>
  <c r="T29" i="6"/>
  <c r="P29" i="6"/>
  <c r="H29" i="6"/>
  <c r="S29" i="7"/>
  <c r="V29" i="7" s="1"/>
  <c r="O29" i="7"/>
  <c r="R29" i="7" s="1"/>
  <c r="G29" i="7"/>
  <c r="J29" i="7" s="1"/>
  <c r="F29" i="7"/>
  <c r="K29" i="7"/>
  <c r="N29" i="7" s="1"/>
  <c r="M29" i="7" s="1"/>
  <c r="F28" i="6"/>
  <c r="S28" i="6"/>
  <c r="O28" i="6"/>
  <c r="K28" i="6"/>
  <c r="G28" i="6"/>
  <c r="O28" i="7"/>
  <c r="S28" i="7"/>
  <c r="F28" i="7"/>
  <c r="K28" i="7"/>
  <c r="G28" i="7"/>
  <c r="P28" i="6"/>
  <c r="H28" i="6"/>
  <c r="T28" i="6"/>
  <c r="L28" i="6"/>
  <c r="E28" i="6"/>
  <c r="E28" i="7"/>
  <c r="P28" i="7"/>
  <c r="T28" i="7"/>
  <c r="H28" i="7"/>
  <c r="L28" i="7"/>
  <c r="J24" i="7"/>
  <c r="V24" i="7"/>
  <c r="N24" i="7"/>
  <c r="R24" i="7"/>
  <c r="J24" i="6"/>
  <c r="V24" i="6"/>
  <c r="R24" i="6"/>
  <c r="N24" i="6"/>
  <c r="S25" i="7"/>
  <c r="F25" i="7"/>
  <c r="G25" i="7"/>
  <c r="O25" i="7"/>
  <c r="K25" i="7"/>
  <c r="P25" i="6"/>
  <c r="H25" i="6"/>
  <c r="T25" i="6"/>
  <c r="L25" i="6"/>
  <c r="H25" i="7"/>
  <c r="T25" i="7"/>
  <c r="L25" i="7"/>
  <c r="P25" i="7"/>
  <c r="E25" i="7"/>
  <c r="E25" i="6"/>
  <c r="F25" i="6"/>
  <c r="K25" i="6"/>
  <c r="S25" i="6"/>
  <c r="G25" i="6"/>
  <c r="O25" i="6"/>
  <c r="S27" i="7"/>
  <c r="O27" i="7"/>
  <c r="F27" i="7"/>
  <c r="G27" i="7"/>
  <c r="K27" i="7"/>
  <c r="S27" i="6"/>
  <c r="K27" i="6"/>
  <c r="F27" i="6"/>
  <c r="O27" i="6"/>
  <c r="G27" i="6"/>
  <c r="E27" i="7"/>
  <c r="E27" i="6"/>
  <c r="T27" i="6"/>
  <c r="L27" i="6"/>
  <c r="P27" i="6"/>
  <c r="H27" i="6"/>
  <c r="P27" i="7"/>
  <c r="H27" i="7"/>
  <c r="T27" i="7"/>
  <c r="L27" i="7"/>
  <c r="V253" i="5"/>
  <c r="V40" i="6"/>
  <c r="U40" i="6" s="1"/>
  <c r="J40" i="6"/>
  <c r="I40" i="6" s="1"/>
  <c r="R40" i="6"/>
  <c r="Q40" i="6" s="1"/>
  <c r="N40" i="6"/>
  <c r="M40" i="6" s="1"/>
  <c r="I40" i="7"/>
  <c r="U40" i="7"/>
  <c r="R65" i="6"/>
  <c r="Q65" i="6" s="1"/>
  <c r="N65" i="6"/>
  <c r="M65" i="6" s="1"/>
  <c r="V65" i="6"/>
  <c r="U65" i="6" s="1"/>
  <c r="M59" i="6"/>
  <c r="V46" i="6"/>
  <c r="U46" i="6" s="1"/>
  <c r="J65" i="7"/>
  <c r="I65" i="7" s="1"/>
  <c r="N65" i="7"/>
  <c r="M65" i="7" s="1"/>
  <c r="U56" i="6"/>
  <c r="R53" i="7"/>
  <c r="Q53" i="7" s="1"/>
  <c r="N53" i="7"/>
  <c r="M53" i="7" s="1"/>
  <c r="V53" i="7"/>
  <c r="U53" i="7" s="1"/>
  <c r="J53" i="7"/>
  <c r="I53" i="7" s="1"/>
  <c r="M53" i="6"/>
  <c r="I53" i="6"/>
  <c r="Q53" i="6"/>
  <c r="V57" i="7"/>
  <c r="U57" i="7" s="1"/>
  <c r="J57" i="7"/>
  <c r="I57" i="7" s="1"/>
  <c r="N57" i="7"/>
  <c r="M57" i="7" s="1"/>
  <c r="R57" i="7"/>
  <c r="Q57" i="7" s="1"/>
  <c r="V59" i="7"/>
  <c r="U59" i="7" s="1"/>
  <c r="N46" i="6"/>
  <c r="M46" i="6" s="1"/>
  <c r="R71" i="7"/>
  <c r="Q71" i="7" s="1"/>
  <c r="I64" i="6"/>
  <c r="Q64" i="6"/>
  <c r="U64" i="6"/>
  <c r="M64" i="7"/>
  <c r="J59" i="7"/>
  <c r="I59" i="7" s="1"/>
  <c r="R46" i="7"/>
  <c r="Q46" i="7" s="1"/>
  <c r="V46" i="7"/>
  <c r="U46" i="7" s="1"/>
  <c r="M52" i="7"/>
  <c r="U52" i="7"/>
  <c r="Q52" i="7"/>
  <c r="I52" i="7"/>
  <c r="I52" i="6"/>
  <c r="V70" i="7"/>
  <c r="U70" i="7" s="1"/>
  <c r="N70" i="7"/>
  <c r="M70" i="7" s="1"/>
  <c r="R70" i="7"/>
  <c r="Q70" i="7" s="1"/>
  <c r="J70" i="7"/>
  <c r="I70" i="7" s="1"/>
  <c r="N70" i="6"/>
  <c r="M70" i="6" s="1"/>
  <c r="R70" i="6"/>
  <c r="Q70" i="6" s="1"/>
  <c r="V70" i="6"/>
  <c r="U70" i="6" s="1"/>
  <c r="J70" i="6"/>
  <c r="I70" i="6" s="1"/>
  <c r="V68" i="6"/>
  <c r="U68" i="6" s="1"/>
  <c r="J68" i="6"/>
  <c r="I68" i="6" s="1"/>
  <c r="N68" i="6"/>
  <c r="M68" i="6" s="1"/>
  <c r="R68" i="6"/>
  <c r="Q68" i="6" s="1"/>
  <c r="J51" i="6"/>
  <c r="I51" i="6" s="1"/>
  <c r="N51" i="6"/>
  <c r="M51" i="6" s="1"/>
  <c r="V51" i="6"/>
  <c r="U51" i="6" s="1"/>
  <c r="R51" i="6"/>
  <c r="Q51" i="6" s="1"/>
  <c r="R51" i="7"/>
  <c r="Q51" i="7" s="1"/>
  <c r="V51" i="7"/>
  <c r="U51" i="7" s="1"/>
  <c r="N51" i="7"/>
  <c r="M51" i="7" s="1"/>
  <c r="J51" i="7"/>
  <c r="I51" i="7" s="1"/>
  <c r="V50" i="6"/>
  <c r="U50" i="6" s="1"/>
  <c r="R50" i="6"/>
  <c r="Q50" i="6" s="1"/>
  <c r="N50" i="6"/>
  <c r="M50" i="6" s="1"/>
  <c r="J50" i="6"/>
  <c r="I50" i="6" s="1"/>
  <c r="N50" i="7"/>
  <c r="M50" i="7" s="1"/>
  <c r="R50" i="7"/>
  <c r="Q50" i="7" s="1"/>
  <c r="V50" i="7"/>
  <c r="U50" i="7" s="1"/>
  <c r="J50" i="7"/>
  <c r="I50" i="7" s="1"/>
  <c r="V43" i="6"/>
  <c r="U43" i="6" s="1"/>
  <c r="J43" i="6"/>
  <c r="I43" i="6" s="1"/>
  <c r="R43" i="6"/>
  <c r="Q43" i="6" s="1"/>
  <c r="N43" i="6"/>
  <c r="M43" i="6" s="1"/>
  <c r="N43" i="7"/>
  <c r="M43" i="7" s="1"/>
  <c r="V43" i="7"/>
  <c r="U43" i="7" s="1"/>
  <c r="J43" i="7"/>
  <c r="I43" i="7" s="1"/>
  <c r="R43" i="7"/>
  <c r="Q43" i="7" s="1"/>
  <c r="V42" i="7"/>
  <c r="U42" i="7" s="1"/>
  <c r="R42" i="7"/>
  <c r="Q42" i="7" s="1"/>
  <c r="N42" i="7"/>
  <c r="M42" i="7" s="1"/>
  <c r="J42" i="7"/>
  <c r="I42" i="7" s="1"/>
  <c r="N47" i="6"/>
  <c r="M47" i="6" s="1"/>
  <c r="I39" i="7"/>
  <c r="R39" i="7"/>
  <c r="Q39" i="7" s="1"/>
  <c r="V39" i="7"/>
  <c r="U39" i="7" s="1"/>
  <c r="R39" i="6"/>
  <c r="Q39" i="6" s="1"/>
  <c r="V39" i="6"/>
  <c r="U39" i="6" s="1"/>
  <c r="J39" i="6"/>
  <c r="I39" i="6" s="1"/>
  <c r="N39" i="6"/>
  <c r="M39" i="6" s="1"/>
  <c r="Q38" i="6"/>
  <c r="U38" i="7"/>
  <c r="M38" i="7"/>
  <c r="R26" i="6"/>
  <c r="Q26" i="6" s="1"/>
  <c r="V26" i="6"/>
  <c r="U26" i="6" s="1"/>
  <c r="N26" i="6"/>
  <c r="M26" i="6" s="1"/>
  <c r="J26" i="6"/>
  <c r="I26" i="6" s="1"/>
  <c r="V26" i="7"/>
  <c r="U26" i="7" s="1"/>
  <c r="J26" i="7"/>
  <c r="I26" i="7" s="1"/>
  <c r="R26" i="7"/>
  <c r="Q26" i="7" s="1"/>
  <c r="N26" i="7"/>
  <c r="M26" i="7" s="1"/>
  <c r="V34" i="7"/>
  <c r="U34" i="7" s="1"/>
  <c r="R34" i="7"/>
  <c r="Q34" i="7" s="1"/>
  <c r="J34" i="7"/>
  <c r="I34" i="7" s="1"/>
  <c r="N34" i="7"/>
  <c r="M34" i="7" s="1"/>
  <c r="N34" i="6"/>
  <c r="M34" i="6" s="1"/>
  <c r="R34" i="6"/>
  <c r="Q34" i="6" s="1"/>
  <c r="J34" i="6"/>
  <c r="I34" i="6" s="1"/>
  <c r="V34" i="6"/>
  <c r="U34" i="6" s="1"/>
  <c r="V33" i="7"/>
  <c r="U33" i="7" s="1"/>
  <c r="R33" i="7"/>
  <c r="Q33" i="7" s="1"/>
  <c r="J33" i="7"/>
  <c r="I33" i="7" s="1"/>
  <c r="N33" i="7"/>
  <c r="M33" i="7" s="1"/>
  <c r="I33" i="6"/>
  <c r="U33" i="6"/>
  <c r="Q33" i="6"/>
  <c r="V45" i="7"/>
  <c r="U45" i="7" s="1"/>
  <c r="R45" i="7"/>
  <c r="Q45" i="7" s="1"/>
  <c r="J45" i="7"/>
  <c r="I45" i="7" s="1"/>
  <c r="J44" i="7"/>
  <c r="I44" i="7" s="1"/>
  <c r="V44" i="7"/>
  <c r="U44" i="7" s="1"/>
  <c r="N44" i="7"/>
  <c r="M44" i="7" s="1"/>
  <c r="R44" i="6"/>
  <c r="Q44" i="6" s="1"/>
  <c r="Q47" i="7"/>
  <c r="R46" i="6"/>
  <c r="Q46" i="6" s="1"/>
  <c r="N45" i="7"/>
  <c r="M45" i="7" s="1"/>
  <c r="R44" i="7"/>
  <c r="Q44" i="7" s="1"/>
  <c r="V44" i="6"/>
  <c r="U44" i="6" s="1"/>
  <c r="J44" i="6"/>
  <c r="I44" i="6" s="1"/>
  <c r="Q47" i="6"/>
  <c r="M47" i="7"/>
  <c r="J46" i="7"/>
  <c r="I46" i="7" s="1"/>
  <c r="U47" i="6"/>
  <c r="N46" i="7"/>
  <c r="M46" i="7" s="1"/>
  <c r="J37" i="6"/>
  <c r="I37" i="6" s="1"/>
  <c r="R37" i="7"/>
  <c r="Q37" i="7" s="1"/>
  <c r="V37" i="7"/>
  <c r="U37" i="7" s="1"/>
  <c r="J37" i="7"/>
  <c r="I37" i="7" s="1"/>
  <c r="N37" i="7"/>
  <c r="M37" i="7" s="1"/>
  <c r="V36" i="6"/>
  <c r="U36" i="6" s="1"/>
  <c r="N36" i="6"/>
  <c r="M36" i="6" s="1"/>
  <c r="R36" i="6"/>
  <c r="Q36" i="6" s="1"/>
  <c r="J36" i="6"/>
  <c r="I36" i="6" s="1"/>
  <c r="R32" i="6"/>
  <c r="Q32" i="6" s="1"/>
  <c r="V32" i="6"/>
  <c r="U32" i="6" s="1"/>
  <c r="N32" i="6"/>
  <c r="M32" i="6" s="1"/>
  <c r="J32" i="6"/>
  <c r="I32" i="6" s="1"/>
  <c r="J32" i="7"/>
  <c r="I32" i="7" s="1"/>
  <c r="N32" i="7"/>
  <c r="M32" i="7" s="1"/>
  <c r="J65" i="6"/>
  <c r="I65" i="6" s="1"/>
  <c r="N59" i="7"/>
  <c r="M59" i="7" s="1"/>
  <c r="R59" i="7"/>
  <c r="Q59" i="7" s="1"/>
  <c r="R59" i="6"/>
  <c r="Q59" i="6" s="1"/>
  <c r="J46" i="6"/>
  <c r="I46" i="6" s="1"/>
  <c r="U223" i="5"/>
  <c r="U224" i="5" s="1"/>
  <c r="U225" i="5" s="1"/>
  <c r="U226" i="5" s="1"/>
  <c r="U227" i="5" s="1"/>
  <c r="U228" i="5" s="1"/>
  <c r="U229" i="5" s="1"/>
  <c r="U230" i="5" s="1"/>
  <c r="AC27" i="5"/>
  <c r="I27" i="5" s="1"/>
  <c r="H27" i="5" s="1"/>
  <c r="T75" i="6" l="1"/>
  <c r="L75" i="6"/>
  <c r="H75" i="6"/>
  <c r="P75" i="6"/>
  <c r="R75" i="6" s="1"/>
  <c r="K75" i="6"/>
  <c r="N75" i="6" s="1"/>
  <c r="F75" i="6"/>
  <c r="G75" i="6"/>
  <c r="J75" i="6" s="1"/>
  <c r="I75" i="6" s="1"/>
  <c r="S75" i="6"/>
  <c r="V75" i="6" s="1"/>
  <c r="U75" i="6" s="1"/>
  <c r="P75" i="7"/>
  <c r="H75" i="7"/>
  <c r="T75" i="7"/>
  <c r="L75" i="7"/>
  <c r="F75" i="7"/>
  <c r="G75" i="7"/>
  <c r="J75" i="7" s="1"/>
  <c r="I75" i="7" s="1"/>
  <c r="K75" i="7"/>
  <c r="N75" i="7" s="1"/>
  <c r="M75" i="7" s="1"/>
  <c r="S75" i="7"/>
  <c r="V75" i="7" s="1"/>
  <c r="U75" i="7" s="1"/>
  <c r="O75" i="7"/>
  <c r="R75" i="7" s="1"/>
  <c r="Q75" i="7" s="1"/>
  <c r="E75" i="6"/>
  <c r="E75" i="7"/>
  <c r="C79" i="5"/>
  <c r="D79" i="5"/>
  <c r="D79" i="7"/>
  <c r="D79" i="6"/>
  <c r="C79" i="7"/>
  <c r="C79" i="6"/>
  <c r="V254" i="5"/>
  <c r="V255" i="5" s="1"/>
  <c r="V256" i="5" s="1"/>
  <c r="V257" i="5" s="1"/>
  <c r="V258" i="5" s="1"/>
  <c r="V259" i="5" s="1"/>
  <c r="AD31" i="5"/>
  <c r="K31" i="5" s="1"/>
  <c r="J31" i="5" s="1"/>
  <c r="N73" i="6"/>
  <c r="M73" i="6" s="1"/>
  <c r="C78" i="7"/>
  <c r="D78" i="5"/>
  <c r="C78" i="5"/>
  <c r="D78" i="7"/>
  <c r="D78" i="6"/>
  <c r="C78" i="6"/>
  <c r="W222" i="5"/>
  <c r="T254" i="5"/>
  <c r="T255" i="5" s="1"/>
  <c r="T256" i="5" s="1"/>
  <c r="T257" i="5" s="1"/>
  <c r="T258" i="5" s="1"/>
  <c r="AB31" i="5"/>
  <c r="G31" i="5" s="1"/>
  <c r="F31" i="5" s="1"/>
  <c r="J73" i="7"/>
  <c r="I73" i="7" s="1"/>
  <c r="N73" i="7"/>
  <c r="M73" i="7" s="1"/>
  <c r="V73" i="7"/>
  <c r="U73" i="7" s="1"/>
  <c r="R73" i="7"/>
  <c r="Q73" i="7" s="1"/>
  <c r="R73" i="6"/>
  <c r="Q73" i="6" s="1"/>
  <c r="V73" i="6"/>
  <c r="U73" i="6" s="1"/>
  <c r="E76" i="7"/>
  <c r="E76" i="6"/>
  <c r="K76" i="6"/>
  <c r="G76" i="6"/>
  <c r="F76" i="6"/>
  <c r="O76" i="6"/>
  <c r="S76" i="6"/>
  <c r="S76" i="7"/>
  <c r="F76" i="7"/>
  <c r="O76" i="7"/>
  <c r="G76" i="7"/>
  <c r="K76" i="7"/>
  <c r="H76" i="7"/>
  <c r="P76" i="7"/>
  <c r="T76" i="7"/>
  <c r="L76" i="7"/>
  <c r="L76" i="6"/>
  <c r="T76" i="6"/>
  <c r="P76" i="6"/>
  <c r="H76" i="6"/>
  <c r="F77" i="6"/>
  <c r="G77" i="6"/>
  <c r="S77" i="6"/>
  <c r="K77" i="6"/>
  <c r="O77" i="6"/>
  <c r="E77" i="6"/>
  <c r="E77" i="7"/>
  <c r="P77" i="7"/>
  <c r="H77" i="7"/>
  <c r="L77" i="7"/>
  <c r="T77" i="7"/>
  <c r="G77" i="7"/>
  <c r="F77" i="7"/>
  <c r="S77" i="7"/>
  <c r="K77" i="7"/>
  <c r="O77" i="7"/>
  <c r="P77" i="6"/>
  <c r="T77" i="6"/>
  <c r="H77" i="6"/>
  <c r="L77" i="6"/>
  <c r="P74" i="7"/>
  <c r="L74" i="7"/>
  <c r="H74" i="7"/>
  <c r="T74" i="7"/>
  <c r="H74" i="6"/>
  <c r="L74" i="6"/>
  <c r="T74" i="6"/>
  <c r="P74" i="6"/>
  <c r="E74" i="6"/>
  <c r="E74" i="7"/>
  <c r="K74" i="6"/>
  <c r="S74" i="6"/>
  <c r="G74" i="6"/>
  <c r="F74" i="6"/>
  <c r="O74" i="6"/>
  <c r="O74" i="7"/>
  <c r="S74" i="7"/>
  <c r="K74" i="7"/>
  <c r="F74" i="7"/>
  <c r="G74" i="7"/>
  <c r="D80" i="6"/>
  <c r="C80" i="7"/>
  <c r="C82" i="7" s="1"/>
  <c r="D80" i="7"/>
  <c r="D82" i="7" s="1"/>
  <c r="D80" i="5"/>
  <c r="C80" i="5"/>
  <c r="C80" i="6"/>
  <c r="C82" i="6" s="1"/>
  <c r="E82" i="5"/>
  <c r="AB32" i="5"/>
  <c r="G32" i="5" s="1"/>
  <c r="F32" i="5" s="1"/>
  <c r="T259" i="5"/>
  <c r="T260" i="5" s="1"/>
  <c r="T261" i="5" s="1"/>
  <c r="T262" i="5" s="1"/>
  <c r="T263" i="5" s="1"/>
  <c r="T264" i="5" s="1"/>
  <c r="Q75" i="6"/>
  <c r="I24" i="7"/>
  <c r="U24" i="7"/>
  <c r="M24" i="7"/>
  <c r="Q24" i="7"/>
  <c r="I24" i="6"/>
  <c r="U24" i="6"/>
  <c r="Q24" i="6"/>
  <c r="M24" i="6"/>
  <c r="U231" i="5"/>
  <c r="N29" i="6"/>
  <c r="M29" i="6" s="1"/>
  <c r="V29" i="6"/>
  <c r="U29" i="6" s="1"/>
  <c r="J29" i="6"/>
  <c r="I29" i="6" s="1"/>
  <c r="R29" i="6"/>
  <c r="Q29" i="6" s="1"/>
  <c r="U29" i="7"/>
  <c r="Q29" i="7"/>
  <c r="I29" i="7"/>
  <c r="V28" i="6"/>
  <c r="R28" i="6"/>
  <c r="N28" i="6"/>
  <c r="M28" i="6" s="1"/>
  <c r="J28" i="6"/>
  <c r="R28" i="7"/>
  <c r="V28" i="7"/>
  <c r="U28" i="7" s="1"/>
  <c r="N28" i="7"/>
  <c r="J28" i="7"/>
  <c r="V25" i="7"/>
  <c r="J25" i="7"/>
  <c r="I25" i="7" s="1"/>
  <c r="R25" i="7"/>
  <c r="Q25" i="7" s="1"/>
  <c r="N25" i="7"/>
  <c r="M25" i="7" s="1"/>
  <c r="V27" i="7"/>
  <c r="U27" i="7" s="1"/>
  <c r="R27" i="7"/>
  <c r="Q27" i="7" s="1"/>
  <c r="J27" i="7"/>
  <c r="I27" i="7" s="1"/>
  <c r="V27" i="6"/>
  <c r="U27" i="6" s="1"/>
  <c r="R27" i="6"/>
  <c r="Q27" i="6" s="1"/>
  <c r="N27" i="7"/>
  <c r="M27" i="7" s="1"/>
  <c r="N27" i="6"/>
  <c r="J27" i="6"/>
  <c r="I27" i="6" s="1"/>
  <c r="N25" i="6"/>
  <c r="M25" i="6" s="1"/>
  <c r="V25" i="6"/>
  <c r="U25" i="6" s="1"/>
  <c r="J25" i="6"/>
  <c r="I25" i="6" s="1"/>
  <c r="R25" i="6"/>
  <c r="Q25" i="6" s="1"/>
  <c r="M75" i="6" l="1"/>
  <c r="E79" i="7"/>
  <c r="E79" i="6"/>
  <c r="P79" i="7"/>
  <c r="L79" i="7"/>
  <c r="H79" i="7"/>
  <c r="T79" i="7"/>
  <c r="P79" i="6"/>
  <c r="T79" i="6"/>
  <c r="L79" i="6"/>
  <c r="H79" i="6"/>
  <c r="K79" i="7"/>
  <c r="N79" i="7" s="1"/>
  <c r="F79" i="7"/>
  <c r="O79" i="7"/>
  <c r="R79" i="7" s="1"/>
  <c r="Q79" i="7" s="1"/>
  <c r="G79" i="7"/>
  <c r="J79" i="7" s="1"/>
  <c r="I79" i="7" s="1"/>
  <c r="S79" i="7"/>
  <c r="F79" i="6"/>
  <c r="S79" i="6"/>
  <c r="K79" i="6"/>
  <c r="G79" i="6"/>
  <c r="O79" i="6"/>
  <c r="V74" i="6"/>
  <c r="R74" i="6"/>
  <c r="Q74" i="6" s="1"/>
  <c r="R74" i="7"/>
  <c r="N74" i="7"/>
  <c r="D82" i="6"/>
  <c r="U232" i="5"/>
  <c r="U233" i="5" s="1"/>
  <c r="U234" i="5" s="1"/>
  <c r="U235" i="5" s="1"/>
  <c r="U236" i="5" s="1"/>
  <c r="U237" i="5" s="1"/>
  <c r="U238" i="5" s="1"/>
  <c r="U239" i="5" s="1"/>
  <c r="AC28" i="5"/>
  <c r="I28" i="5" s="1"/>
  <c r="H28" i="5" s="1"/>
  <c r="T78" i="6"/>
  <c r="P78" i="6"/>
  <c r="F78" i="6"/>
  <c r="K78" i="6"/>
  <c r="O78" i="6"/>
  <c r="R78" i="6" s="1"/>
  <c r="Q78" i="6" s="1"/>
  <c r="S78" i="6"/>
  <c r="V78" i="6" s="1"/>
  <c r="U78" i="6" s="1"/>
  <c r="G78" i="6"/>
  <c r="G78" i="7"/>
  <c r="O78" i="7"/>
  <c r="F78" i="7"/>
  <c r="K78" i="7"/>
  <c r="S78" i="7"/>
  <c r="E78" i="7"/>
  <c r="E78" i="6"/>
  <c r="T78" i="7"/>
  <c r="P78" i="7"/>
  <c r="L78" i="7"/>
  <c r="H78" i="7"/>
  <c r="J78" i="7" s="1"/>
  <c r="I78" i="7" s="1"/>
  <c r="L78" i="6"/>
  <c r="H78" i="6"/>
  <c r="W223" i="5"/>
  <c r="W224" i="5" s="1"/>
  <c r="W225" i="5" s="1"/>
  <c r="W226" i="5" s="1"/>
  <c r="W227" i="5" s="1"/>
  <c r="W228" i="5" s="1"/>
  <c r="W229" i="5" s="1"/>
  <c r="W230" i="5" s="1"/>
  <c r="AE27" i="5"/>
  <c r="M27" i="5" s="1"/>
  <c r="L27" i="5" s="1"/>
  <c r="N76" i="6"/>
  <c r="M76" i="6" s="1"/>
  <c r="J76" i="6"/>
  <c r="I76" i="6" s="1"/>
  <c r="R76" i="6"/>
  <c r="Q76" i="6" s="1"/>
  <c r="V76" i="6"/>
  <c r="U76" i="6" s="1"/>
  <c r="V76" i="7"/>
  <c r="U76" i="7" s="1"/>
  <c r="R76" i="7"/>
  <c r="Q76" i="7" s="1"/>
  <c r="J76" i="7"/>
  <c r="I76" i="7" s="1"/>
  <c r="N76" i="7"/>
  <c r="M76" i="7" s="1"/>
  <c r="T80" i="6"/>
  <c r="P80" i="6"/>
  <c r="L80" i="6"/>
  <c r="H80" i="6"/>
  <c r="O80" i="7"/>
  <c r="S80" i="7"/>
  <c r="F80" i="7"/>
  <c r="G80" i="7"/>
  <c r="K80" i="7"/>
  <c r="P80" i="7"/>
  <c r="T80" i="7"/>
  <c r="L80" i="7"/>
  <c r="H80" i="7"/>
  <c r="E80" i="7"/>
  <c r="E80" i="6"/>
  <c r="G80" i="6"/>
  <c r="F80" i="6"/>
  <c r="K80" i="6"/>
  <c r="S80" i="6"/>
  <c r="O80" i="6"/>
  <c r="C82" i="5"/>
  <c r="B9" i="8"/>
  <c r="D82" i="5"/>
  <c r="G9" i="8" s="1"/>
  <c r="T265" i="5"/>
  <c r="N74" i="6"/>
  <c r="U74" i="6"/>
  <c r="J74" i="6"/>
  <c r="I74" i="6" s="1"/>
  <c r="V74" i="7"/>
  <c r="M74" i="7"/>
  <c r="Q74" i="7"/>
  <c r="J74" i="7"/>
  <c r="I74" i="7" s="1"/>
  <c r="V77" i="6"/>
  <c r="U77" i="6" s="1"/>
  <c r="R77" i="6"/>
  <c r="Q77" i="6" s="1"/>
  <c r="J77" i="6"/>
  <c r="I77" i="6" s="1"/>
  <c r="N77" i="6"/>
  <c r="M77" i="6" s="1"/>
  <c r="J77" i="7"/>
  <c r="I77" i="7" s="1"/>
  <c r="V77" i="7"/>
  <c r="U77" i="7" s="1"/>
  <c r="N77" i="7"/>
  <c r="M77" i="7" s="1"/>
  <c r="R77" i="7"/>
  <c r="Q77" i="7" s="1"/>
  <c r="U28" i="6"/>
  <c r="Q28" i="6"/>
  <c r="I28" i="6"/>
  <c r="Q28" i="7"/>
  <c r="M28" i="7"/>
  <c r="I28" i="7"/>
  <c r="U25" i="7"/>
  <c r="V260" i="5"/>
  <c r="V261" i="5" s="1"/>
  <c r="V262" i="5" s="1"/>
  <c r="V263" i="5" s="1"/>
  <c r="V264" i="5" s="1"/>
  <c r="AD32" i="5"/>
  <c r="K32" i="5" s="1"/>
  <c r="J32" i="5" s="1"/>
  <c r="M27" i="6"/>
  <c r="M79" i="7" l="1"/>
  <c r="V79" i="7"/>
  <c r="U79" i="7" s="1"/>
  <c r="V79" i="6"/>
  <c r="U79" i="6" s="1"/>
  <c r="N79" i="6"/>
  <c r="M79" i="6" s="1"/>
  <c r="J79" i="6"/>
  <c r="I79" i="6" s="1"/>
  <c r="R79" i="6"/>
  <c r="Q79" i="6" s="1"/>
  <c r="N78" i="6"/>
  <c r="M78" i="6" s="1"/>
  <c r="J78" i="6"/>
  <c r="I78" i="6" s="1"/>
  <c r="G82" i="7"/>
  <c r="V78" i="7"/>
  <c r="U78" i="7" s="1"/>
  <c r="T82" i="6"/>
  <c r="P82" i="6"/>
  <c r="F82" i="6"/>
  <c r="O82" i="7"/>
  <c r="R78" i="7"/>
  <c r="Q78" i="7" s="1"/>
  <c r="K82" i="7"/>
  <c r="N78" i="7"/>
  <c r="M78" i="7" s="1"/>
  <c r="L82" i="6"/>
  <c r="H82" i="6"/>
  <c r="S82" i="7"/>
  <c r="F82" i="7"/>
  <c r="P82" i="7"/>
  <c r="T82" i="7"/>
  <c r="L82" i="7"/>
  <c r="H82" i="7"/>
  <c r="W231" i="5"/>
  <c r="W232" i="5" s="1"/>
  <c r="W233" i="5" s="1"/>
  <c r="W234" i="5" s="1"/>
  <c r="W235" i="5" s="1"/>
  <c r="W236" i="5" s="1"/>
  <c r="W237" i="5" s="1"/>
  <c r="W238" i="5" s="1"/>
  <c r="AE28" i="5"/>
  <c r="M28" i="5" s="1"/>
  <c r="L28" i="5" s="1"/>
  <c r="T266" i="5"/>
  <c r="T267" i="5" s="1"/>
  <c r="T268" i="5" s="1"/>
  <c r="T269" i="5" s="1"/>
  <c r="AB33" i="5"/>
  <c r="G33" i="5" s="1"/>
  <c r="F33" i="5" s="1"/>
  <c r="G82" i="6"/>
  <c r="J80" i="6"/>
  <c r="K82" i="6"/>
  <c r="N80" i="6"/>
  <c r="S82" i="6"/>
  <c r="V80" i="6"/>
  <c r="O82" i="6"/>
  <c r="R80" i="6"/>
  <c r="B17" i="8"/>
  <c r="H9" i="8"/>
  <c r="V80" i="7"/>
  <c r="R80" i="7"/>
  <c r="J80" i="7"/>
  <c r="N80" i="7"/>
  <c r="M74" i="6"/>
  <c r="U74" i="7"/>
  <c r="V265" i="5"/>
  <c r="U240" i="5"/>
  <c r="U241" i="5" s="1"/>
  <c r="U242" i="5" s="1"/>
  <c r="U243" i="5" s="1"/>
  <c r="U244" i="5" s="1"/>
  <c r="U245" i="5" s="1"/>
  <c r="AC29" i="5"/>
  <c r="I29" i="5" s="1"/>
  <c r="H29" i="5" s="1"/>
  <c r="B10" i="8" l="1"/>
  <c r="E82" i="6"/>
  <c r="G10" i="8" s="1"/>
  <c r="W239" i="5"/>
  <c r="E82" i="7"/>
  <c r="G11" i="8" s="1"/>
  <c r="B11" i="8"/>
  <c r="U80" i="7"/>
  <c r="V82" i="7"/>
  <c r="V266" i="5"/>
  <c r="V267" i="5" s="1"/>
  <c r="V268" i="5" s="1"/>
  <c r="V269" i="5" s="1"/>
  <c r="V270" i="5" s="1"/>
  <c r="AD33" i="5"/>
  <c r="K33" i="5" s="1"/>
  <c r="J33" i="5" s="1"/>
  <c r="M80" i="6"/>
  <c r="N82" i="6"/>
  <c r="T270" i="5"/>
  <c r="J82" i="6"/>
  <c r="I80" i="6"/>
  <c r="V82" i="6"/>
  <c r="U80" i="6"/>
  <c r="R82" i="6"/>
  <c r="Q80" i="6"/>
  <c r="R82" i="7"/>
  <c r="Q80" i="7"/>
  <c r="J82" i="7"/>
  <c r="I80" i="7"/>
  <c r="N82" i="7"/>
  <c r="M80" i="7"/>
  <c r="U246" i="5"/>
  <c r="W240" i="5" l="1"/>
  <c r="W241" i="5" s="1"/>
  <c r="W242" i="5" s="1"/>
  <c r="W243" i="5" s="1"/>
  <c r="W244" i="5" s="1"/>
  <c r="W245" i="5" s="1"/>
  <c r="AE29" i="5"/>
  <c r="M29" i="5" s="1"/>
  <c r="L29" i="5" s="1"/>
  <c r="W246" i="5"/>
  <c r="B28" i="8"/>
  <c r="B18" i="8"/>
  <c r="H10" i="8"/>
  <c r="B29" i="8"/>
  <c r="B19" i="8"/>
  <c r="H11" i="8"/>
  <c r="U82" i="7"/>
  <c r="F11" i="8"/>
  <c r="F19" i="8" s="1"/>
  <c r="U247" i="5"/>
  <c r="U248" i="5" s="1"/>
  <c r="U249" i="5" s="1"/>
  <c r="U250" i="5" s="1"/>
  <c r="U251" i="5" s="1"/>
  <c r="U252" i="5" s="1"/>
  <c r="U253" i="5" s="1"/>
  <c r="AC30" i="5"/>
  <c r="I30" i="5" s="1"/>
  <c r="H30" i="5" s="1"/>
  <c r="M82" i="6"/>
  <c r="D10" i="8"/>
  <c r="D18" i="8" s="1"/>
  <c r="T271" i="5"/>
  <c r="T272" i="5" s="1"/>
  <c r="T273" i="5" s="1"/>
  <c r="T274" i="5" s="1"/>
  <c r="AB34" i="5"/>
  <c r="V271" i="5"/>
  <c r="V272" i="5" s="1"/>
  <c r="V273" i="5" s="1"/>
  <c r="V274" i="5" s="1"/>
  <c r="V275" i="5" s="1"/>
  <c r="AD34" i="5"/>
  <c r="K34" i="5" s="1"/>
  <c r="J34" i="5" s="1"/>
  <c r="I82" i="6"/>
  <c r="C10" i="8"/>
  <c r="F10" i="8"/>
  <c r="F18" i="8" s="1"/>
  <c r="U82" i="6"/>
  <c r="Q82" i="6"/>
  <c r="E10" i="8"/>
  <c r="E18" i="8" s="1"/>
  <c r="E11" i="8"/>
  <c r="E19" i="8" s="1"/>
  <c r="Q82" i="7"/>
  <c r="I82" i="7"/>
  <c r="C11" i="8"/>
  <c r="M82" i="7"/>
  <c r="D11" i="8"/>
  <c r="D19" i="8" s="1"/>
  <c r="W247" i="5" l="1"/>
  <c r="W248" i="5" s="1"/>
  <c r="W249" i="5" s="1"/>
  <c r="W250" i="5" s="1"/>
  <c r="W251" i="5" s="1"/>
  <c r="W252" i="5" s="1"/>
  <c r="W253" i="5" s="1"/>
  <c r="AE30" i="5"/>
  <c r="M30" i="5" s="1"/>
  <c r="L30" i="5" s="1"/>
  <c r="T275" i="5"/>
  <c r="U254" i="5"/>
  <c r="U255" i="5" s="1"/>
  <c r="U256" i="5" s="1"/>
  <c r="U257" i="5" s="1"/>
  <c r="U258" i="5" s="1"/>
  <c r="U259" i="5" s="1"/>
  <c r="AC31" i="5"/>
  <c r="I31" i="5" s="1"/>
  <c r="H31" i="5" s="1"/>
  <c r="G34" i="5"/>
  <c r="F34" i="5" s="1"/>
  <c r="I10" i="8"/>
  <c r="C18" i="8"/>
  <c r="C19" i="8"/>
  <c r="I11" i="8"/>
  <c r="V276" i="5"/>
  <c r="V277" i="5" s="1"/>
  <c r="V278" i="5" s="1"/>
  <c r="V279" i="5" s="1"/>
  <c r="AD35" i="5"/>
  <c r="K35" i="5" s="1"/>
  <c r="J35" i="5" s="1"/>
  <c r="AE31" i="5" l="1"/>
  <c r="M31" i="5" s="1"/>
  <c r="L31" i="5" s="1"/>
  <c r="W254" i="5"/>
  <c r="W255" i="5" s="1"/>
  <c r="W256" i="5" s="1"/>
  <c r="W257" i="5" s="1"/>
  <c r="W258" i="5" s="1"/>
  <c r="W259" i="5" s="1"/>
  <c r="T276" i="5"/>
  <c r="T277" i="5" s="1"/>
  <c r="T278" i="5" s="1"/>
  <c r="T279" i="5" s="1"/>
  <c r="T280" i="5" s="1"/>
  <c r="AB35" i="5"/>
  <c r="G35" i="5" s="1"/>
  <c r="F35" i="5" s="1"/>
  <c r="V280" i="5"/>
  <c r="U260" i="5"/>
  <c r="U261" i="5" s="1"/>
  <c r="U262" i="5" s="1"/>
  <c r="U263" i="5" s="1"/>
  <c r="U264" i="5" s="1"/>
  <c r="AC32" i="5"/>
  <c r="I32" i="5" s="1"/>
  <c r="H32" i="5" s="1"/>
  <c r="AB36" i="5" l="1"/>
  <c r="G36" i="5" s="1"/>
  <c r="F36" i="5" s="1"/>
  <c r="T281" i="5"/>
  <c r="T282" i="5" s="1"/>
  <c r="T283" i="5" s="1"/>
  <c r="T284" i="5" s="1"/>
  <c r="V281" i="5"/>
  <c r="V282" i="5" s="1"/>
  <c r="V283" i="5" s="1"/>
  <c r="V284" i="5" s="1"/>
  <c r="V285" i="5" s="1"/>
  <c r="AD36" i="5"/>
  <c r="K36" i="5" s="1"/>
  <c r="J36" i="5" s="1"/>
  <c r="W260" i="5"/>
  <c r="W261" i="5" s="1"/>
  <c r="W262" i="5" s="1"/>
  <c r="W263" i="5" s="1"/>
  <c r="W264" i="5" s="1"/>
  <c r="AE32" i="5"/>
  <c r="M32" i="5" s="1"/>
  <c r="L32" i="5" s="1"/>
  <c r="U265" i="5"/>
  <c r="U266" i="5" s="1"/>
  <c r="U267" i="5" s="1"/>
  <c r="U268" i="5" s="1"/>
  <c r="U269" i="5" s="1"/>
  <c r="AC33" i="5"/>
  <c r="I33" i="5" s="1"/>
  <c r="H33" i="5" s="1"/>
  <c r="T285" i="5" l="1"/>
  <c r="W265" i="5"/>
  <c r="U270" i="5"/>
  <c r="V286" i="5"/>
  <c r="V287" i="5" s="1"/>
  <c r="V288" i="5" s="1"/>
  <c r="V289" i="5" s="1"/>
  <c r="AD37" i="5"/>
  <c r="K37" i="5" s="1"/>
  <c r="J37" i="5" s="1"/>
  <c r="T286" i="5" l="1"/>
  <c r="T287" i="5" s="1"/>
  <c r="T288" i="5" s="1"/>
  <c r="T289" i="5" s="1"/>
  <c r="AB37" i="5"/>
  <c r="G37" i="5" s="1"/>
  <c r="F37" i="5" s="1"/>
  <c r="W266" i="5"/>
  <c r="W267" i="5" s="1"/>
  <c r="W268" i="5" s="1"/>
  <c r="W269" i="5" s="1"/>
  <c r="AE33" i="5"/>
  <c r="M33" i="5" s="1"/>
  <c r="L33" i="5" s="1"/>
  <c r="V290" i="5"/>
  <c r="U271" i="5"/>
  <c r="U272" i="5" s="1"/>
  <c r="U273" i="5" s="1"/>
  <c r="U274" i="5" s="1"/>
  <c r="AC34" i="5"/>
  <c r="I34" i="5" s="1"/>
  <c r="H34" i="5" s="1"/>
  <c r="T290" i="5" l="1"/>
  <c r="T291" i="5" s="1"/>
  <c r="T292" i="5" s="1"/>
  <c r="T293" i="5" s="1"/>
  <c r="T294" i="5" s="1"/>
  <c r="AB38" i="5"/>
  <c r="G38" i="5" s="1"/>
  <c r="F38" i="5" s="1"/>
  <c r="W270" i="5"/>
  <c r="V291" i="5"/>
  <c r="V292" i="5" s="1"/>
  <c r="V293" i="5" s="1"/>
  <c r="V294" i="5" s="1"/>
  <c r="AD38" i="5"/>
  <c r="K38" i="5" s="1"/>
  <c r="J38" i="5" s="1"/>
  <c r="U275" i="5"/>
  <c r="T295" i="5"/>
  <c r="T296" i="5" s="1"/>
  <c r="T297" i="5" s="1"/>
  <c r="T298" i="5" s="1"/>
  <c r="AB39" i="5"/>
  <c r="G39" i="5" s="1"/>
  <c r="F39" i="5" s="1"/>
  <c r="W271" i="5" l="1"/>
  <c r="W272" i="5" s="1"/>
  <c r="W273" i="5" s="1"/>
  <c r="W274" i="5" s="1"/>
  <c r="AE34" i="5"/>
  <c r="M34" i="5" s="1"/>
  <c r="L34" i="5" s="1"/>
  <c r="U276" i="5"/>
  <c r="U277" i="5" s="1"/>
  <c r="U278" i="5" s="1"/>
  <c r="U279" i="5" s="1"/>
  <c r="U280" i="5" s="1"/>
  <c r="AC35" i="5"/>
  <c r="I35" i="5" s="1"/>
  <c r="H35" i="5" s="1"/>
  <c r="W275" i="5"/>
  <c r="V295" i="5"/>
  <c r="V296" i="5" s="1"/>
  <c r="V297" i="5" s="1"/>
  <c r="V298" i="5" s="1"/>
  <c r="AD39" i="5"/>
  <c r="K39" i="5" s="1"/>
  <c r="J39" i="5" s="1"/>
  <c r="T299" i="5"/>
  <c r="W276" i="5" l="1"/>
  <c r="W277" i="5" s="1"/>
  <c r="W278" i="5" s="1"/>
  <c r="W279" i="5" s="1"/>
  <c r="AE35" i="5"/>
  <c r="V299" i="5"/>
  <c r="U281" i="5"/>
  <c r="U282" i="5" s="1"/>
  <c r="U283" i="5" s="1"/>
  <c r="U284" i="5" s="1"/>
  <c r="AC36" i="5"/>
  <c r="I36" i="5" s="1"/>
  <c r="H36" i="5" s="1"/>
  <c r="T300" i="5"/>
  <c r="T301" i="5" s="1"/>
  <c r="AB40" i="5"/>
  <c r="G40" i="5" s="1"/>
  <c r="F40" i="5" s="1"/>
  <c r="W280" i="5" l="1"/>
  <c r="M35" i="5"/>
  <c r="L35" i="5" s="1"/>
  <c r="V300" i="5"/>
  <c r="V301" i="5" s="1"/>
  <c r="V302" i="5" s="1"/>
  <c r="AD40" i="5"/>
  <c r="K40" i="5" s="1"/>
  <c r="J40" i="5" s="1"/>
  <c r="U285" i="5"/>
  <c r="T302" i="5"/>
  <c r="W281" i="5" l="1"/>
  <c r="W282" i="5" s="1"/>
  <c r="W283" i="5" s="1"/>
  <c r="W284" i="5" s="1"/>
  <c r="AE36" i="5"/>
  <c r="U286" i="5"/>
  <c r="U287" i="5" s="1"/>
  <c r="U288" i="5" s="1"/>
  <c r="U289" i="5" s="1"/>
  <c r="U290" i="5" s="1"/>
  <c r="AC37" i="5"/>
  <c r="I37" i="5" s="1"/>
  <c r="H37" i="5" s="1"/>
  <c r="V303" i="5"/>
  <c r="V304" i="5" s="1"/>
  <c r="V305" i="5" s="1"/>
  <c r="AD41" i="5"/>
  <c r="K41" i="5" s="1"/>
  <c r="J41" i="5" s="1"/>
  <c r="T303" i="5"/>
  <c r="T304" i="5" s="1"/>
  <c r="T305" i="5" s="1"/>
  <c r="T306" i="5" s="1"/>
  <c r="AB41" i="5"/>
  <c r="G41" i="5" s="1"/>
  <c r="F41" i="5" s="1"/>
  <c r="AE37" i="5" l="1"/>
  <c r="W285" i="5"/>
  <c r="W286" i="5" s="1"/>
  <c r="W287" i="5" s="1"/>
  <c r="W288" i="5" s="1"/>
  <c r="W289" i="5" s="1"/>
  <c r="M36" i="5"/>
  <c r="L36" i="5" s="1"/>
  <c r="M37" i="5"/>
  <c r="L37" i="5" s="1"/>
  <c r="V306" i="5"/>
  <c r="U291" i="5"/>
  <c r="U292" i="5" s="1"/>
  <c r="U293" i="5" s="1"/>
  <c r="AC38" i="5"/>
  <c r="I38" i="5" s="1"/>
  <c r="H38" i="5" s="1"/>
  <c r="T307" i="5"/>
  <c r="T308" i="5" s="1"/>
  <c r="T309" i="5" s="1"/>
  <c r="T310" i="5" s="1"/>
  <c r="AB42" i="5"/>
  <c r="G42" i="5" s="1"/>
  <c r="F42" i="5" s="1"/>
  <c r="AE38" i="5" l="1"/>
  <c r="M38" i="5" s="1"/>
  <c r="L38" i="5" s="1"/>
  <c r="W290" i="5"/>
  <c r="W291" i="5" s="1"/>
  <c r="W292" i="5" s="1"/>
  <c r="W293" i="5" s="1"/>
  <c r="V307" i="5"/>
  <c r="V308" i="5" s="1"/>
  <c r="V309" i="5" s="1"/>
  <c r="V310" i="5" s="1"/>
  <c r="AD42" i="5"/>
  <c r="K42" i="5" s="1"/>
  <c r="J42" i="5" s="1"/>
  <c r="AB43" i="5"/>
  <c r="G43" i="5" s="1"/>
  <c r="F43" i="5" s="1"/>
  <c r="T311" i="5"/>
  <c r="T312" i="5" s="1"/>
  <c r="T313" i="5" s="1"/>
  <c r="U294" i="5"/>
  <c r="W294" i="5" l="1"/>
  <c r="AE40" i="5"/>
  <c r="V311" i="5"/>
  <c r="V312" i="5" s="1"/>
  <c r="V313" i="5" s="1"/>
  <c r="AD43" i="5"/>
  <c r="K43" i="5" s="1"/>
  <c r="J43" i="5" s="1"/>
  <c r="U295" i="5"/>
  <c r="U296" i="5" s="1"/>
  <c r="U297" i="5" s="1"/>
  <c r="U298" i="5" s="1"/>
  <c r="U299" i="5" s="1"/>
  <c r="AC39" i="5"/>
  <c r="I39" i="5" s="1"/>
  <c r="H39" i="5" s="1"/>
  <c r="T314" i="5"/>
  <c r="T315" i="5" s="1"/>
  <c r="T316" i="5" s="1"/>
  <c r="AB44" i="5"/>
  <c r="G44" i="5" s="1"/>
  <c r="F44" i="5" s="1"/>
  <c r="W295" i="5" l="1"/>
  <c r="W296" i="5" s="1"/>
  <c r="W297" i="5" s="1"/>
  <c r="W298" i="5" s="1"/>
  <c r="W299" i="5" s="1"/>
  <c r="W300" i="5" s="1"/>
  <c r="W301" i="5" s="1"/>
  <c r="AE39" i="5"/>
  <c r="V314" i="5"/>
  <c r="V315" i="5" s="1"/>
  <c r="V316" i="5" s="1"/>
  <c r="V317" i="5" s="1"/>
  <c r="AD44" i="5"/>
  <c r="K44" i="5" s="1"/>
  <c r="J44" i="5" s="1"/>
  <c r="U300" i="5"/>
  <c r="U301" i="5" s="1"/>
  <c r="AC40" i="5"/>
  <c r="I40" i="5" s="1"/>
  <c r="H40" i="5" s="1"/>
  <c r="T317" i="5"/>
  <c r="M40" i="5" l="1"/>
  <c r="L40" i="5" s="1"/>
  <c r="M39" i="5"/>
  <c r="L39" i="5" s="1"/>
  <c r="W302" i="5"/>
  <c r="W303" i="5" s="1"/>
  <c r="W304" i="5" s="1"/>
  <c r="W305" i="5" s="1"/>
  <c r="AE42" i="5" s="1"/>
  <c r="M42" i="5" s="1"/>
  <c r="L42" i="5" s="1"/>
  <c r="AE41" i="5"/>
  <c r="M41" i="5" s="1"/>
  <c r="L41" i="5" s="1"/>
  <c r="W306" i="5"/>
  <c r="W307" i="5" s="1"/>
  <c r="W308" i="5" s="1"/>
  <c r="W309" i="5" s="1"/>
  <c r="U302" i="5"/>
  <c r="U303" i="5" s="1"/>
  <c r="U304" i="5" s="1"/>
  <c r="U305" i="5" s="1"/>
  <c r="AC41" i="5"/>
  <c r="I41" i="5" s="1"/>
  <c r="H41" i="5" s="1"/>
  <c r="V318" i="5"/>
  <c r="V319" i="5" s="1"/>
  <c r="AD45" i="5"/>
  <c r="K45" i="5" s="1"/>
  <c r="J45" i="5" s="1"/>
  <c r="T318" i="5"/>
  <c r="T319" i="5" s="1"/>
  <c r="AB45" i="5"/>
  <c r="G45" i="5" s="1"/>
  <c r="F45" i="5" s="1"/>
  <c r="W310" i="5" l="1"/>
  <c r="U306" i="5"/>
  <c r="V320" i="5"/>
  <c r="T320" i="5"/>
  <c r="W311" i="5" l="1"/>
  <c r="W312" i="5" s="1"/>
  <c r="AE43" i="5"/>
  <c r="M43" i="5" s="1"/>
  <c r="L43" i="5" s="1"/>
  <c r="T321" i="5"/>
  <c r="T322" i="5" s="1"/>
  <c r="T323" i="5" s="1"/>
  <c r="AB46" i="5"/>
  <c r="G46" i="5" s="1"/>
  <c r="F46" i="5" s="1"/>
  <c r="U307" i="5"/>
  <c r="U308" i="5" s="1"/>
  <c r="U309" i="5" s="1"/>
  <c r="U310" i="5" s="1"/>
  <c r="AC42" i="5"/>
  <c r="I42" i="5" s="1"/>
  <c r="H42" i="5" s="1"/>
  <c r="V321" i="5"/>
  <c r="V322" i="5" s="1"/>
  <c r="V323" i="5" s="1"/>
  <c r="AD46" i="5"/>
  <c r="K46" i="5" s="1"/>
  <c r="J46" i="5" s="1"/>
  <c r="W313" i="5" l="1"/>
  <c r="AC43" i="5"/>
  <c r="I43" i="5" s="1"/>
  <c r="H43" i="5" s="1"/>
  <c r="U311" i="5"/>
  <c r="U312" i="5" s="1"/>
  <c r="U313" i="5" s="1"/>
  <c r="V324" i="5"/>
  <c r="V325" i="5" s="1"/>
  <c r="V326" i="5" s="1"/>
  <c r="AD47" i="5"/>
  <c r="K47" i="5" s="1"/>
  <c r="J47" i="5" s="1"/>
  <c r="T324" i="5"/>
  <c r="T325" i="5" s="1"/>
  <c r="T326" i="5" s="1"/>
  <c r="AB47" i="5"/>
  <c r="G47" i="5" s="1"/>
  <c r="F47" i="5" s="1"/>
  <c r="W314" i="5" l="1"/>
  <c r="W315" i="5" s="1"/>
  <c r="W316" i="5" s="1"/>
  <c r="W317" i="5" s="1"/>
  <c r="AE44" i="5"/>
  <c r="M44" i="5" s="1"/>
  <c r="L44" i="5" s="1"/>
  <c r="V327" i="5"/>
  <c r="U314" i="5"/>
  <c r="U315" i="5" s="1"/>
  <c r="U316" i="5" s="1"/>
  <c r="AC44" i="5"/>
  <c r="I44" i="5" s="1"/>
  <c r="H44" i="5" s="1"/>
  <c r="T327" i="5"/>
  <c r="W318" i="5" l="1"/>
  <c r="W319" i="5" s="1"/>
  <c r="AE45" i="5"/>
  <c r="T328" i="5"/>
  <c r="T329" i="5" s="1"/>
  <c r="T330" i="5" s="1"/>
  <c r="AB48" i="5"/>
  <c r="G48" i="5" s="1"/>
  <c r="F48" i="5" s="1"/>
  <c r="V328" i="5"/>
  <c r="V329" i="5" s="1"/>
  <c r="V330" i="5" s="1"/>
  <c r="AD48" i="5"/>
  <c r="K48" i="5" s="1"/>
  <c r="J48" i="5" s="1"/>
  <c r="U317" i="5"/>
  <c r="W320" i="5" l="1"/>
  <c r="M45" i="5"/>
  <c r="L45" i="5" s="1"/>
  <c r="U318" i="5"/>
  <c r="U319" i="5" s="1"/>
  <c r="U320" i="5" s="1"/>
  <c r="AC45" i="5"/>
  <c r="I45" i="5" s="1"/>
  <c r="H45" i="5" s="1"/>
  <c r="V331" i="5"/>
  <c r="V332" i="5" s="1"/>
  <c r="V333" i="5" s="1"/>
  <c r="AD49" i="5"/>
  <c r="K49" i="5" s="1"/>
  <c r="J49" i="5" s="1"/>
  <c r="T331" i="5"/>
  <c r="T332" i="5" s="1"/>
  <c r="T333" i="5" s="1"/>
  <c r="AB49" i="5"/>
  <c r="G49" i="5" s="1"/>
  <c r="F49" i="5" s="1"/>
  <c r="W321" i="5" l="1"/>
  <c r="W322" i="5" s="1"/>
  <c r="W323" i="5" s="1"/>
  <c r="AE46" i="5"/>
  <c r="M46" i="5" s="1"/>
  <c r="L46" i="5" s="1"/>
  <c r="U321" i="5"/>
  <c r="U322" i="5" s="1"/>
  <c r="U323" i="5" s="1"/>
  <c r="AC46" i="5"/>
  <c r="I46" i="5" s="1"/>
  <c r="H46" i="5" s="1"/>
  <c r="V334" i="5"/>
  <c r="T334" i="5"/>
  <c r="T335" i="5" l="1"/>
  <c r="T336" i="5" s="1"/>
  <c r="T337" i="5" s="1"/>
  <c r="AB50" i="5"/>
  <c r="G50" i="5" s="1"/>
  <c r="F50" i="5" s="1"/>
  <c r="W324" i="5"/>
  <c r="W325" i="5" s="1"/>
  <c r="W326" i="5" s="1"/>
  <c r="AE47" i="5"/>
  <c r="V335" i="5"/>
  <c r="V336" i="5" s="1"/>
  <c r="V337" i="5" s="1"/>
  <c r="AD50" i="5"/>
  <c r="K50" i="5" s="1"/>
  <c r="J50" i="5" s="1"/>
  <c r="U324" i="5"/>
  <c r="U325" i="5" s="1"/>
  <c r="U326" i="5" s="1"/>
  <c r="AC47" i="5"/>
  <c r="I47" i="5" s="1"/>
  <c r="H47" i="5" s="1"/>
  <c r="W327" i="5" l="1"/>
  <c r="M47" i="5"/>
  <c r="L47" i="5" s="1"/>
  <c r="V338" i="5"/>
  <c r="V339" i="5" s="1"/>
  <c r="V340" i="5" s="1"/>
  <c r="AD51" i="5"/>
  <c r="K51" i="5" s="1"/>
  <c r="J51" i="5" s="1"/>
  <c r="U327" i="5"/>
  <c r="T338" i="5"/>
  <c r="T339" i="5" s="1"/>
  <c r="AB51" i="5"/>
  <c r="G51" i="5" s="1"/>
  <c r="F51" i="5" s="1"/>
  <c r="W328" i="5" l="1"/>
  <c r="W329" i="5" s="1"/>
  <c r="AE48" i="5"/>
  <c r="M48" i="5" s="1"/>
  <c r="L48" i="5" s="1"/>
  <c r="V341" i="5"/>
  <c r="V342" i="5" s="1"/>
  <c r="V343" i="5" s="1"/>
  <c r="AD52" i="5"/>
  <c r="K52" i="5" s="1"/>
  <c r="J52" i="5" s="1"/>
  <c r="U328" i="5"/>
  <c r="U329" i="5" s="1"/>
  <c r="AC48" i="5"/>
  <c r="I48" i="5" s="1"/>
  <c r="H48" i="5" s="1"/>
  <c r="T340" i="5"/>
  <c r="W330" i="5" l="1"/>
  <c r="U330" i="5"/>
  <c r="V344" i="5"/>
  <c r="V345" i="5" s="1"/>
  <c r="V346" i="5" s="1"/>
  <c r="AD53" i="5"/>
  <c r="K53" i="5" s="1"/>
  <c r="J53" i="5" s="1"/>
  <c r="T341" i="5"/>
  <c r="T342" i="5" s="1"/>
  <c r="AB52" i="5"/>
  <c r="G52" i="5" s="1"/>
  <c r="F52" i="5" s="1"/>
  <c r="W331" i="5" l="1"/>
  <c r="W332" i="5" s="1"/>
  <c r="W333" i="5" s="1"/>
  <c r="AE49" i="5"/>
  <c r="M49" i="5" s="1"/>
  <c r="L49" i="5" s="1"/>
  <c r="W334" i="5"/>
  <c r="U331" i="5"/>
  <c r="U332" i="5" s="1"/>
  <c r="U333" i="5" s="1"/>
  <c r="AC49" i="5"/>
  <c r="I49" i="5" s="1"/>
  <c r="H49" i="5" s="1"/>
  <c r="V347" i="5"/>
  <c r="V348" i="5" s="1"/>
  <c r="V349" i="5" s="1"/>
  <c r="AD54" i="5"/>
  <c r="K54" i="5" s="1"/>
  <c r="J54" i="5" s="1"/>
  <c r="T343" i="5"/>
  <c r="W335" i="5" l="1"/>
  <c r="W336" i="5" s="1"/>
  <c r="AE50" i="5"/>
  <c r="T344" i="5"/>
  <c r="T345" i="5" s="1"/>
  <c r="T346" i="5" s="1"/>
  <c r="AB53" i="5"/>
  <c r="G53" i="5" s="1"/>
  <c r="F53" i="5" s="1"/>
  <c r="U334" i="5"/>
  <c r="V350" i="5"/>
  <c r="W337" i="5" l="1"/>
  <c r="W338" i="5" s="1"/>
  <c r="W339" i="5" s="1"/>
  <c r="W340" i="5" s="1"/>
  <c r="AE51" i="5"/>
  <c r="M51" i="5"/>
  <c r="L51" i="5" s="1"/>
  <c r="M50" i="5"/>
  <c r="L50" i="5" s="1"/>
  <c r="U335" i="5"/>
  <c r="U336" i="5" s="1"/>
  <c r="AC50" i="5"/>
  <c r="I50" i="5" s="1"/>
  <c r="H50" i="5" s="1"/>
  <c r="W341" i="5"/>
  <c r="W342" i="5" s="1"/>
  <c r="W343" i="5" s="1"/>
  <c r="AE52" i="5"/>
  <c r="M52" i="5" s="1"/>
  <c r="L52" i="5" s="1"/>
  <c r="U337" i="5"/>
  <c r="V351" i="5"/>
  <c r="V352" i="5" s="1"/>
  <c r="V353" i="5" s="1"/>
  <c r="AD55" i="5"/>
  <c r="K55" i="5" s="1"/>
  <c r="J55" i="5" s="1"/>
  <c r="T347" i="5"/>
  <c r="T348" i="5" s="1"/>
  <c r="T349" i="5" s="1"/>
  <c r="T350" i="5" s="1"/>
  <c r="AB54" i="5"/>
  <c r="G54" i="5" s="1"/>
  <c r="F54" i="5" s="1"/>
  <c r="U338" i="5" l="1"/>
  <c r="U339" i="5" s="1"/>
  <c r="U340" i="5" s="1"/>
  <c r="AC51" i="5"/>
  <c r="I51" i="5" s="1"/>
  <c r="H51" i="5" s="1"/>
  <c r="W344" i="5"/>
  <c r="W345" i="5" s="1"/>
  <c r="AE53" i="5"/>
  <c r="M53" i="5" s="1"/>
  <c r="L53" i="5" s="1"/>
  <c r="V354" i="5"/>
  <c r="V355" i="5" s="1"/>
  <c r="AD56" i="5"/>
  <c r="K56" i="5" s="1"/>
  <c r="J56" i="5" s="1"/>
  <c r="V356" i="5"/>
  <c r="T351" i="5"/>
  <c r="T352" i="5" s="1"/>
  <c r="AB55" i="5"/>
  <c r="G55" i="5" s="1"/>
  <c r="F55" i="5" s="1"/>
  <c r="W346" i="5" l="1"/>
  <c r="W347" i="5" s="1"/>
  <c r="W348" i="5" s="1"/>
  <c r="W349" i="5" s="1"/>
  <c r="AE54" i="5"/>
  <c r="M54" i="5" s="1"/>
  <c r="L54" i="5" s="1"/>
  <c r="U341" i="5"/>
  <c r="U342" i="5" s="1"/>
  <c r="AC52" i="5"/>
  <c r="V357" i="5"/>
  <c r="V358" i="5" s="1"/>
  <c r="AD57" i="5"/>
  <c r="K57" i="5" s="1"/>
  <c r="J57" i="5" s="1"/>
  <c r="T353" i="5"/>
  <c r="U343" i="5" l="1"/>
  <c r="U344" i="5" s="1"/>
  <c r="U345" i="5" s="1"/>
  <c r="AC53" i="5"/>
  <c r="I53" i="5" s="1"/>
  <c r="H53" i="5" s="1"/>
  <c r="AE55" i="5"/>
  <c r="M55" i="5" s="1"/>
  <c r="L55" i="5" s="1"/>
  <c r="W350" i="5"/>
  <c r="W351" i="5" s="1"/>
  <c r="W352" i="5" s="1"/>
  <c r="I52" i="5"/>
  <c r="H52" i="5" s="1"/>
  <c r="V359" i="5"/>
  <c r="T354" i="5"/>
  <c r="T355" i="5" s="1"/>
  <c r="T356" i="5" s="1"/>
  <c r="AB56" i="5"/>
  <c r="G56" i="5" s="1"/>
  <c r="F56" i="5" s="1"/>
  <c r="AC54" i="5" l="1"/>
  <c r="I54" i="5" s="1"/>
  <c r="H54" i="5" s="1"/>
  <c r="U346" i="5"/>
  <c r="U347" i="5" s="1"/>
  <c r="U348" i="5" s="1"/>
  <c r="U349" i="5" s="1"/>
  <c r="W353" i="5"/>
  <c r="AB57" i="5"/>
  <c r="G57" i="5" s="1"/>
  <c r="F57" i="5" s="1"/>
  <c r="T357" i="5"/>
  <c r="T358" i="5" s="1"/>
  <c r="T359" i="5" s="1"/>
  <c r="V360" i="5"/>
  <c r="V361" i="5" s="1"/>
  <c r="V362" i="5" s="1"/>
  <c r="AD58" i="5"/>
  <c r="K58" i="5" s="1"/>
  <c r="J58" i="5" s="1"/>
  <c r="U350" i="5" l="1"/>
  <c r="U351" i="5" s="1"/>
  <c r="U352" i="5" s="1"/>
  <c r="U353" i="5" s="1"/>
  <c r="U354" i="5" s="1"/>
  <c r="U355" i="5" s="1"/>
  <c r="AC55" i="5"/>
  <c r="I55" i="5" s="1"/>
  <c r="H55" i="5" s="1"/>
  <c r="W354" i="5"/>
  <c r="W355" i="5" s="1"/>
  <c r="AE56" i="5"/>
  <c r="AC56" i="5"/>
  <c r="I56" i="5" s="1"/>
  <c r="H56" i="5" s="1"/>
  <c r="V363" i="5"/>
  <c r="T360" i="5"/>
  <c r="T361" i="5" s="1"/>
  <c r="T362" i="5" s="1"/>
  <c r="AB58" i="5"/>
  <c r="G58" i="5" s="1"/>
  <c r="F58" i="5" s="1"/>
  <c r="W356" i="5" l="1"/>
  <c r="W357" i="5" s="1"/>
  <c r="W358" i="5" s="1"/>
  <c r="AE57" i="5"/>
  <c r="M57" i="5" s="1"/>
  <c r="L57" i="5" s="1"/>
  <c r="M56" i="5"/>
  <c r="L56" i="5" s="1"/>
  <c r="V364" i="5"/>
  <c r="V365" i="5" s="1"/>
  <c r="V366" i="5" s="1"/>
  <c r="V367" i="5" s="1"/>
  <c r="AD59" i="5"/>
  <c r="K59" i="5" s="1"/>
  <c r="J59" i="5" s="1"/>
  <c r="U356" i="5"/>
  <c r="U357" i="5" s="1"/>
  <c r="U358" i="5" s="1"/>
  <c r="AC57" i="5"/>
  <c r="I57" i="5" s="1"/>
  <c r="H57" i="5" s="1"/>
  <c r="T363" i="5"/>
  <c r="T364" i="5" l="1"/>
  <c r="T365" i="5" s="1"/>
  <c r="T366" i="5" s="1"/>
  <c r="T367" i="5" s="1"/>
  <c r="AB59" i="5"/>
  <c r="G59" i="5" s="1"/>
  <c r="F59" i="5" s="1"/>
  <c r="W359" i="5"/>
  <c r="U359" i="5"/>
  <c r="U360" i="5" s="1"/>
  <c r="U361" i="5" s="1"/>
  <c r="U362" i="5" s="1"/>
  <c r="AC58" i="5"/>
  <c r="I58" i="5" s="1"/>
  <c r="H58" i="5" s="1"/>
  <c r="V368" i="5"/>
  <c r="V369" i="5" s="1"/>
  <c r="V370" i="5" s="1"/>
  <c r="V371" i="5" s="1"/>
  <c r="AD60" i="5"/>
  <c r="K60" i="5" s="1"/>
  <c r="J60" i="5" s="1"/>
  <c r="W360" i="5" l="1"/>
  <c r="W361" i="5" s="1"/>
  <c r="W362" i="5" s="1"/>
  <c r="AE58" i="5"/>
  <c r="M58" i="5" s="1"/>
  <c r="L58" i="5" s="1"/>
  <c r="U363" i="5"/>
  <c r="V372" i="5"/>
  <c r="V373" i="5" s="1"/>
  <c r="V374" i="5" s="1"/>
  <c r="AD61" i="5"/>
  <c r="K61" i="5" s="1"/>
  <c r="J61" i="5" s="1"/>
  <c r="T368" i="5"/>
  <c r="T369" i="5" s="1"/>
  <c r="T370" i="5" s="1"/>
  <c r="T371" i="5" s="1"/>
  <c r="AB60" i="5"/>
  <c r="G60" i="5" s="1"/>
  <c r="F60" i="5" s="1"/>
  <c r="AE59" i="5" l="1"/>
  <c r="M59" i="5" s="1"/>
  <c r="L59" i="5" s="1"/>
  <c r="W363" i="5"/>
  <c r="W364" i="5" s="1"/>
  <c r="W365" i="5" s="1"/>
  <c r="W366" i="5" s="1"/>
  <c r="W367" i="5" s="1"/>
  <c r="U364" i="5"/>
  <c r="U365" i="5" s="1"/>
  <c r="U366" i="5" s="1"/>
  <c r="AC59" i="5"/>
  <c r="I59" i="5" s="1"/>
  <c r="H59" i="5" s="1"/>
  <c r="V375" i="5"/>
  <c r="T372" i="5"/>
  <c r="T373" i="5" s="1"/>
  <c r="T374" i="5" s="1"/>
  <c r="T375" i="5" s="1"/>
  <c r="AB61" i="5"/>
  <c r="G61" i="5" s="1"/>
  <c r="F61" i="5" s="1"/>
  <c r="AE60" i="5" l="1"/>
  <c r="M60" i="5" s="1"/>
  <c r="L60" i="5" s="1"/>
  <c r="W368" i="5"/>
  <c r="W369" i="5" s="1"/>
  <c r="W370" i="5" s="1"/>
  <c r="W371" i="5" s="1"/>
  <c r="U367" i="5"/>
  <c r="V376" i="5"/>
  <c r="V377" i="5" s="1"/>
  <c r="V378" i="5" s="1"/>
  <c r="V379" i="5" s="1"/>
  <c r="AD62" i="5"/>
  <c r="K62" i="5" s="1"/>
  <c r="J62" i="5" s="1"/>
  <c r="T376" i="5"/>
  <c r="T377" i="5" s="1"/>
  <c r="T378" i="5" s="1"/>
  <c r="T379" i="5" s="1"/>
  <c r="AB62" i="5"/>
  <c r="G62" i="5" s="1"/>
  <c r="F62" i="5" s="1"/>
  <c r="W372" i="5" l="1"/>
  <c r="W373" i="5" s="1"/>
  <c r="W374" i="5" s="1"/>
  <c r="W375" i="5" s="1"/>
  <c r="AE61" i="5"/>
  <c r="M61" i="5" s="1"/>
  <c r="L61" i="5" s="1"/>
  <c r="U368" i="5"/>
  <c r="U369" i="5" s="1"/>
  <c r="U370" i="5" s="1"/>
  <c r="AC60" i="5"/>
  <c r="I60" i="5" s="1"/>
  <c r="H60" i="5" s="1"/>
  <c r="V380" i="5"/>
  <c r="V381" i="5" s="1"/>
  <c r="V382" i="5" s="1"/>
  <c r="V383" i="5" s="1"/>
  <c r="AD63" i="5"/>
  <c r="K63" i="5" s="1"/>
  <c r="J63" i="5" s="1"/>
  <c r="T380" i="5"/>
  <c r="T381" i="5" s="1"/>
  <c r="T382" i="5" s="1"/>
  <c r="AB63" i="5"/>
  <c r="G63" i="5" s="1"/>
  <c r="F63" i="5" s="1"/>
  <c r="AE62" i="5" l="1"/>
  <c r="M62" i="5" s="1"/>
  <c r="L62" i="5" s="1"/>
  <c r="W376" i="5"/>
  <c r="W377" i="5" s="1"/>
  <c r="W378" i="5" s="1"/>
  <c r="U371" i="5"/>
  <c r="U372" i="5" s="1"/>
  <c r="U373" i="5" s="1"/>
  <c r="U374" i="5" s="1"/>
  <c r="AC61" i="5"/>
  <c r="I61" i="5" s="1"/>
  <c r="H61" i="5" s="1"/>
  <c r="V384" i="5"/>
  <c r="V385" i="5" s="1"/>
  <c r="V386" i="5" s="1"/>
  <c r="V387" i="5" s="1"/>
  <c r="AD64" i="5"/>
  <c r="K64" i="5" s="1"/>
  <c r="J64" i="5" s="1"/>
  <c r="T383" i="5"/>
  <c r="W379" i="5" l="1"/>
  <c r="U375" i="5"/>
  <c r="V388" i="5"/>
  <c r="T384" i="5"/>
  <c r="T385" i="5" s="1"/>
  <c r="T386" i="5" s="1"/>
  <c r="T387" i="5" s="1"/>
  <c r="T388" i="5" s="1"/>
  <c r="AB64" i="5"/>
  <c r="G64" i="5" s="1"/>
  <c r="F64" i="5" s="1"/>
  <c r="W380" i="5" l="1"/>
  <c r="W381" i="5" s="1"/>
  <c r="W382" i="5" s="1"/>
  <c r="AE63" i="5"/>
  <c r="M63" i="5" s="1"/>
  <c r="L63" i="5" s="1"/>
  <c r="U376" i="5"/>
  <c r="U377" i="5" s="1"/>
  <c r="U378" i="5" s="1"/>
  <c r="AC62" i="5"/>
  <c r="I62" i="5" s="1"/>
  <c r="H62" i="5" s="1"/>
  <c r="U379" i="5"/>
  <c r="U380" i="5" s="1"/>
  <c r="U381" i="5" s="1"/>
  <c r="U382" i="5" s="1"/>
  <c r="U383" i="5" s="1"/>
  <c r="AC63" i="5"/>
  <c r="I63" i="5" s="1"/>
  <c r="H63" i="5" s="1"/>
  <c r="V389" i="5"/>
  <c r="V390" i="5" s="1"/>
  <c r="V391" i="5" s="1"/>
  <c r="V392" i="5" s="1"/>
  <c r="V393" i="5" s="1"/>
  <c r="AD65" i="5"/>
  <c r="K65" i="5" s="1"/>
  <c r="J65" i="5" s="1"/>
  <c r="U384" i="5"/>
  <c r="U385" i="5" s="1"/>
  <c r="U386" i="5" s="1"/>
  <c r="U387" i="5" s="1"/>
  <c r="AC64" i="5"/>
  <c r="I64" i="5" s="1"/>
  <c r="H64" i="5" s="1"/>
  <c r="AB65" i="5"/>
  <c r="G65" i="5" s="1"/>
  <c r="F65" i="5" s="1"/>
  <c r="T389" i="5"/>
  <c r="T390" i="5" s="1"/>
  <c r="T391" i="5" s="1"/>
  <c r="T392" i="5" s="1"/>
  <c r="T393" i="5" s="1"/>
  <c r="W383" i="5" l="1"/>
  <c r="W384" i="5" s="1"/>
  <c r="W385" i="5" s="1"/>
  <c r="W386" i="5" s="1"/>
  <c r="W387" i="5" s="1"/>
  <c r="AE64" i="5"/>
  <c r="M64" i="5" s="1"/>
  <c r="L64" i="5" s="1"/>
  <c r="V394" i="5"/>
  <c r="V395" i="5" s="1"/>
  <c r="V396" i="5" s="1"/>
  <c r="V397" i="5" s="1"/>
  <c r="V398" i="5" s="1"/>
  <c r="AD66" i="5"/>
  <c r="K66" i="5" s="1"/>
  <c r="J66" i="5" s="1"/>
  <c r="U388" i="5"/>
  <c r="T394" i="5"/>
  <c r="T395" i="5" s="1"/>
  <c r="T396" i="5" s="1"/>
  <c r="T397" i="5" s="1"/>
  <c r="AB66" i="5"/>
  <c r="G66" i="5" s="1"/>
  <c r="F66" i="5" s="1"/>
  <c r="W388" i="5" l="1"/>
  <c r="AD67" i="5"/>
  <c r="K67" i="5" s="1"/>
  <c r="J67" i="5" s="1"/>
  <c r="V399" i="5"/>
  <c r="V400" i="5" s="1"/>
  <c r="V401" i="5" s="1"/>
  <c r="V402" i="5" s="1"/>
  <c r="V403" i="5" s="1"/>
  <c r="U389" i="5"/>
  <c r="U390" i="5" s="1"/>
  <c r="U391" i="5" s="1"/>
  <c r="U392" i="5" s="1"/>
  <c r="U393" i="5" s="1"/>
  <c r="AC65" i="5"/>
  <c r="I65" i="5" s="1"/>
  <c r="H65" i="5" s="1"/>
  <c r="T398" i="5"/>
  <c r="W389" i="5" l="1"/>
  <c r="W390" i="5" s="1"/>
  <c r="W391" i="5" s="1"/>
  <c r="W392" i="5" s="1"/>
  <c r="AE65" i="5"/>
  <c r="M65" i="5" s="1"/>
  <c r="L65" i="5" s="1"/>
  <c r="V404" i="5"/>
  <c r="V405" i="5" s="1"/>
  <c r="V406" i="5" s="1"/>
  <c r="V407" i="5" s="1"/>
  <c r="V408" i="5" s="1"/>
  <c r="AD68" i="5"/>
  <c r="K68" i="5" s="1"/>
  <c r="J68" i="5" s="1"/>
  <c r="U394" i="5"/>
  <c r="U395" i="5" s="1"/>
  <c r="U396" i="5" s="1"/>
  <c r="U397" i="5" s="1"/>
  <c r="AC66" i="5"/>
  <c r="I66" i="5" s="1"/>
  <c r="H66" i="5" s="1"/>
  <c r="T399" i="5"/>
  <c r="T400" i="5" s="1"/>
  <c r="T401" i="5" s="1"/>
  <c r="T402" i="5" s="1"/>
  <c r="T403" i="5" s="1"/>
  <c r="AB67" i="5"/>
  <c r="G67" i="5" s="1"/>
  <c r="F67" i="5" s="1"/>
  <c r="W393" i="5" l="1"/>
  <c r="W394" i="5" s="1"/>
  <c r="W395" i="5" s="1"/>
  <c r="W396" i="5" s="1"/>
  <c r="W397" i="5" s="1"/>
  <c r="AE66" i="5"/>
  <c r="M66" i="5" s="1"/>
  <c r="L66" i="5" s="1"/>
  <c r="V409" i="5"/>
  <c r="U398" i="5"/>
  <c r="T404" i="5"/>
  <c r="AE67" i="5" l="1"/>
  <c r="M67" i="5" s="1"/>
  <c r="L67" i="5" s="1"/>
  <c r="W398" i="5"/>
  <c r="W399" i="5" s="1"/>
  <c r="W400" i="5" s="1"/>
  <c r="W401" i="5" s="1"/>
  <c r="W402" i="5" s="1"/>
  <c r="W403" i="5" s="1"/>
  <c r="V410" i="5"/>
  <c r="V411" i="5" s="1"/>
  <c r="V412" i="5" s="1"/>
  <c r="V413" i="5" s="1"/>
  <c r="V414" i="5" s="1"/>
  <c r="AD69" i="5"/>
  <c r="K69" i="5" s="1"/>
  <c r="J69" i="5" s="1"/>
  <c r="U399" i="5"/>
  <c r="U400" i="5" s="1"/>
  <c r="U401" i="5" s="1"/>
  <c r="U402" i="5" s="1"/>
  <c r="U403" i="5" s="1"/>
  <c r="AC67" i="5"/>
  <c r="I67" i="5" s="1"/>
  <c r="H67" i="5" s="1"/>
  <c r="T405" i="5"/>
  <c r="T406" i="5" s="1"/>
  <c r="T407" i="5" s="1"/>
  <c r="T408" i="5" s="1"/>
  <c r="T409" i="5" s="1"/>
  <c r="AB68" i="5"/>
  <c r="G68" i="5" s="1"/>
  <c r="F68" i="5" s="1"/>
  <c r="AE68" i="5" l="1"/>
  <c r="M68" i="5" s="1"/>
  <c r="L68" i="5" s="1"/>
  <c r="W404" i="5"/>
  <c r="W405" i="5" s="1"/>
  <c r="W406" i="5" s="1"/>
  <c r="W407" i="5" s="1"/>
  <c r="W408" i="5" s="1"/>
  <c r="V415" i="5"/>
  <c r="U404" i="5"/>
  <c r="T410" i="5"/>
  <c r="T411" i="5" s="1"/>
  <c r="T412" i="5" s="1"/>
  <c r="T413" i="5" s="1"/>
  <c r="T414" i="5" s="1"/>
  <c r="AB69" i="5"/>
  <c r="G69" i="5" s="1"/>
  <c r="F69" i="5" s="1"/>
  <c r="W409" i="5" l="1"/>
  <c r="W410" i="5" s="1"/>
  <c r="W411" i="5" s="1"/>
  <c r="W412" i="5" s="1"/>
  <c r="W413" i="5" s="1"/>
  <c r="W414" i="5" s="1"/>
  <c r="W415" i="5" s="1"/>
  <c r="AE69" i="5"/>
  <c r="M69" i="5" s="1"/>
  <c r="L69" i="5" s="1"/>
  <c r="AE70" i="5"/>
  <c r="M70" i="5" s="1"/>
  <c r="L70" i="5" s="1"/>
  <c r="W416" i="5"/>
  <c r="W417" i="5" s="1"/>
  <c r="W418" i="5" s="1"/>
  <c r="W419" i="5" s="1"/>
  <c r="W420" i="5" s="1"/>
  <c r="V416" i="5"/>
  <c r="V417" i="5" s="1"/>
  <c r="V418" i="5" s="1"/>
  <c r="V419" i="5" s="1"/>
  <c r="V420" i="5" s="1"/>
  <c r="AD70" i="5"/>
  <c r="K70" i="5" s="1"/>
  <c r="J70" i="5" s="1"/>
  <c r="U405" i="5"/>
  <c r="U406" i="5" s="1"/>
  <c r="U407" i="5" s="1"/>
  <c r="U408" i="5" s="1"/>
  <c r="U409" i="5" s="1"/>
  <c r="AC68" i="5"/>
  <c r="I68" i="5" s="1"/>
  <c r="H68" i="5" s="1"/>
  <c r="T415" i="5"/>
  <c r="W421" i="5" l="1"/>
  <c r="V421" i="5"/>
  <c r="T416" i="5"/>
  <c r="T417" i="5" s="1"/>
  <c r="T418" i="5" s="1"/>
  <c r="T419" i="5" s="1"/>
  <c r="T420" i="5" s="1"/>
  <c r="AB70" i="5"/>
  <c r="G70" i="5" s="1"/>
  <c r="F70" i="5" s="1"/>
  <c r="U410" i="5"/>
  <c r="U411" i="5" s="1"/>
  <c r="U412" i="5" s="1"/>
  <c r="U413" i="5" s="1"/>
  <c r="U414" i="5" s="1"/>
  <c r="U415" i="5" s="1"/>
  <c r="AC69" i="5"/>
  <c r="I69" i="5" s="1"/>
  <c r="H69" i="5" s="1"/>
  <c r="T421" i="5"/>
  <c r="W429" i="5"/>
  <c r="W430" i="5" s="1"/>
  <c r="W431" i="5" s="1"/>
  <c r="W432" i="5" s="1"/>
  <c r="W433" i="5" s="1"/>
  <c r="W434" i="5" s="1"/>
  <c r="W422" i="5" l="1"/>
  <c r="W423" i="5" s="1"/>
  <c r="W424" i="5" s="1"/>
  <c r="W425" i="5" s="1"/>
  <c r="W426" i="5" s="1"/>
  <c r="W427" i="5" s="1"/>
  <c r="AE71" i="5"/>
  <c r="M71" i="5" s="1"/>
  <c r="L71" i="5" s="1"/>
  <c r="V422" i="5"/>
  <c r="V423" i="5" s="1"/>
  <c r="V424" i="5" s="1"/>
  <c r="V425" i="5" s="1"/>
  <c r="V426" i="5" s="1"/>
  <c r="V427" i="5" s="1"/>
  <c r="AD71" i="5"/>
  <c r="K71" i="5" s="1"/>
  <c r="J71" i="5" s="1"/>
  <c r="V428" i="5"/>
  <c r="T422" i="5"/>
  <c r="T423" i="5" s="1"/>
  <c r="T424" i="5" s="1"/>
  <c r="T425" i="5" s="1"/>
  <c r="T426" i="5" s="1"/>
  <c r="T427" i="5" s="1"/>
  <c r="T428" i="5" s="1"/>
  <c r="AB71" i="5"/>
  <c r="G71" i="5" s="1"/>
  <c r="F71" i="5" s="1"/>
  <c r="U416" i="5"/>
  <c r="U417" i="5" s="1"/>
  <c r="U418" i="5" s="1"/>
  <c r="U419" i="5" s="1"/>
  <c r="U420" i="5" s="1"/>
  <c r="U421" i="5" s="1"/>
  <c r="AC70" i="5"/>
  <c r="I70" i="5" s="1"/>
  <c r="H70" i="5" s="1"/>
  <c r="W435" i="5"/>
  <c r="AE72" i="5" l="1"/>
  <c r="M72" i="5" s="1"/>
  <c r="L72" i="5" s="1"/>
  <c r="W428" i="5"/>
  <c r="V429" i="5"/>
  <c r="V430" i="5" s="1"/>
  <c r="V431" i="5" s="1"/>
  <c r="V432" i="5" s="1"/>
  <c r="V433" i="5" s="1"/>
  <c r="V434" i="5" s="1"/>
  <c r="AD72" i="5"/>
  <c r="K72" i="5" s="1"/>
  <c r="J72" i="5" s="1"/>
  <c r="T429" i="5"/>
  <c r="T430" i="5" s="1"/>
  <c r="T431" i="5" s="1"/>
  <c r="T432" i="5" s="1"/>
  <c r="T433" i="5" s="1"/>
  <c r="T434" i="5" s="1"/>
  <c r="T435" i="5" s="1"/>
  <c r="AB72" i="5"/>
  <c r="G72" i="5" s="1"/>
  <c r="F72" i="5" s="1"/>
  <c r="U422" i="5"/>
  <c r="U423" i="5" s="1"/>
  <c r="U424" i="5" s="1"/>
  <c r="U425" i="5" s="1"/>
  <c r="U426" i="5" s="1"/>
  <c r="U427" i="5" s="1"/>
  <c r="U428" i="5" s="1"/>
  <c r="AC71" i="5"/>
  <c r="I71" i="5" s="1"/>
  <c r="H71" i="5" s="1"/>
  <c r="W436" i="5"/>
  <c r="W437" i="5" s="1"/>
  <c r="W438" i="5" s="1"/>
  <c r="W439" i="5" s="1"/>
  <c r="W440" i="5" s="1"/>
  <c r="W441" i="5" s="1"/>
  <c r="AE73" i="5"/>
  <c r="M73" i="5" l="1"/>
  <c r="L73" i="5" s="1"/>
  <c r="V435" i="5"/>
  <c r="T436" i="5"/>
  <c r="T437" i="5" s="1"/>
  <c r="T438" i="5" s="1"/>
  <c r="T439" i="5" s="1"/>
  <c r="T440" i="5" s="1"/>
  <c r="T441" i="5" s="1"/>
  <c r="AB73" i="5"/>
  <c r="G73" i="5" s="1"/>
  <c r="F73" i="5" s="1"/>
  <c r="AC72" i="5"/>
  <c r="I72" i="5" s="1"/>
  <c r="H72" i="5" s="1"/>
  <c r="U429" i="5"/>
  <c r="U430" i="5" s="1"/>
  <c r="U431" i="5" s="1"/>
  <c r="U432" i="5" s="1"/>
  <c r="U433" i="5" s="1"/>
  <c r="U434" i="5" s="1"/>
  <c r="U435" i="5" s="1"/>
  <c r="W442" i="5"/>
  <c r="V436" i="5" l="1"/>
  <c r="V437" i="5" s="1"/>
  <c r="V438" i="5" s="1"/>
  <c r="V439" i="5" s="1"/>
  <c r="V440" i="5" s="1"/>
  <c r="V441" i="5" s="1"/>
  <c r="AD73" i="5"/>
  <c r="K73" i="5" s="1"/>
  <c r="J73" i="5" s="1"/>
  <c r="T442" i="5"/>
  <c r="U436" i="5"/>
  <c r="U437" i="5" s="1"/>
  <c r="U438" i="5" s="1"/>
  <c r="U439" i="5" s="1"/>
  <c r="U440" i="5" s="1"/>
  <c r="U441" i="5" s="1"/>
  <c r="AC73" i="5"/>
  <c r="I73" i="5" s="1"/>
  <c r="H73" i="5" s="1"/>
  <c r="W443" i="5"/>
  <c r="W444" i="5" s="1"/>
  <c r="W445" i="5" s="1"/>
  <c r="W446" i="5" s="1"/>
  <c r="W447" i="5" s="1"/>
  <c r="W448" i="5" s="1"/>
  <c r="W449" i="5" s="1"/>
  <c r="AE74" i="5"/>
  <c r="M74" i="5" s="1"/>
  <c r="L74" i="5" s="1"/>
  <c r="V442" i="5" l="1"/>
  <c r="T443" i="5"/>
  <c r="T444" i="5" s="1"/>
  <c r="T445" i="5" s="1"/>
  <c r="T446" i="5" s="1"/>
  <c r="T447" i="5" s="1"/>
  <c r="T448" i="5" s="1"/>
  <c r="T449" i="5" s="1"/>
  <c r="AB74" i="5"/>
  <c r="G74" i="5" s="1"/>
  <c r="F74" i="5" s="1"/>
  <c r="U442" i="5"/>
  <c r="U443" i="5" s="1"/>
  <c r="U444" i="5" s="1"/>
  <c r="U445" i="5" s="1"/>
  <c r="U446" i="5" s="1"/>
  <c r="U447" i="5" s="1"/>
  <c r="U448" i="5" s="1"/>
  <c r="U449" i="5" s="1"/>
  <c r="AC74" i="5"/>
  <c r="I74" i="5" s="1"/>
  <c r="H74" i="5" s="1"/>
  <c r="W450" i="5"/>
  <c r="V443" i="5" l="1"/>
  <c r="V444" i="5" s="1"/>
  <c r="V445" i="5" s="1"/>
  <c r="V446" i="5" s="1"/>
  <c r="V447" i="5" s="1"/>
  <c r="V448" i="5" s="1"/>
  <c r="V449" i="5" s="1"/>
  <c r="AD74" i="5"/>
  <c r="K74" i="5" s="1"/>
  <c r="J74" i="5" s="1"/>
  <c r="V450" i="5"/>
  <c r="T450" i="5"/>
  <c r="T451" i="5" s="1"/>
  <c r="T452" i="5" s="1"/>
  <c r="T453" i="5" s="1"/>
  <c r="T454" i="5" s="1"/>
  <c r="T455" i="5" s="1"/>
  <c r="T456" i="5" s="1"/>
  <c r="T457" i="5" s="1"/>
  <c r="T458" i="5" s="1"/>
  <c r="T459" i="5" s="1"/>
  <c r="AB75" i="5"/>
  <c r="G75" i="5" s="1"/>
  <c r="F75" i="5" s="1"/>
  <c r="W451" i="5"/>
  <c r="W452" i="5" s="1"/>
  <c r="W453" i="5" s="1"/>
  <c r="W454" i="5" s="1"/>
  <c r="W455" i="5" s="1"/>
  <c r="W456" i="5" s="1"/>
  <c r="W457" i="5" s="1"/>
  <c r="W458" i="5" s="1"/>
  <c r="AE75" i="5"/>
  <c r="M75" i="5" s="1"/>
  <c r="L75" i="5" s="1"/>
  <c r="U450" i="5"/>
  <c r="V451" i="5" l="1"/>
  <c r="V452" i="5" s="1"/>
  <c r="V453" i="5" s="1"/>
  <c r="V454" i="5" s="1"/>
  <c r="V455" i="5" s="1"/>
  <c r="V456" i="5" s="1"/>
  <c r="V457" i="5" s="1"/>
  <c r="V458" i="5" s="1"/>
  <c r="AD75" i="5"/>
  <c r="K75" i="5" s="1"/>
  <c r="J75" i="5" s="1"/>
  <c r="W459" i="5"/>
  <c r="U451" i="5"/>
  <c r="U452" i="5" s="1"/>
  <c r="U453" i="5" s="1"/>
  <c r="U454" i="5" s="1"/>
  <c r="U455" i="5" s="1"/>
  <c r="U456" i="5" s="1"/>
  <c r="U457" i="5" s="1"/>
  <c r="U458" i="5" s="1"/>
  <c r="AC75" i="5"/>
  <c r="I75" i="5" s="1"/>
  <c r="H75" i="5" s="1"/>
  <c r="T460" i="5"/>
  <c r="T461" i="5" s="1"/>
  <c r="T462" i="5" s="1"/>
  <c r="T463" i="5" s="1"/>
  <c r="T464" i="5" s="1"/>
  <c r="T465" i="5" s="1"/>
  <c r="T466" i="5" s="1"/>
  <c r="T467" i="5" s="1"/>
  <c r="T468" i="5" s="1"/>
  <c r="AB76" i="5"/>
  <c r="G76" i="5" s="1"/>
  <c r="F76" i="5" s="1"/>
  <c r="V459" i="5" l="1"/>
  <c r="V460" i="5" s="1"/>
  <c r="V461" i="5" s="1"/>
  <c r="V462" i="5" s="1"/>
  <c r="V463" i="5" s="1"/>
  <c r="V464" i="5" s="1"/>
  <c r="V465" i="5" s="1"/>
  <c r="V466" i="5" s="1"/>
  <c r="V467" i="5" s="1"/>
  <c r="V468" i="5" s="1"/>
  <c r="AD76" i="5"/>
  <c r="K76" i="5" s="1"/>
  <c r="J76" i="5" s="1"/>
  <c r="W460" i="5"/>
  <c r="W461" i="5" s="1"/>
  <c r="W462" i="5" s="1"/>
  <c r="W463" i="5" s="1"/>
  <c r="W464" i="5" s="1"/>
  <c r="W465" i="5" s="1"/>
  <c r="W466" i="5" s="1"/>
  <c r="W467" i="5" s="1"/>
  <c r="W468" i="5" s="1"/>
  <c r="AE76" i="5"/>
  <c r="M76" i="5" s="1"/>
  <c r="L76" i="5" s="1"/>
  <c r="U459" i="5"/>
  <c r="T469" i="5"/>
  <c r="W469" i="5" l="1"/>
  <c r="W470" i="5" s="1"/>
  <c r="W471" i="5" s="1"/>
  <c r="W472" i="5" s="1"/>
  <c r="W473" i="5" s="1"/>
  <c r="W474" i="5" s="1"/>
  <c r="W475" i="5" s="1"/>
  <c r="W476" i="5" s="1"/>
  <c r="W477" i="5" s="1"/>
  <c r="W478" i="5" s="1"/>
  <c r="W479" i="5" s="1"/>
  <c r="W480" i="5" s="1"/>
  <c r="W481" i="5" s="1"/>
  <c r="AE77" i="5"/>
  <c r="M77" i="5" s="1"/>
  <c r="L77" i="5" s="1"/>
  <c r="V469" i="5"/>
  <c r="U460" i="5"/>
  <c r="U461" i="5" s="1"/>
  <c r="U462" i="5" s="1"/>
  <c r="U463" i="5" s="1"/>
  <c r="U464" i="5" s="1"/>
  <c r="U465" i="5" s="1"/>
  <c r="U466" i="5" s="1"/>
  <c r="U467" i="5" s="1"/>
  <c r="U468" i="5" s="1"/>
  <c r="U469" i="5" s="1"/>
  <c r="AC76" i="5"/>
  <c r="I76" i="5" s="1"/>
  <c r="H76" i="5" s="1"/>
  <c r="T470" i="5"/>
  <c r="T471" i="5" s="1"/>
  <c r="T472" i="5" s="1"/>
  <c r="T473" i="5" s="1"/>
  <c r="T474" i="5" s="1"/>
  <c r="T475" i="5" s="1"/>
  <c r="T476" i="5" s="1"/>
  <c r="T477" i="5" s="1"/>
  <c r="T478" i="5" s="1"/>
  <c r="T479" i="5" s="1"/>
  <c r="T480" i="5" s="1"/>
  <c r="AB77" i="5"/>
  <c r="G77" i="5" s="1"/>
  <c r="V470" i="5" l="1"/>
  <c r="V471" i="5" s="1"/>
  <c r="V472" i="5" s="1"/>
  <c r="V473" i="5" s="1"/>
  <c r="V474" i="5" s="1"/>
  <c r="V475" i="5" s="1"/>
  <c r="V476" i="5" s="1"/>
  <c r="V477" i="5" s="1"/>
  <c r="V478" i="5" s="1"/>
  <c r="V479" i="5" s="1"/>
  <c r="V480" i="5" s="1"/>
  <c r="AD77" i="5"/>
  <c r="K77" i="5" s="1"/>
  <c r="W482" i="5"/>
  <c r="W483" i="5" s="1"/>
  <c r="W484" i="5" s="1"/>
  <c r="W485" i="5" s="1"/>
  <c r="W486" i="5" s="1"/>
  <c r="W487" i="5" s="1"/>
  <c r="W488" i="5" s="1"/>
  <c r="W489" i="5" s="1"/>
  <c r="W490" i="5" s="1"/>
  <c r="W491" i="5" s="1"/>
  <c r="W492" i="5" s="1"/>
  <c r="W493" i="5" s="1"/>
  <c r="W494" i="5" s="1"/>
  <c r="W495" i="5" s="1"/>
  <c r="W496" i="5" s="1"/>
  <c r="AE78" i="5"/>
  <c r="M78" i="5" s="1"/>
  <c r="L78" i="5" s="1"/>
  <c r="U470" i="5"/>
  <c r="U471" i="5" s="1"/>
  <c r="U472" i="5" s="1"/>
  <c r="U473" i="5" s="1"/>
  <c r="U474" i="5" s="1"/>
  <c r="U475" i="5" s="1"/>
  <c r="U476" i="5" s="1"/>
  <c r="U477" i="5" s="1"/>
  <c r="U478" i="5" s="1"/>
  <c r="U479" i="5" s="1"/>
  <c r="U480" i="5" s="1"/>
  <c r="AC77" i="5"/>
  <c r="I77" i="5" s="1"/>
  <c r="T481" i="5"/>
  <c r="F77" i="5"/>
  <c r="V481" i="5" l="1"/>
  <c r="J77" i="5"/>
  <c r="W497" i="5"/>
  <c r="W498" i="5" s="1"/>
  <c r="W499" i="5" s="1"/>
  <c r="W500" i="5" s="1"/>
  <c r="W501" i="5" s="1"/>
  <c r="W502" i="5" s="1"/>
  <c r="W503" i="5" s="1"/>
  <c r="W504" i="5" s="1"/>
  <c r="W505" i="5" s="1"/>
  <c r="W506" i="5" s="1"/>
  <c r="W507" i="5" s="1"/>
  <c r="W508" i="5" s="1"/>
  <c r="W509" i="5" s="1"/>
  <c r="W510" i="5" s="1"/>
  <c r="W511" i="5" s="1"/>
  <c r="W512" i="5" s="1"/>
  <c r="W513" i="5" s="1"/>
  <c r="W514" i="5" s="1"/>
  <c r="W515" i="5" s="1"/>
  <c r="W516" i="5" s="1"/>
  <c r="W517" i="5" s="1"/>
  <c r="W518" i="5" s="1"/>
  <c r="W519" i="5" s="1"/>
  <c r="W520" i="5" s="1"/>
  <c r="W521" i="5" s="1"/>
  <c r="W522" i="5" s="1"/>
  <c r="W523" i="5" s="1"/>
  <c r="W524" i="5" s="1"/>
  <c r="W525" i="5" s="1"/>
  <c r="W526" i="5" s="1"/>
  <c r="W527" i="5" s="1"/>
  <c r="W528" i="5" s="1"/>
  <c r="AE80" i="5" s="1"/>
  <c r="M80" i="5" s="1"/>
  <c r="AE79" i="5"/>
  <c r="M79" i="5" s="1"/>
  <c r="L79" i="5" s="1"/>
  <c r="U481" i="5"/>
  <c r="H77" i="5"/>
  <c r="T482" i="5"/>
  <c r="T483" i="5" s="1"/>
  <c r="T484" i="5" s="1"/>
  <c r="T485" i="5" s="1"/>
  <c r="T486" i="5" s="1"/>
  <c r="T487" i="5" s="1"/>
  <c r="T488" i="5" s="1"/>
  <c r="T489" i="5" s="1"/>
  <c r="T490" i="5" s="1"/>
  <c r="T491" i="5" s="1"/>
  <c r="T492" i="5" s="1"/>
  <c r="T493" i="5" s="1"/>
  <c r="T494" i="5" s="1"/>
  <c r="T495" i="5" s="1"/>
  <c r="AB78" i="5"/>
  <c r="G78" i="5" s="1"/>
  <c r="V482" i="5" l="1"/>
  <c r="V483" i="5" s="1"/>
  <c r="V484" i="5" s="1"/>
  <c r="V485" i="5" s="1"/>
  <c r="V486" i="5" s="1"/>
  <c r="V487" i="5" s="1"/>
  <c r="V488" i="5" s="1"/>
  <c r="V489" i="5" s="1"/>
  <c r="V490" i="5" s="1"/>
  <c r="V491" i="5" s="1"/>
  <c r="V492" i="5" s="1"/>
  <c r="V493" i="5" s="1"/>
  <c r="V494" i="5" s="1"/>
  <c r="V495" i="5" s="1"/>
  <c r="V496" i="5" s="1"/>
  <c r="AD78" i="5"/>
  <c r="K78" i="5" s="1"/>
  <c r="J78" i="5" s="1"/>
  <c r="L80" i="5"/>
  <c r="M82" i="5"/>
  <c r="U482" i="5"/>
  <c r="U483" i="5" s="1"/>
  <c r="U484" i="5" s="1"/>
  <c r="U485" i="5" s="1"/>
  <c r="U486" i="5" s="1"/>
  <c r="U487" i="5" s="1"/>
  <c r="U488" i="5" s="1"/>
  <c r="U489" i="5" s="1"/>
  <c r="U490" i="5" s="1"/>
  <c r="U491" i="5" s="1"/>
  <c r="U492" i="5" s="1"/>
  <c r="U493" i="5" s="1"/>
  <c r="U494" i="5" s="1"/>
  <c r="U495" i="5" s="1"/>
  <c r="AC78" i="5"/>
  <c r="I78" i="5" s="1"/>
  <c r="T496" i="5"/>
  <c r="F78" i="5"/>
  <c r="V497" i="5" l="1"/>
  <c r="V498" i="5" s="1"/>
  <c r="V499" i="5" s="1"/>
  <c r="V500" i="5" s="1"/>
  <c r="V501" i="5" s="1"/>
  <c r="V502" i="5" s="1"/>
  <c r="V503" i="5" s="1"/>
  <c r="V504" i="5" s="1"/>
  <c r="V505" i="5" s="1"/>
  <c r="V506" i="5" s="1"/>
  <c r="V507" i="5" s="1"/>
  <c r="V508" i="5" s="1"/>
  <c r="V509" i="5" s="1"/>
  <c r="V510" i="5" s="1"/>
  <c r="V511" i="5" s="1"/>
  <c r="V512" i="5" s="1"/>
  <c r="V513" i="5" s="1"/>
  <c r="V514" i="5" s="1"/>
  <c r="V515" i="5" s="1"/>
  <c r="V516" i="5" s="1"/>
  <c r="V517" i="5" s="1"/>
  <c r="V518" i="5" s="1"/>
  <c r="V519" i="5" s="1"/>
  <c r="V520" i="5" s="1"/>
  <c r="V521" i="5" s="1"/>
  <c r="V522" i="5" s="1"/>
  <c r="V523" i="5" s="1"/>
  <c r="V524" i="5" s="1"/>
  <c r="V525" i="5" s="1"/>
  <c r="V526" i="5" s="1"/>
  <c r="V527" i="5" s="1"/>
  <c r="V528" i="5" s="1"/>
  <c r="AD80" i="5" s="1"/>
  <c r="AD79" i="5"/>
  <c r="F9" i="8"/>
  <c r="F17" i="8" s="1"/>
  <c r="L82" i="5"/>
  <c r="U496" i="5"/>
  <c r="H78" i="5"/>
  <c r="T497" i="5"/>
  <c r="T498" i="5" s="1"/>
  <c r="T499" i="5" s="1"/>
  <c r="T500" i="5" s="1"/>
  <c r="T501" i="5" s="1"/>
  <c r="T502" i="5" s="1"/>
  <c r="T503" i="5" s="1"/>
  <c r="T504" i="5" s="1"/>
  <c r="T505" i="5" s="1"/>
  <c r="T506" i="5" s="1"/>
  <c r="T507" i="5" s="1"/>
  <c r="T508" i="5" s="1"/>
  <c r="T509" i="5" s="1"/>
  <c r="T510" i="5" s="1"/>
  <c r="T511" i="5" s="1"/>
  <c r="T512" i="5" s="1"/>
  <c r="T513" i="5" s="1"/>
  <c r="T514" i="5" s="1"/>
  <c r="T515" i="5" s="1"/>
  <c r="T516" i="5" s="1"/>
  <c r="T517" i="5" s="1"/>
  <c r="T518" i="5" s="1"/>
  <c r="T519" i="5" s="1"/>
  <c r="T520" i="5" s="1"/>
  <c r="T521" i="5" s="1"/>
  <c r="T522" i="5" s="1"/>
  <c r="T523" i="5" s="1"/>
  <c r="T524" i="5" s="1"/>
  <c r="T525" i="5" s="1"/>
  <c r="T526" i="5" s="1"/>
  <c r="T527" i="5" s="1"/>
  <c r="AB79" i="5"/>
  <c r="G79" i="5" s="1"/>
  <c r="K80" i="5" l="1"/>
  <c r="J80" i="5" s="1"/>
  <c r="K79" i="5"/>
  <c r="U497" i="5"/>
  <c r="U498" i="5" s="1"/>
  <c r="U499" i="5" s="1"/>
  <c r="U500" i="5" s="1"/>
  <c r="U501" i="5" s="1"/>
  <c r="U502" i="5" s="1"/>
  <c r="U503" i="5" s="1"/>
  <c r="U504" i="5" s="1"/>
  <c r="U505" i="5" s="1"/>
  <c r="U506" i="5" s="1"/>
  <c r="U507" i="5" s="1"/>
  <c r="U508" i="5" s="1"/>
  <c r="U509" i="5" s="1"/>
  <c r="U510" i="5" s="1"/>
  <c r="U511" i="5" s="1"/>
  <c r="U512" i="5" s="1"/>
  <c r="U513" i="5" s="1"/>
  <c r="U514" i="5" s="1"/>
  <c r="U515" i="5" s="1"/>
  <c r="U516" i="5" s="1"/>
  <c r="U517" i="5" s="1"/>
  <c r="U518" i="5" s="1"/>
  <c r="U519" i="5" s="1"/>
  <c r="U520" i="5" s="1"/>
  <c r="U521" i="5" s="1"/>
  <c r="U522" i="5" s="1"/>
  <c r="U523" i="5" s="1"/>
  <c r="U524" i="5" s="1"/>
  <c r="U525" i="5" s="1"/>
  <c r="U526" i="5" s="1"/>
  <c r="U527" i="5" s="1"/>
  <c r="U528" i="5" s="1"/>
  <c r="AC80" i="5" s="1"/>
  <c r="I80" i="5" s="1"/>
  <c r="AC79" i="5"/>
  <c r="I79" i="5" s="1"/>
  <c r="H79" i="5" s="1"/>
  <c r="T528" i="5"/>
  <c r="AB80" i="5"/>
  <c r="G80" i="5" s="1"/>
  <c r="F79" i="5"/>
  <c r="J79" i="5" l="1"/>
  <c r="K82" i="5"/>
  <c r="I82" i="5"/>
  <c r="H80" i="5"/>
  <c r="F80" i="5"/>
  <c r="G82" i="5"/>
  <c r="E9" i="8" l="1"/>
  <c r="E17" i="8" s="1"/>
  <c r="J82" i="5"/>
  <c r="D9" i="8"/>
  <c r="D17" i="8" s="1"/>
  <c r="H82" i="5"/>
  <c r="F82" i="5"/>
  <c r="C9" i="8"/>
  <c r="C17" i="8" l="1"/>
  <c r="I9" i="8"/>
</calcChain>
</file>

<file path=xl/sharedStrings.xml><?xml version="1.0" encoding="utf-8"?>
<sst xmlns="http://schemas.openxmlformats.org/spreadsheetml/2006/main" count="280" uniqueCount="183">
  <si>
    <t>Sensor 78 | traffic inputs</t>
  </si>
  <si>
    <t>Yellow cells are inputs. Prepared average weekday from 16 complete January 2016 weekdays; fixed 14:45–19:30 window. Counts are assumed per represented lane.</t>
  </si>
  <si>
    <t>Traffic input</t>
  </si>
  <si>
    <t>Value</t>
  </si>
  <si>
    <t>Unit</t>
  </si>
  <si>
    <t>Meaning</t>
  </si>
  <si>
    <t>Detector</t>
  </si>
  <si>
    <t>ID</t>
  </si>
  <si>
    <t>Worked example; AZ I-10 westbound detector 78.</t>
  </si>
  <si>
    <t>Link length L</t>
  </si>
  <si>
    <t>mi</t>
  </si>
  <si>
    <t>Upstream detector spacing.</t>
  </si>
  <si>
    <t>Capacity C</t>
  </si>
  <si>
    <t>veh/h/lane</t>
  </si>
  <si>
    <t>Retained detector calibration.</t>
  </si>
  <si>
    <t>Free-flow speed vf</t>
  </si>
  <si>
    <t>mph</t>
  </si>
  <si>
    <t>Jam density kj</t>
  </si>
  <si>
    <t>veh/mi/lane</t>
  </si>
  <si>
    <t>Fixed traffic assumption.</t>
  </si>
  <si>
    <t>Duration coefficient fd</t>
  </si>
  <si>
    <t>h^(1-n)</t>
  </si>
  <si>
    <t>PM corridor-direction calibration.</t>
  </si>
  <si>
    <t>Duration exponent n</t>
  </si>
  <si>
    <t>dimensionless</t>
  </si>
  <si>
    <t>Delay coefficient fp</t>
  </si>
  <si>
    <t>h^(-s)</t>
  </si>
  <si>
    <t>Delay exponent s</t>
  </si>
  <si>
    <t>Mean / peak delay θ</t>
  </si>
  <si>
    <t>Mean delay divided by peak delay.</t>
  </si>
  <si>
    <t>Time step</t>
  </si>
  <si>
    <t>min</t>
  </si>
  <si>
    <t>Fixed input time step.</t>
  </si>
  <si>
    <t>Start hour (fixed)</t>
  </si>
  <si>
    <t>h</t>
  </si>
  <si>
    <t>Fixed selected episode start, inclusive.</t>
  </si>
  <si>
    <t>End hour (fixed)</t>
  </si>
  <si>
    <t>Fixed selected episode end, exclusive.</t>
  </si>
  <si>
    <t>Count multiplier</t>
  </si>
  <si>
    <t>Input counts assumed per represented lane; do not divide by five.</t>
  </si>
  <si>
    <t>Cubic minimum speed</t>
  </si>
  <si>
    <t>Lower fitted cubic-rate limit.</t>
  </si>
  <si>
    <t>Cubic maximum speed</t>
  </si>
  <si>
    <t>Upper fitted cubic-rate limit.</t>
  </si>
  <si>
    <t>Inputs are already averaged; changing them recalculates emissions but does not redetect episode boundaries or refit traffic parameters. All traffic is evaluated with the supplied passenger-car rates. No external files are needed.</t>
  </si>
  <si>
    <t>Clock time</t>
  </si>
  <si>
    <t>Count / 5 min</t>
  </si>
  <si>
    <t>Speed (mph)</t>
  </si>
  <si>
    <t>Numerical integration inputs below: fixed 384-node Gauss–Legendre rule on [0,1]. These are calculation settings, not additional detector observations.</t>
  </si>
  <si>
    <t>Node</t>
  </si>
  <si>
    <t>Position u</t>
  </si>
  <si>
    <t>Weight</t>
  </si>
  <si>
    <t>Emission inputs | positive-speed lookup</t>
  </si>
  <si>
    <t>Passenger-car, zero-acceleration, level-road rates, already averaged over the original vehicle-age mixture. Select the last lower-speed boundary not exceeding the speed; no interpolation.</t>
  </si>
  <si>
    <t>Lower speed (mph)</t>
  </si>
  <si>
    <t>Upper speed (mph)</t>
  </si>
  <si>
    <t>VSP at lower speed (kW/t)</t>
  </si>
  <si>
    <t>CO₂ rate (g/veh·h)</t>
  </si>
  <si>
    <t>NOₓ rate (g/veh·h)</t>
  </si>
  <si>
    <t>CO rate (g/veh·h)</t>
  </si>
  <si>
    <t>HC rate (g/veh·h)</t>
  </si>
  <si>
    <t>∞</t>
  </si>
  <si>
    <t>First band: 0 &lt; speed &lt; 25 mph. Other lower bounds are inclusive; upper bounds are exclusive. Zero speed is not supported by this moving-vehicle table. Editing these rates updates O/S/R/M; A uses its separately supplied cubic coefficients.</t>
  </si>
  <si>
    <t>O | recorded five-minute speeds</t>
  </si>
  <si>
    <t>Five-minute emissions are full-link emissions assigned to vehicles counted in that interval, not exhaust physically released during those five minutes. Effective rate = bin emissions / bin vehicle-hours.</t>
  </si>
  <si>
    <t>Per bin: trip time = L / recorded speed; vehicle-hours = count × trip time; emissions = vehicle-hours × lookup rate. This is the modeled comparison reference, not measured exhaust.</t>
  </si>
  <si>
    <t>The prepared input speeds use count-weighted harmonic averaging across the 16 retained weekdays. The supplied spreadsheet’s separate travel-time field is not used; travel time is calculated from link length and speed.</t>
  </si>
  <si>
    <t>Mean trip time (min)</t>
  </si>
  <si>
    <t>Effective speed (mph)</t>
  </si>
  <si>
    <t>Vehicle-hours</t>
  </si>
  <si>
    <t>CO₂ effective rate (g/veh·h)</t>
  </si>
  <si>
    <t>CO₂ / 5 min (g)</t>
  </si>
  <si>
    <t>NOₓ effective rate</t>
  </si>
  <si>
    <t>NOₓ / 5 min (g)</t>
  </si>
  <si>
    <t>CO effective rate</t>
  </si>
  <si>
    <t>CO / 5 min (g)</t>
  </si>
  <si>
    <t>HC effective rate</t>
  </si>
  <si>
    <t>HC / 5 min (g)</t>
  </si>
  <si>
    <t>Total / mean</t>
  </si>
  <si>
    <t>S | observed mean speed</t>
  </si>
  <si>
    <t>Mean speed</t>
  </si>
  <si>
    <t>Mean speed = total vehicle-distance / observed vehicle-hours. Every group uses that same trip speed. This method inherits the recorded reference’s total travel time; it is not an independent delay prediction.</t>
  </si>
  <si>
    <t>R | reconstructed trip speeds</t>
  </si>
  <si>
    <t>Count D</t>
  </si>
  <si>
    <t>P̂ = max(fd × (D/C)^n, D/C). Peak delay = Tf × fp × P̂^s. Mean delay = θ × peak delay. The curve shape reproduces the calibrated mean-to-peak ratio.</t>
  </si>
  <si>
    <t>D/C (h)</t>
  </si>
  <si>
    <t>Duration P̂ (h)</t>
  </si>
  <si>
    <t>Free time Tf (h)</t>
  </si>
  <si>
    <t>Peak delay (h)</t>
  </si>
  <si>
    <t>Mean delay (h)</t>
  </si>
  <si>
    <t>A count-preserving alignment places reconstructed vehicle groups into the observed five-minute count bins. It preserves all episode totals. R, M and A therefore have the same effective speed profile.</t>
  </si>
  <si>
    <t>Discharge μ (veh/h)</t>
  </si>
  <si>
    <t>Wave speed ω (mph)</t>
  </si>
  <si>
    <t>Queue speed vq (mph)</t>
  </si>
  <si>
    <t>Shape exponent a</t>
  </si>
  <si>
    <t>Flat exponent b</t>
  </si>
  <si>
    <t>Helper columns X:AE hold cumulative interpolation. The 50-step shape solution and 384-node integration are below the main table. Fixed numerical settings: 2/3 shape threshold, bracket [1,10000], 50 iterations, 1e−10 h tolerance.</t>
  </si>
  <si>
    <t>Mean trip speed</t>
  </si>
  <si>
    <t>Validity</t>
  </si>
  <si>
    <t>Cumulative count</t>
  </si>
  <si>
    <t>Lower index</t>
  </si>
  <si>
    <t>Fraction</t>
  </si>
  <si>
    <t>Cumulative VHT</t>
  </si>
  <si>
    <t>Cumulative CO₂</t>
  </si>
  <si>
    <t>Cumulative NOₓ</t>
  </si>
  <si>
    <t>Cumulative CO</t>
  </si>
  <si>
    <t>Cumulative HC</t>
  </si>
  <si>
    <t>Iteration</t>
  </si>
  <si>
    <t>Lower a</t>
  </si>
  <si>
    <t>Upper a</t>
  </si>
  <si>
    <t>Midpoint a</t>
  </si>
  <si>
    <t>Mean shape</t>
  </si>
  <si>
    <t>GL weight</t>
  </si>
  <si>
    <t>Delay shape h</t>
  </si>
  <si>
    <t>Derivative h′</t>
  </si>
  <si>
    <t>Vehicle count</t>
  </si>
  <si>
    <t>Trip time (h)</t>
  </si>
  <si>
    <t>Trip speed (mph)</t>
  </si>
  <si>
    <t>Rate row</t>
  </si>
  <si>
    <t>CO₂ rate</t>
  </si>
  <si>
    <t>NOₓ rate</t>
  </si>
  <si>
    <t>CO rate</t>
  </si>
  <si>
    <t>HC rate</t>
  </si>
  <si>
    <t>CO₂ (g)</t>
  </si>
  <si>
    <t>NOₓ (g)</t>
  </si>
  <si>
    <t>CO (g)</t>
  </si>
  <si>
    <t>HC (g)</t>
  </si>
  <si>
    <t>M | two speeds with lookup emission rates</t>
  </si>
  <si>
    <t>Free and queue times are per-vehicle bin averages. Free + queue emissions = assigned bin emissions. R/M/A share total travel time. All rates are g/(veh·h); all emission totals below are grams.</t>
  </si>
  <si>
    <t>Pollutant</t>
  </si>
  <si>
    <t>Free-flow rate</t>
  </si>
  <si>
    <t>Queue rate</t>
  </si>
  <si>
    <t>CO₂</t>
  </si>
  <si>
    <t>NOₓ</t>
  </si>
  <si>
    <t>CO</t>
  </si>
  <si>
    <t>HC</t>
  </si>
  <si>
    <t>Time allocation: Tq = vf × delay / (vf − vq); Tfree = L/vf − vq × delay / (vf − vq). At each bin, delay = reconstructed mean trip time − L/vf.</t>
  </si>
  <si>
    <t>Emissions: Ef = count × Tfree × r(vf); Eq = count × Tq × r(vq). Effective rate = (Ef + Eq) / vehicle-hours. Times are shown in minutes and converted to hours in the formulas.</t>
  </si>
  <si>
    <t>Free time (min)</t>
  </si>
  <si>
    <t>Queue time (min)</t>
  </si>
  <si>
    <t>CO₂ free (g)</t>
  </si>
  <si>
    <t>CO₂ queue (g)</t>
  </si>
  <si>
    <t>CO₂ eff. rate</t>
  </si>
  <si>
    <t>NOₓ free (g)</t>
  </si>
  <si>
    <t>NOₓ queue (g)</t>
  </si>
  <si>
    <t>NOₓ eff. rate</t>
  </si>
  <si>
    <t>CO free (g)</t>
  </si>
  <si>
    <t>CO queue (g)</t>
  </si>
  <si>
    <t>CO eff. rate</t>
  </si>
  <si>
    <t>HC free (g)</t>
  </si>
  <si>
    <t>HC queue (g)</t>
  </si>
  <si>
    <t>HC eff. rate</t>
  </si>
  <si>
    <t>A | two speeds with cubic emission rates</t>
  </si>
  <si>
    <t>c0</t>
  </si>
  <si>
    <t>c1</t>
  </si>
  <si>
    <t>c2</t>
  </si>
  <si>
    <t>c3</t>
  </si>
  <si>
    <t>CO2</t>
  </si>
  <si>
    <t>NOx</t>
  </si>
  <si>
    <t>Calibrated inputs: r(v) = c0 + c1 v + c2 v² + c3 v³, fitted over 5–75 mph. Coefficients are editable and are not automatically refitted when the lookup-rate sheet changes. Refit them externally if replacing the rate scenario.</t>
  </si>
  <si>
    <t>Sensor 78 | results in one place</t>
  </si>
  <si>
    <t>Same 57 count bins and fixed episode for every method. Totals refer to the supplied January worked example; they are not the 137-episode paper results. All values below recalculate from the method sheets.</t>
  </si>
  <si>
    <t>Method</t>
  </si>
  <si>
    <t>Mean speed (mph)</t>
  </si>
  <si>
    <t>CO₂ (kg)</t>
  </si>
  <si>
    <t>O · recorded bins</t>
  </si>
  <si>
    <t>S · mean speed</t>
  </si>
  <si>
    <t>R · reconstruction</t>
  </si>
  <si>
    <t>M · two-speed lookup</t>
  </si>
  <si>
    <t>A · two-speed cubic</t>
  </si>
  <si>
    <t>Signed error vs O</t>
  </si>
  <si>
    <t>VHT error</t>
  </si>
  <si>
    <t>CO₂ error</t>
  </si>
  <si>
    <t>NOₓ error</t>
  </si>
  <si>
    <t>CO error</t>
  </si>
  <si>
    <t>HC error</t>
  </si>
  <si>
    <t>For this single episode, the absolute percentage error is the magnitude of the signed error. Pooled WAPE requires summing absolute episode errors across the full sample. O is a detector-based modeled reference; none of these totals is measured exhaust.</t>
  </si>
  <si>
    <t>Fitted traffic validity</t>
  </si>
  <si>
    <t>M/R vehicle-hours difference</t>
  </si>
  <si>
    <t>A/R vehicle-hours difference</t>
  </si>
  <si>
    <t>R integrated count difference</t>
  </si>
  <si>
    <t>Sources: user-supplied QVDF_Source_Definitions_Audit.xlsx, Raw5min detector 78; 16 complete January weekdays prepared upstream. Traffic parameters: retained AZ I-10 westbound PM corridor calibration (38 source episodes). Passenger-car lookup rates and cubic coefficients are embedded. The fixed window and per-lane count assumption are unchanged from the PDF.</t>
  </si>
  <si>
    <t>Reading the curves: effective speed = count × length / vehicle-hours. Effective emission rate = emissions / vehicle-hours. The R rate averages reconstructed cohort contributions; it is not a new lookup at the plotted bin-average speed.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</si>
</sst>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hh:mm"/>
    <numFmt numFmtId="166" formatCode="0.0000000000"/>
    <numFmt numFmtId="167" formatCode="0.000000"/>
    <numFmt numFmtId="168" formatCode="0.00000000"/>
    <numFmt numFmtId="169" formatCode="#,##0.000"/>
  </numFmts>
  <fonts count="6">
    <font>
      <sz val="11"/>
      <name val="Carlito"/>
    </font>
    <font>
      <sz val="10"/>
      <color rgb="FF243B53"/>
      <name val="Arial"/>
    </font>
    <font>
      <sz val="17"/>
      <color rgb="FF243B53"/>
      <name val="Arial"/>
    </font>
    <font>
      <b/>
      <sz val="10"/>
      <color rgb="FFFFFFFF"/>
      <name val="Arial"/>
    </font>
    <font>
      <sz val="10"/>
      <color rgb="FF1F5594"/>
      <name val="Arial"/>
    </font>
    <font>
      <b/>
      <sz val="10"/>
      <color rgb="FF17324D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3D6"/>
      </patternFill>
    </fill>
    <fill>
      <patternFill patternType="solid">
        <fgColor rgb="FFE9F2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C"/>
      </bottom>
      <diagonal/>
    </border>
    <border>
      <left/>
      <right/>
      <top style="thin">
        <color rgb="FFDDE5EC"/>
      </top>
      <bottom style="thin">
        <color rgb="FFDDE5EC"/>
      </bottom>
      <diagonal/>
    </border>
    <border>
      <left/>
      <right/>
      <top style="thin">
        <color rgb="FFDDE5EC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4" fontId="3" fillId="2" borderId="0" xfId="0" applyNumberFormat="1" applyFont="1" applyFill="1" applyAlignment="1">
      <alignment wrapText="1"/>
    </xf>
    <xf numFmtId="164" fontId="4" fillId="3" borderId="0" xfId="0" applyNumberFormat="1" applyFont="1" applyFill="1"/>
    <xf numFmtId="1" fontId="4" fillId="3" borderId="0" xfId="0" applyNumberFormat="1" applyFont="1" applyFill="1"/>
    <xf numFmtId="164" fontId="4" fillId="3" borderId="1" xfId="0" applyNumberFormat="1" applyFont="1" applyFill="1" applyBorder="1"/>
    <xf numFmtId="164" fontId="4" fillId="3" borderId="2" xfId="0" applyNumberFormat="1" applyFont="1" applyFill="1" applyBorder="1"/>
    <xf numFmtId="164" fontId="4" fillId="3" borderId="3" xfId="0" applyNumberFormat="1" applyFont="1" applyFill="1" applyBorder="1"/>
    <xf numFmtId="165" fontId="4" fillId="3" borderId="1" xfId="0" applyNumberFormat="1" applyFont="1" applyFill="1" applyBorder="1"/>
    <xf numFmtId="165" fontId="4" fillId="3" borderId="2" xfId="0" applyNumberFormat="1" applyFont="1" applyFill="1" applyBorder="1"/>
    <xf numFmtId="165" fontId="4" fillId="3" borderId="3" xfId="0" applyNumberFormat="1" applyFont="1" applyFill="1" applyBorder="1"/>
    <xf numFmtId="166" fontId="1" fillId="0" borderId="0" xfId="0" applyNumberFormat="1" applyFont="1"/>
    <xf numFmtId="167" fontId="4" fillId="3" borderId="0" xfId="0" applyNumberFormat="1" applyFont="1" applyFill="1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5" fontId="1" fillId="0" borderId="1" xfId="0" applyNumberFormat="1" applyFont="1" applyBorder="1"/>
    <xf numFmtId="165" fontId="1" fillId="0" borderId="2" xfId="0" applyNumberFormat="1" applyFont="1" applyBorder="1"/>
    <xf numFmtId="165" fontId="1" fillId="0" borderId="3" xfId="0" applyNumberFormat="1" applyFont="1" applyBorder="1"/>
    <xf numFmtId="164" fontId="5" fillId="4" borderId="0" xfId="0" applyNumberFormat="1" applyFont="1" applyFill="1"/>
    <xf numFmtId="164" fontId="1" fillId="4" borderId="0" xfId="0" applyNumberFormat="1" applyFont="1" applyFill="1" applyAlignment="1">
      <alignment wrapText="1"/>
    </xf>
    <xf numFmtId="168" fontId="4" fillId="3" borderId="0" xfId="0" applyNumberFormat="1" applyFont="1" applyFill="1"/>
    <xf numFmtId="10" fontId="1" fillId="0" borderId="0" xfId="0" applyNumberFormat="1" applyFont="1"/>
    <xf numFmtId="11" fontId="1" fillId="0" borderId="0" xfId="0" applyNumberFormat="1" applyFont="1"/>
    <xf numFmtId="169" fontId="1" fillId="0" borderId="1" xfId="0" applyNumberFormat="1" applyFont="1" applyBorder="1"/>
    <xf numFmtId="169" fontId="1" fillId="0" borderId="2" xfId="0" applyNumberFormat="1" applyFont="1" applyBorder="1"/>
    <xf numFmtId="169" fontId="1" fillId="0" borderId="3" xfId="0" applyNumberFormat="1" applyFont="1" applyBorder="1"/>
    <xf numFmtId="169" fontId="1" fillId="0" borderId="0" xfId="0" applyNumberFormat="1" applyFont="1"/>
    <xf numFmtId="169" fontId="5" fillId="4" borderId="0" xfId="0" applyNumberFormat="1" applyFont="1" applyFill="1"/>
    <xf numFmtId="164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7D9A"/>
  </sheetPr>
  <dimension ref="A1:H480"/>
  <sheetViews>
    <sheetView showGridLines="0" workbookViewId="0">
      <selection activeCell="B8" sqref="B7:B8"/>
    </sheetView>
  </sheetViews>
  <sheetFormatPr defaultRowHeight="13.8"/>
  <cols>
    <col min="1" max="1" width="27" customWidth="1"/>
    <col min="2" max="2" width="20" customWidth="1"/>
    <col min="3" max="3" width="21" customWidth="1"/>
    <col min="4" max="4" width="62" customWidth="1"/>
    <col min="5" max="8" width="15" customWidth="1"/>
  </cols>
  <sheetData>
    <row r="1" spans="1:8" ht="19.2" customHeight="1">
      <c r="A1" s="31" t="s">
        <v>0</v>
      </c>
      <c r="B1" s="31"/>
      <c r="C1" s="31"/>
      <c r="D1" s="31"/>
      <c r="E1" s="2"/>
      <c r="F1" s="2"/>
      <c r="G1" s="2"/>
      <c r="H1" s="2"/>
    </row>
    <row r="2" spans="1:8" ht="13.8" customHeight="1">
      <c r="A2" s="32" t="s">
        <v>1</v>
      </c>
      <c r="B2" s="32"/>
      <c r="C2" s="32"/>
      <c r="D2" s="32"/>
      <c r="E2" s="3"/>
      <c r="F2" s="3"/>
      <c r="G2" s="3"/>
      <c r="H2" s="3"/>
    </row>
    <row r="3" spans="1:8" ht="16.2" customHeight="1">
      <c r="A3" s="32"/>
      <c r="B3" s="32"/>
      <c r="C3" s="32"/>
      <c r="D3" s="32"/>
      <c r="E3" s="3"/>
      <c r="F3" s="3"/>
      <c r="G3" s="3"/>
      <c r="H3" s="3"/>
    </row>
    <row r="4" spans="1:8" ht="9.6" customHeight="1">
      <c r="A4" s="1"/>
      <c r="B4" s="1"/>
      <c r="C4" s="1"/>
      <c r="D4" s="1"/>
      <c r="E4" s="1"/>
      <c r="F4" s="1"/>
      <c r="G4" s="1"/>
      <c r="H4" s="1"/>
    </row>
    <row r="5" spans="1:8" ht="12.6" customHeight="1">
      <c r="A5" s="1"/>
      <c r="B5" s="1"/>
      <c r="C5" s="1"/>
      <c r="D5" s="1"/>
      <c r="E5" s="1"/>
      <c r="F5" s="1"/>
      <c r="G5" s="1"/>
      <c r="H5" s="1"/>
    </row>
    <row r="6" spans="1:8" ht="22.2" customHeight="1">
      <c r="A6" s="4" t="s">
        <v>2</v>
      </c>
      <c r="B6" s="4" t="s">
        <v>3</v>
      </c>
      <c r="C6" s="4" t="s">
        <v>4</v>
      </c>
      <c r="D6" s="4" t="s">
        <v>5</v>
      </c>
      <c r="E6" s="1"/>
      <c r="F6" s="1"/>
      <c r="G6" s="1"/>
      <c r="H6" s="1"/>
    </row>
    <row r="7" spans="1:8" ht="30" customHeight="1">
      <c r="A7" s="1" t="s">
        <v>6</v>
      </c>
      <c r="B7" s="6">
        <v>78</v>
      </c>
      <c r="C7" s="1" t="s">
        <v>7</v>
      </c>
      <c r="D7" s="3" t="s">
        <v>8</v>
      </c>
      <c r="E7" s="1"/>
      <c r="F7" s="1"/>
      <c r="G7" s="1"/>
      <c r="H7" s="1"/>
    </row>
    <row r="8" spans="1:8" ht="30" customHeight="1">
      <c r="A8" s="1" t="s">
        <v>9</v>
      </c>
      <c r="B8" s="5">
        <v>1.0400000000000205</v>
      </c>
      <c r="C8" s="1" t="s">
        <v>10</v>
      </c>
      <c r="D8" s="3" t="s">
        <v>11</v>
      </c>
      <c r="E8" s="1"/>
      <c r="F8" s="1"/>
      <c r="G8" s="1"/>
      <c r="H8" s="1"/>
    </row>
    <row r="9" spans="1:8" ht="30" customHeight="1">
      <c r="A9" s="1" t="s">
        <v>12</v>
      </c>
      <c r="B9" s="5">
        <v>1501.6157386990858</v>
      </c>
      <c r="C9" s="1" t="s">
        <v>13</v>
      </c>
      <c r="D9" s="3" t="s">
        <v>14</v>
      </c>
      <c r="E9" s="1"/>
      <c r="F9" s="1"/>
      <c r="G9" s="1"/>
      <c r="H9" s="1"/>
    </row>
    <row r="10" spans="1:8" ht="30" customHeight="1">
      <c r="A10" s="1" t="s">
        <v>15</v>
      </c>
      <c r="B10" s="5">
        <v>64.161374869554407</v>
      </c>
      <c r="C10" s="1" t="s">
        <v>16</v>
      </c>
      <c r="D10" s="3" t="s">
        <v>14</v>
      </c>
      <c r="E10" s="1"/>
      <c r="F10" s="1"/>
      <c r="G10" s="1"/>
      <c r="H10" s="1"/>
    </row>
    <row r="11" spans="1:8" ht="30" customHeight="1">
      <c r="A11" s="1" t="s">
        <v>17</v>
      </c>
      <c r="B11" s="5">
        <v>220</v>
      </c>
      <c r="C11" s="1" t="s">
        <v>18</v>
      </c>
      <c r="D11" s="3" t="s">
        <v>19</v>
      </c>
      <c r="E11" s="1"/>
      <c r="F11" s="1"/>
      <c r="G11" s="1"/>
      <c r="H11" s="1"/>
    </row>
    <row r="12" spans="1:8" ht="30" customHeight="1">
      <c r="A12" s="1" t="s">
        <v>20</v>
      </c>
      <c r="B12" s="5">
        <v>1.6931765723791028</v>
      </c>
      <c r="C12" s="1" t="s">
        <v>21</v>
      </c>
      <c r="D12" s="3" t="s">
        <v>22</v>
      </c>
      <c r="E12" s="1"/>
      <c r="F12" s="1"/>
      <c r="G12" s="1"/>
      <c r="H12" s="1"/>
    </row>
    <row r="13" spans="1:8" ht="30" customHeight="1">
      <c r="A13" s="1" t="s">
        <v>23</v>
      </c>
      <c r="B13" s="5">
        <v>0.83303118564514456</v>
      </c>
      <c r="C13" s="1" t="s">
        <v>24</v>
      </c>
      <c r="D13" s="3" t="s">
        <v>22</v>
      </c>
      <c r="E13" s="1"/>
      <c r="F13" s="1"/>
      <c r="G13" s="1"/>
      <c r="H13" s="1"/>
    </row>
    <row r="14" spans="1:8" ht="30" customHeight="1">
      <c r="A14" s="1" t="s">
        <v>25</v>
      </c>
      <c r="B14" s="5">
        <v>0.30807047291159995</v>
      </c>
      <c r="C14" s="1" t="s">
        <v>26</v>
      </c>
      <c r="D14" s="3" t="s">
        <v>22</v>
      </c>
      <c r="E14" s="1"/>
      <c r="F14" s="1"/>
      <c r="G14" s="1"/>
      <c r="H14" s="1"/>
    </row>
    <row r="15" spans="1:8" ht="30" customHeight="1">
      <c r="A15" s="1" t="s">
        <v>27</v>
      </c>
      <c r="B15" s="5">
        <v>1.6350981000172307</v>
      </c>
      <c r="C15" s="1" t="s">
        <v>24</v>
      </c>
      <c r="D15" s="3" t="s">
        <v>22</v>
      </c>
      <c r="E15" s="1"/>
      <c r="F15" s="1"/>
      <c r="G15" s="1"/>
      <c r="H15" s="1"/>
    </row>
    <row r="16" spans="1:8" ht="30" customHeight="1">
      <c r="A16" s="1" t="s">
        <v>28</v>
      </c>
      <c r="B16" s="5">
        <v>0.43482936815329221</v>
      </c>
      <c r="C16" s="1" t="s">
        <v>24</v>
      </c>
      <c r="D16" s="3" t="s">
        <v>29</v>
      </c>
      <c r="E16" s="1"/>
      <c r="F16" s="1"/>
      <c r="G16" s="1"/>
      <c r="H16" s="1"/>
    </row>
    <row r="17" spans="1:8" ht="30" customHeight="1">
      <c r="A17" s="1" t="s">
        <v>30</v>
      </c>
      <c r="B17" s="5">
        <v>5</v>
      </c>
      <c r="C17" s="1" t="s">
        <v>31</v>
      </c>
      <c r="D17" s="3" t="s">
        <v>32</v>
      </c>
      <c r="E17" s="1"/>
      <c r="F17" s="1"/>
      <c r="G17" s="1"/>
      <c r="H17" s="1"/>
    </row>
    <row r="18" spans="1:8" ht="30" customHeight="1">
      <c r="A18" s="1" t="s">
        <v>33</v>
      </c>
      <c r="B18" s="5">
        <v>14.75</v>
      </c>
      <c r="C18" s="1" t="s">
        <v>34</v>
      </c>
      <c r="D18" s="3" t="s">
        <v>35</v>
      </c>
      <c r="E18" s="1"/>
      <c r="F18" s="1"/>
      <c r="G18" s="1"/>
      <c r="H18" s="1"/>
    </row>
    <row r="19" spans="1:8" ht="30" customHeight="1">
      <c r="A19" s="1" t="s">
        <v>36</v>
      </c>
      <c r="B19" s="5">
        <v>19.5</v>
      </c>
      <c r="C19" s="1" t="s">
        <v>34</v>
      </c>
      <c r="D19" s="3" t="s">
        <v>37</v>
      </c>
      <c r="E19" s="1"/>
      <c r="F19" s="1"/>
      <c r="G19" s="1"/>
      <c r="H19" s="1"/>
    </row>
    <row r="20" spans="1:8" ht="30" customHeight="1">
      <c r="A20" s="1" t="s">
        <v>38</v>
      </c>
      <c r="B20" s="5">
        <v>1</v>
      </c>
      <c r="C20" s="1" t="s">
        <v>24</v>
      </c>
      <c r="D20" s="3" t="s">
        <v>39</v>
      </c>
      <c r="E20" s="1"/>
      <c r="F20" s="1"/>
      <c r="G20" s="1"/>
      <c r="H20" s="1"/>
    </row>
    <row r="21" spans="1:8" ht="30" customHeight="1">
      <c r="A21" s="1" t="s">
        <v>40</v>
      </c>
      <c r="B21" s="5">
        <v>5</v>
      </c>
      <c r="C21" s="1" t="s">
        <v>16</v>
      </c>
      <c r="D21" s="3" t="s">
        <v>41</v>
      </c>
      <c r="E21" s="1"/>
      <c r="F21" s="1"/>
      <c r="G21" s="1"/>
      <c r="H21" s="1"/>
    </row>
    <row r="22" spans="1:8" ht="30" customHeight="1">
      <c r="A22" s="1" t="s">
        <v>42</v>
      </c>
      <c r="B22" s="5">
        <v>75</v>
      </c>
      <c r="C22" s="1" t="s">
        <v>16</v>
      </c>
      <c r="D22" s="3" t="s">
        <v>43</v>
      </c>
      <c r="E22" s="1"/>
      <c r="F22" s="1"/>
      <c r="G22" s="1"/>
      <c r="H22" s="1"/>
    </row>
    <row r="23" spans="1:8" ht="22.05" customHeight="1">
      <c r="A23" s="1"/>
      <c r="B23" s="1"/>
      <c r="C23" s="1"/>
      <c r="D23" s="1"/>
      <c r="E23" s="1"/>
      <c r="F23" s="1"/>
      <c r="G23" s="1"/>
      <c r="H23" s="1"/>
    </row>
    <row r="24" spans="1:8" ht="22.05" customHeight="1">
      <c r="A24" s="32" t="s">
        <v>44</v>
      </c>
      <c r="B24" s="32"/>
      <c r="C24" s="32"/>
      <c r="D24" s="32"/>
      <c r="E24" s="3"/>
      <c r="F24" s="3"/>
      <c r="G24" s="3"/>
      <c r="H24" s="3"/>
    </row>
    <row r="25" spans="1:8" ht="22.05" customHeight="1">
      <c r="A25" s="32"/>
      <c r="B25" s="32"/>
      <c r="C25" s="32"/>
      <c r="D25" s="32"/>
      <c r="E25" s="3"/>
      <c r="F25" s="3"/>
      <c r="G25" s="3"/>
      <c r="H25" s="3"/>
    </row>
    <row r="26" spans="1:8" ht="22.05" customHeight="1">
      <c r="A26" s="1"/>
      <c r="B26" s="1"/>
      <c r="C26" s="1"/>
      <c r="D26" s="1"/>
      <c r="E26" s="1"/>
      <c r="F26" s="1"/>
      <c r="G26" s="1"/>
      <c r="H26" s="1"/>
    </row>
    <row r="27" spans="1:8" ht="22.05" customHeight="1">
      <c r="A27" s="1"/>
      <c r="B27" s="1"/>
      <c r="C27" s="1"/>
      <c r="D27" s="1"/>
      <c r="E27" s="1"/>
      <c r="F27" s="1"/>
      <c r="G27" s="1"/>
      <c r="H27" s="1"/>
    </row>
    <row r="28" spans="1:8" ht="40.049999999999997" customHeight="1">
      <c r="A28" s="4" t="s">
        <v>45</v>
      </c>
      <c r="B28" s="4" t="s">
        <v>46</v>
      </c>
      <c r="C28" s="4" t="s">
        <v>47</v>
      </c>
      <c r="D28" s="1"/>
      <c r="E28" s="1"/>
      <c r="F28" s="1"/>
      <c r="G28" s="1"/>
      <c r="H28" s="1"/>
    </row>
    <row r="29" spans="1:8" ht="22.05" customHeight="1">
      <c r="A29" s="10">
        <v>0.61458333333333337</v>
      </c>
      <c r="B29" s="7">
        <v>125.54166666666664</v>
      </c>
      <c r="C29" s="7">
        <v>51.624349856255087</v>
      </c>
      <c r="D29" s="1"/>
      <c r="E29" s="1"/>
      <c r="F29" s="1"/>
      <c r="G29" s="1"/>
      <c r="H29" s="1"/>
    </row>
    <row r="30" spans="1:8" ht="22.05" customHeight="1">
      <c r="A30" s="11">
        <v>0.61805555555555558</v>
      </c>
      <c r="B30" s="8">
        <v>120.22916666666664</v>
      </c>
      <c r="C30" s="8">
        <v>49.299378114201005</v>
      </c>
      <c r="D30" s="1"/>
      <c r="E30" s="1"/>
      <c r="F30" s="1"/>
      <c r="G30" s="1"/>
      <c r="H30" s="1"/>
    </row>
    <row r="31" spans="1:8" ht="22.05" customHeight="1">
      <c r="A31" s="11">
        <v>0.62152777777777779</v>
      </c>
      <c r="B31" s="8">
        <v>116.20833333333346</v>
      </c>
      <c r="C31" s="8">
        <v>48.463763943392784</v>
      </c>
      <c r="D31" s="1"/>
      <c r="E31" s="1"/>
      <c r="F31" s="1"/>
      <c r="G31" s="1"/>
      <c r="H31" s="1"/>
    </row>
    <row r="32" spans="1:8" ht="22.05" customHeight="1">
      <c r="A32" s="11">
        <v>0.625</v>
      </c>
      <c r="B32" s="8">
        <v>109.89583333333329</v>
      </c>
      <c r="C32" s="8">
        <v>48.481701297704817</v>
      </c>
      <c r="D32" s="1"/>
      <c r="E32" s="1"/>
      <c r="F32" s="1"/>
      <c r="G32" s="1"/>
      <c r="H32" s="1"/>
    </row>
    <row r="33" spans="1:8" ht="22.05" customHeight="1">
      <c r="A33" s="11">
        <v>0.62847222222222221</v>
      </c>
      <c r="B33" s="8">
        <v>106.89583333333329</v>
      </c>
      <c r="C33" s="8">
        <v>47.163019453311179</v>
      </c>
      <c r="D33" s="1"/>
      <c r="E33" s="1"/>
      <c r="F33" s="1"/>
      <c r="G33" s="1"/>
      <c r="H33" s="1"/>
    </row>
    <row r="34" spans="1:8" ht="22.05" customHeight="1">
      <c r="A34" s="11">
        <v>0.63194444444444442</v>
      </c>
      <c r="B34" s="8">
        <v>104.5208333333334</v>
      </c>
      <c r="C34" s="8">
        <v>45.765521921256529</v>
      </c>
      <c r="D34" s="1"/>
      <c r="E34" s="1"/>
      <c r="F34" s="1"/>
      <c r="G34" s="1"/>
      <c r="H34" s="1"/>
    </row>
    <row r="35" spans="1:8" ht="22.05" customHeight="1">
      <c r="A35" s="11">
        <v>0.63541666666666663</v>
      </c>
      <c r="B35" s="8">
        <v>102.27083333333336</v>
      </c>
      <c r="C35" s="8">
        <v>43.751541971696241</v>
      </c>
      <c r="D35" s="1"/>
      <c r="E35" s="1"/>
      <c r="F35" s="1"/>
      <c r="G35" s="1"/>
      <c r="H35" s="1"/>
    </row>
    <row r="36" spans="1:8" ht="22.05" customHeight="1">
      <c r="A36" s="11">
        <v>0.63888888888888895</v>
      </c>
      <c r="B36" s="8">
        <v>102.87499999999991</v>
      </c>
      <c r="C36" s="8">
        <v>43.237920899108254</v>
      </c>
      <c r="D36" s="1"/>
      <c r="E36" s="1"/>
      <c r="F36" s="1"/>
      <c r="G36" s="1"/>
      <c r="H36" s="1"/>
    </row>
    <row r="37" spans="1:8" ht="22.05" customHeight="1">
      <c r="A37" s="11">
        <v>0.64236111111111105</v>
      </c>
      <c r="B37" s="8">
        <v>99.374999999999957</v>
      </c>
      <c r="C37" s="8">
        <v>42.407265900920379</v>
      </c>
      <c r="D37" s="1"/>
      <c r="E37" s="1"/>
      <c r="F37" s="1"/>
      <c r="G37" s="1"/>
      <c r="H37" s="1"/>
    </row>
    <row r="38" spans="1:8" ht="22.05" customHeight="1">
      <c r="A38" s="11">
        <v>0.64583333333333337</v>
      </c>
      <c r="B38" s="8">
        <v>99.312499999999943</v>
      </c>
      <c r="C38" s="8">
        <v>41.238866438545237</v>
      </c>
      <c r="D38" s="1"/>
      <c r="E38" s="1"/>
      <c r="F38" s="1"/>
      <c r="G38" s="1"/>
      <c r="H38" s="1"/>
    </row>
    <row r="39" spans="1:8" ht="22.05" customHeight="1">
      <c r="A39" s="11">
        <v>0.64930555555555558</v>
      </c>
      <c r="B39" s="8">
        <v>94.520833333333343</v>
      </c>
      <c r="C39" s="8">
        <v>38.307139733118753</v>
      </c>
      <c r="D39" s="1"/>
      <c r="E39" s="1"/>
      <c r="F39" s="1"/>
      <c r="G39" s="1"/>
      <c r="H39" s="1"/>
    </row>
    <row r="40" spans="1:8" ht="22.05" customHeight="1">
      <c r="A40" s="11">
        <v>0.65277777777777779</v>
      </c>
      <c r="B40" s="8">
        <v>91.562500000000057</v>
      </c>
      <c r="C40" s="8">
        <v>33.813086190432628</v>
      </c>
      <c r="D40" s="1"/>
      <c r="E40" s="1"/>
      <c r="F40" s="1"/>
      <c r="G40" s="1"/>
      <c r="H40" s="1"/>
    </row>
    <row r="41" spans="1:8" ht="22.05" customHeight="1">
      <c r="A41" s="11">
        <v>0.65625</v>
      </c>
      <c r="B41" s="8">
        <v>89.708333333333385</v>
      </c>
      <c r="C41" s="8">
        <v>30.052659308622012</v>
      </c>
      <c r="D41" s="1"/>
      <c r="E41" s="1"/>
      <c r="F41" s="1"/>
      <c r="G41" s="1"/>
      <c r="H41" s="1"/>
    </row>
    <row r="42" spans="1:8" ht="22.05" customHeight="1">
      <c r="A42" s="11">
        <v>0.65972222222222221</v>
      </c>
      <c r="B42" s="8">
        <v>90.104166666666686</v>
      </c>
      <c r="C42" s="8">
        <v>27.945322131538905</v>
      </c>
      <c r="D42" s="1"/>
      <c r="E42" s="1"/>
      <c r="F42" s="1"/>
      <c r="G42" s="1"/>
      <c r="H42" s="1"/>
    </row>
    <row r="43" spans="1:8" ht="22.05" customHeight="1">
      <c r="A43" s="11">
        <v>0.66319444444444442</v>
      </c>
      <c r="B43" s="8">
        <v>89.854166666666686</v>
      </c>
      <c r="C43" s="8">
        <v>27.11869991787616</v>
      </c>
      <c r="D43" s="1"/>
      <c r="E43" s="1"/>
      <c r="F43" s="1"/>
      <c r="G43" s="1"/>
      <c r="H43" s="1"/>
    </row>
    <row r="44" spans="1:8" ht="22.05" customHeight="1">
      <c r="A44" s="11">
        <v>0.66666666666666663</v>
      </c>
      <c r="B44" s="8">
        <v>85.437500000000014</v>
      </c>
      <c r="C44" s="8">
        <v>25.997438053265189</v>
      </c>
      <c r="D44" s="1"/>
      <c r="E44" s="1"/>
      <c r="F44" s="1"/>
      <c r="G44" s="1"/>
      <c r="H44" s="1"/>
    </row>
    <row r="45" spans="1:8" ht="22.05" customHeight="1">
      <c r="A45" s="11">
        <v>0.67013888888888884</v>
      </c>
      <c r="B45" s="8">
        <v>79.791666666666671</v>
      </c>
      <c r="C45" s="8">
        <v>22.57442172625111</v>
      </c>
      <c r="D45" s="1"/>
      <c r="E45" s="1"/>
      <c r="F45" s="1"/>
      <c r="G45" s="1"/>
      <c r="H45" s="1"/>
    </row>
    <row r="46" spans="1:8" ht="22.05" customHeight="1">
      <c r="A46" s="11">
        <v>0.67361111111111116</v>
      </c>
      <c r="B46" s="8">
        <v>74.333333333333343</v>
      </c>
      <c r="C46" s="8">
        <v>19.062620489856531</v>
      </c>
      <c r="D46" s="1"/>
      <c r="E46" s="1"/>
      <c r="F46" s="1"/>
      <c r="G46" s="1"/>
      <c r="H46" s="1"/>
    </row>
    <row r="47" spans="1:8" ht="22.05" customHeight="1">
      <c r="A47" s="11">
        <v>0.67708333333333337</v>
      </c>
      <c r="B47" s="8">
        <v>71.145833333333329</v>
      </c>
      <c r="C47" s="8">
        <v>16.984243241284563</v>
      </c>
      <c r="D47" s="1"/>
      <c r="E47" s="1"/>
      <c r="F47" s="1"/>
      <c r="G47" s="1"/>
      <c r="H47" s="1"/>
    </row>
    <row r="48" spans="1:8" ht="22.05" customHeight="1">
      <c r="A48" s="11">
        <v>0.68055555555555547</v>
      </c>
      <c r="B48" s="8">
        <v>70.374999999999972</v>
      </c>
      <c r="C48" s="8">
        <v>14.915864650206766</v>
      </c>
      <c r="D48" s="1"/>
      <c r="E48" s="1"/>
      <c r="F48" s="1"/>
      <c r="G48" s="1"/>
      <c r="H48" s="1"/>
    </row>
    <row r="49" spans="1:8" ht="22.05" customHeight="1">
      <c r="A49" s="11">
        <v>0.68402777777777779</v>
      </c>
      <c r="B49" s="8">
        <v>72.166666666666643</v>
      </c>
      <c r="C49" s="8">
        <v>14.359469904321646</v>
      </c>
      <c r="D49" s="1"/>
      <c r="E49" s="1"/>
      <c r="F49" s="1"/>
      <c r="G49" s="1"/>
      <c r="H49" s="1"/>
    </row>
    <row r="50" spans="1:8" ht="22.05" customHeight="1">
      <c r="A50" s="11">
        <v>0.6875</v>
      </c>
      <c r="B50" s="8">
        <v>71.500000000000014</v>
      </c>
      <c r="C50" s="8">
        <v>14.684735079986906</v>
      </c>
      <c r="D50" s="1"/>
      <c r="E50" s="1"/>
      <c r="F50" s="1"/>
      <c r="G50" s="1"/>
      <c r="H50" s="1"/>
    </row>
    <row r="51" spans="1:8" ht="22.05" customHeight="1">
      <c r="A51" s="11">
        <v>0.69097222222222221</v>
      </c>
      <c r="B51" s="8">
        <v>67.041666666666657</v>
      </c>
      <c r="C51" s="8">
        <v>14.394244895857051</v>
      </c>
      <c r="D51" s="1"/>
      <c r="E51" s="1"/>
      <c r="F51" s="1"/>
      <c r="G51" s="1"/>
      <c r="H51" s="1"/>
    </row>
    <row r="52" spans="1:8" ht="22.05" customHeight="1">
      <c r="A52" s="11">
        <v>0.69444444444444453</v>
      </c>
      <c r="B52" s="8">
        <v>64.208333333333343</v>
      </c>
      <c r="C52" s="8">
        <v>14.17943776732951</v>
      </c>
      <c r="D52" s="1"/>
      <c r="E52" s="1"/>
      <c r="F52" s="1"/>
      <c r="G52" s="1"/>
      <c r="H52" s="1"/>
    </row>
    <row r="53" spans="1:8" ht="22.05" customHeight="1">
      <c r="A53" s="11">
        <v>0.69791666666666663</v>
      </c>
      <c r="B53" s="8">
        <v>65.104166666666657</v>
      </c>
      <c r="C53" s="8">
        <v>12.84463675705913</v>
      </c>
      <c r="D53" s="1"/>
      <c r="E53" s="1"/>
      <c r="F53" s="1"/>
      <c r="G53" s="1"/>
      <c r="H53" s="1"/>
    </row>
    <row r="54" spans="1:8" ht="22.05" customHeight="1">
      <c r="A54" s="11">
        <v>0.70138888888888884</v>
      </c>
      <c r="B54" s="8">
        <v>69.999999999999986</v>
      </c>
      <c r="C54" s="8">
        <v>12.094461684935858</v>
      </c>
      <c r="D54" s="1"/>
      <c r="E54" s="1"/>
      <c r="F54" s="1"/>
      <c r="G54" s="1"/>
      <c r="H54" s="1"/>
    </row>
    <row r="55" spans="1:8" ht="22.05" customHeight="1">
      <c r="A55" s="11">
        <v>0.70486111111111116</v>
      </c>
      <c r="B55" s="8">
        <v>69.583333333333314</v>
      </c>
      <c r="C55" s="8">
        <v>11.194508043458583</v>
      </c>
      <c r="D55" s="1"/>
      <c r="E55" s="1"/>
      <c r="F55" s="1"/>
      <c r="G55" s="1"/>
      <c r="H55" s="1"/>
    </row>
    <row r="56" spans="1:8" ht="22.05" customHeight="1">
      <c r="A56" s="11">
        <v>0.70833333333333337</v>
      </c>
      <c r="B56" s="8">
        <v>66.208333333333314</v>
      </c>
      <c r="C56" s="8">
        <v>10.881549277270764</v>
      </c>
      <c r="D56" s="1"/>
      <c r="E56" s="1"/>
      <c r="F56" s="1"/>
      <c r="G56" s="1"/>
      <c r="H56" s="1"/>
    </row>
    <row r="57" spans="1:8" ht="22.05" customHeight="1">
      <c r="A57" s="11">
        <v>0.71180555555555547</v>
      </c>
      <c r="B57" s="8">
        <v>60.375</v>
      </c>
      <c r="C57" s="8">
        <v>11.219518253485171</v>
      </c>
      <c r="D57" s="1"/>
      <c r="E57" s="1"/>
      <c r="F57" s="1"/>
      <c r="G57" s="1"/>
      <c r="H57" s="1"/>
    </row>
    <row r="58" spans="1:8" ht="22.05" customHeight="1">
      <c r="A58" s="11">
        <v>0.71527777777777779</v>
      </c>
      <c r="B58" s="8">
        <v>58.729166666666643</v>
      </c>
      <c r="C58" s="8">
        <v>11.375918558474956</v>
      </c>
      <c r="D58" s="1"/>
      <c r="E58" s="1"/>
      <c r="F58" s="1"/>
      <c r="G58" s="1"/>
      <c r="H58" s="1"/>
    </row>
    <row r="59" spans="1:8" ht="22.05" customHeight="1">
      <c r="A59" s="11">
        <v>0.71875</v>
      </c>
      <c r="B59" s="8">
        <v>58.291666666666657</v>
      </c>
      <c r="C59" s="8">
        <v>10.276315519671314</v>
      </c>
      <c r="D59" s="1"/>
      <c r="E59" s="1"/>
      <c r="F59" s="1"/>
      <c r="G59" s="1"/>
      <c r="H59" s="1"/>
    </row>
    <row r="60" spans="1:8" ht="22.05" customHeight="1">
      <c r="A60" s="11">
        <v>0.72222222222222221</v>
      </c>
      <c r="B60" s="8">
        <v>61.270833333333336</v>
      </c>
      <c r="C60" s="8">
        <v>9.7138842949521074</v>
      </c>
      <c r="D60" s="1"/>
      <c r="E60" s="1"/>
      <c r="F60" s="1"/>
      <c r="G60" s="1"/>
      <c r="H60" s="1"/>
    </row>
    <row r="61" spans="1:8" ht="22.05" customHeight="1">
      <c r="A61" s="11">
        <v>0.72569444444444453</v>
      </c>
      <c r="B61" s="8">
        <v>61.062500000000028</v>
      </c>
      <c r="C61" s="8">
        <v>9.6811622207952137</v>
      </c>
      <c r="D61" s="1"/>
      <c r="E61" s="1"/>
      <c r="F61" s="1"/>
      <c r="G61" s="1"/>
      <c r="H61" s="1"/>
    </row>
    <row r="62" spans="1:8" ht="22.05" customHeight="1">
      <c r="A62" s="11">
        <v>0.72916666666666663</v>
      </c>
      <c r="B62" s="8">
        <v>62.291666666666657</v>
      </c>
      <c r="C62" s="8">
        <v>10.50653953793325</v>
      </c>
      <c r="D62" s="1"/>
      <c r="E62" s="1"/>
      <c r="F62" s="1"/>
      <c r="G62" s="1"/>
      <c r="H62" s="1"/>
    </row>
    <row r="63" spans="1:8" ht="22.05" customHeight="1">
      <c r="A63" s="11">
        <v>0.73263888888888884</v>
      </c>
      <c r="B63" s="8">
        <v>62.208333333333329</v>
      </c>
      <c r="C63" s="8">
        <v>11.137604468068783</v>
      </c>
      <c r="D63" s="1"/>
      <c r="E63" s="1"/>
      <c r="F63" s="1"/>
      <c r="G63" s="1"/>
      <c r="H63" s="1"/>
    </row>
    <row r="64" spans="1:8" ht="22.05" customHeight="1">
      <c r="A64" s="11">
        <v>0.73611111111111116</v>
      </c>
      <c r="B64" s="8">
        <v>64.604166666666671</v>
      </c>
      <c r="C64" s="8">
        <v>12.559793809174254</v>
      </c>
      <c r="D64" s="1"/>
      <c r="E64" s="1"/>
      <c r="F64" s="1"/>
      <c r="G64" s="1"/>
      <c r="H64" s="1"/>
    </row>
    <row r="65" spans="1:8" ht="22.05" customHeight="1">
      <c r="A65" s="11">
        <v>0.73958333333333337</v>
      </c>
      <c r="B65" s="8">
        <v>69.375000000000028</v>
      </c>
      <c r="C65" s="8">
        <v>13.891713585700304</v>
      </c>
      <c r="D65" s="1"/>
      <c r="E65" s="1"/>
      <c r="F65" s="1"/>
      <c r="G65" s="1"/>
      <c r="H65" s="1"/>
    </row>
    <row r="66" spans="1:8" ht="22.05" customHeight="1">
      <c r="A66" s="11">
        <v>0.74305555555555547</v>
      </c>
      <c r="B66" s="8">
        <v>72.1458333333333</v>
      </c>
      <c r="C66" s="8">
        <v>15.136034662202132</v>
      </c>
      <c r="D66" s="1"/>
      <c r="E66" s="1"/>
      <c r="F66" s="1"/>
      <c r="G66" s="1"/>
      <c r="H66" s="1"/>
    </row>
    <row r="67" spans="1:8" ht="22.05" customHeight="1">
      <c r="A67" s="11">
        <v>0.74652777777777779</v>
      </c>
      <c r="B67" s="8">
        <v>74.833333333333343</v>
      </c>
      <c r="C67" s="8">
        <v>16.668938860301701</v>
      </c>
      <c r="D67" s="1"/>
      <c r="E67" s="1"/>
      <c r="F67" s="1"/>
      <c r="G67" s="1"/>
      <c r="H67" s="1"/>
    </row>
    <row r="68" spans="1:8" ht="22.05" customHeight="1">
      <c r="A68" s="11">
        <v>0.75</v>
      </c>
      <c r="B68" s="8">
        <v>75.520833333333343</v>
      </c>
      <c r="C68" s="8">
        <v>19.026783257374792</v>
      </c>
      <c r="D68" s="1"/>
      <c r="E68" s="1"/>
      <c r="F68" s="1"/>
      <c r="G68" s="1"/>
      <c r="H68" s="1"/>
    </row>
    <row r="69" spans="1:8" ht="22.05" customHeight="1">
      <c r="A69" s="11">
        <v>0.75347222222222199</v>
      </c>
      <c r="B69" s="8">
        <v>78.208333333333343</v>
      </c>
      <c r="C69" s="8">
        <v>21.760424472731209</v>
      </c>
      <c r="D69" s="1"/>
      <c r="E69" s="1"/>
      <c r="F69" s="1"/>
      <c r="G69" s="1"/>
      <c r="H69" s="1"/>
    </row>
    <row r="70" spans="1:8" ht="22.05" customHeight="1">
      <c r="A70" s="11">
        <v>0.75694444444444453</v>
      </c>
      <c r="B70" s="8">
        <v>81.0625</v>
      </c>
      <c r="C70" s="8">
        <v>23.222534588116616</v>
      </c>
      <c r="D70" s="1"/>
      <c r="E70" s="1"/>
      <c r="F70" s="1"/>
      <c r="G70" s="1"/>
      <c r="H70" s="1"/>
    </row>
    <row r="71" spans="1:8" ht="22.05" customHeight="1">
      <c r="A71" s="11">
        <v>0.76041666666666663</v>
      </c>
      <c r="B71" s="8">
        <v>83.874999999999986</v>
      </c>
      <c r="C71" s="8">
        <v>26.160071644642731</v>
      </c>
      <c r="D71" s="1"/>
      <c r="E71" s="1"/>
      <c r="F71" s="1"/>
      <c r="G71" s="1"/>
      <c r="H71" s="1"/>
    </row>
    <row r="72" spans="1:8" ht="22.05" customHeight="1">
      <c r="A72" s="11">
        <v>0.76388888888888873</v>
      </c>
      <c r="B72" s="8">
        <v>84.979166666666671</v>
      </c>
      <c r="C72" s="8">
        <v>28.897954586773253</v>
      </c>
      <c r="D72" s="1"/>
      <c r="E72" s="1"/>
      <c r="F72" s="1"/>
      <c r="G72" s="1"/>
      <c r="H72" s="1"/>
    </row>
    <row r="73" spans="1:8" ht="22.05" customHeight="1">
      <c r="A73" s="11">
        <v>0.76736111111111116</v>
      </c>
      <c r="B73" s="8">
        <v>86.875000000000014</v>
      </c>
      <c r="C73" s="8">
        <v>30.476697321580545</v>
      </c>
      <c r="D73" s="1"/>
      <c r="E73" s="1"/>
      <c r="F73" s="1"/>
      <c r="G73" s="1"/>
      <c r="H73" s="1"/>
    </row>
    <row r="74" spans="1:8" ht="22.05" customHeight="1">
      <c r="A74" s="11">
        <v>0.77083333333333337</v>
      </c>
      <c r="B74" s="8">
        <v>87.562500000000014</v>
      </c>
      <c r="C74" s="8">
        <v>34.665632600269866</v>
      </c>
      <c r="D74" s="1"/>
      <c r="E74" s="1"/>
      <c r="F74" s="1"/>
      <c r="G74" s="1"/>
      <c r="H74" s="1"/>
    </row>
    <row r="75" spans="1:8" ht="22.05" customHeight="1">
      <c r="A75" s="11">
        <v>0.77430555555555536</v>
      </c>
      <c r="B75" s="8">
        <v>89.416666666666657</v>
      </c>
      <c r="C75" s="8">
        <v>37.950053215493917</v>
      </c>
      <c r="D75" s="1"/>
      <c r="E75" s="1"/>
      <c r="F75" s="1"/>
      <c r="G75" s="1"/>
      <c r="H75" s="1"/>
    </row>
    <row r="76" spans="1:8" ht="22.05" customHeight="1">
      <c r="A76" s="11">
        <v>0.77777777777777779</v>
      </c>
      <c r="B76" s="8">
        <v>90.041666666666657</v>
      </c>
      <c r="C76" s="8">
        <v>40.893611213124323</v>
      </c>
      <c r="D76" s="1"/>
      <c r="E76" s="1"/>
      <c r="F76" s="1"/>
      <c r="G76" s="1"/>
      <c r="H76" s="1"/>
    </row>
    <row r="77" spans="1:8" ht="22.05" customHeight="1">
      <c r="A77" s="11">
        <v>0.78125</v>
      </c>
      <c r="B77" s="8">
        <v>91.604166666666643</v>
      </c>
      <c r="C77" s="8">
        <v>42.075987328719656</v>
      </c>
      <c r="D77" s="1"/>
      <c r="E77" s="1"/>
      <c r="F77" s="1"/>
      <c r="G77" s="1"/>
      <c r="H77" s="1"/>
    </row>
    <row r="78" spans="1:8" ht="22.05" customHeight="1">
      <c r="A78" s="11">
        <v>0.78472222222222199</v>
      </c>
      <c r="B78" s="8">
        <v>95.875000000000057</v>
      </c>
      <c r="C78" s="8">
        <v>45.586012275872335</v>
      </c>
      <c r="D78" s="1"/>
      <c r="E78" s="1"/>
      <c r="F78" s="1"/>
      <c r="G78" s="1"/>
      <c r="H78" s="1"/>
    </row>
    <row r="79" spans="1:8" ht="22.05" customHeight="1">
      <c r="A79" s="11">
        <v>0.78819444444444453</v>
      </c>
      <c r="B79" s="8">
        <v>97.666666666666544</v>
      </c>
      <c r="C79" s="8">
        <v>47.789470235644849</v>
      </c>
      <c r="D79" s="1"/>
      <c r="E79" s="1"/>
      <c r="F79" s="1"/>
      <c r="G79" s="1"/>
      <c r="H79" s="1"/>
    </row>
    <row r="80" spans="1:8" ht="22.05" customHeight="1">
      <c r="A80" s="11">
        <v>0.79166666666666663</v>
      </c>
      <c r="B80" s="8">
        <v>98.479166666666657</v>
      </c>
      <c r="C80" s="8">
        <v>50.688988317869423</v>
      </c>
      <c r="D80" s="1"/>
      <c r="E80" s="1"/>
      <c r="F80" s="1"/>
      <c r="G80" s="1"/>
      <c r="H80" s="1"/>
    </row>
    <row r="81" spans="1:8" ht="22.05" customHeight="1">
      <c r="A81" s="11">
        <v>0.79513888888888873</v>
      </c>
      <c r="B81" s="8">
        <v>96.854166666666643</v>
      </c>
      <c r="C81" s="8">
        <v>52.976040928433761</v>
      </c>
      <c r="D81" s="1"/>
      <c r="E81" s="1"/>
      <c r="F81" s="1"/>
      <c r="G81" s="1"/>
      <c r="H81" s="1"/>
    </row>
    <row r="82" spans="1:8" ht="22.05" customHeight="1">
      <c r="A82" s="11">
        <v>0.79861111111111116</v>
      </c>
      <c r="B82" s="8">
        <v>98.4375</v>
      </c>
      <c r="C82" s="8">
        <v>57.506741013047467</v>
      </c>
      <c r="D82" s="1"/>
      <c r="E82" s="1"/>
      <c r="F82" s="1"/>
      <c r="G82" s="1"/>
      <c r="H82" s="1"/>
    </row>
    <row r="83" spans="1:8" ht="22.05" customHeight="1">
      <c r="A83" s="11">
        <v>0.80208333333333337</v>
      </c>
      <c r="B83" s="8">
        <v>96.520833333333314</v>
      </c>
      <c r="C83" s="8">
        <v>60.034288068584743</v>
      </c>
      <c r="D83" s="1"/>
      <c r="E83" s="1"/>
      <c r="F83" s="1"/>
      <c r="G83" s="1"/>
      <c r="H83" s="1"/>
    </row>
    <row r="84" spans="1:8" ht="22.05" customHeight="1">
      <c r="A84" s="11">
        <v>0.80555555555555536</v>
      </c>
      <c r="B84" s="8">
        <v>93.687500000000043</v>
      </c>
      <c r="C84" s="8">
        <v>62.594805665430833</v>
      </c>
      <c r="D84" s="1"/>
      <c r="E84" s="1"/>
      <c r="F84" s="1"/>
      <c r="G84" s="1"/>
      <c r="H84" s="1"/>
    </row>
    <row r="85" spans="1:8" ht="22.05" customHeight="1">
      <c r="A85" s="12">
        <v>0.80902777777777779</v>
      </c>
      <c r="B85" s="9">
        <v>87.625000000000043</v>
      </c>
      <c r="C85" s="9">
        <v>62.606096798747807</v>
      </c>
      <c r="D85" s="1"/>
      <c r="E85" s="1"/>
      <c r="F85" s="1"/>
      <c r="G85" s="1"/>
      <c r="H85" s="1"/>
    </row>
    <row r="86" spans="1:8" ht="22.05" customHeight="1">
      <c r="A86" s="1"/>
      <c r="B86" s="1"/>
      <c r="C86" s="1"/>
      <c r="D86" s="1"/>
      <c r="E86" s="1"/>
      <c r="F86" s="1"/>
      <c r="G86" s="1"/>
      <c r="H86" s="1"/>
    </row>
    <row r="87" spans="1:8" ht="22.05" customHeight="1">
      <c r="A87" s="1"/>
      <c r="B87" s="1"/>
      <c r="C87" s="1"/>
      <c r="D87" s="1"/>
      <c r="E87" s="1"/>
      <c r="F87" s="1"/>
      <c r="G87" s="1"/>
      <c r="H87" s="1"/>
    </row>
    <row r="88" spans="1:8" ht="22.05" customHeight="1">
      <c r="A88" s="32" t="s">
        <v>48</v>
      </c>
      <c r="B88" s="32"/>
      <c r="C88" s="32"/>
      <c r="D88" s="32"/>
      <c r="E88" s="3"/>
      <c r="F88" s="3"/>
      <c r="G88" s="3"/>
      <c r="H88" s="3"/>
    </row>
    <row r="89" spans="1:8" ht="22.05" customHeight="1">
      <c r="A89" s="32"/>
      <c r="B89" s="32"/>
      <c r="C89" s="32"/>
      <c r="D89" s="32"/>
      <c r="E89" s="3"/>
      <c r="F89" s="3"/>
      <c r="G89" s="3"/>
      <c r="H89" s="3"/>
    </row>
    <row r="90" spans="1:8" ht="22.05" customHeight="1">
      <c r="A90" s="1"/>
      <c r="B90" s="1"/>
      <c r="C90" s="1"/>
      <c r="D90" s="1"/>
      <c r="E90" s="1"/>
      <c r="F90" s="1"/>
      <c r="G90" s="1"/>
      <c r="H90" s="1"/>
    </row>
    <row r="91" spans="1:8" ht="22.05" customHeight="1">
      <c r="A91" s="1"/>
      <c r="B91" s="1"/>
      <c r="C91" s="1"/>
      <c r="D91" s="1"/>
      <c r="E91" s="1"/>
      <c r="F91" s="1"/>
      <c r="G91" s="1"/>
      <c r="H91" s="1"/>
    </row>
    <row r="92" spans="1:8" ht="22.05" customHeight="1">
      <c r="A92" s="1"/>
      <c r="B92" s="1"/>
      <c r="C92" s="1"/>
      <c r="D92" s="1"/>
      <c r="E92" s="1"/>
      <c r="F92" s="1"/>
      <c r="G92" s="1"/>
      <c r="H92" s="1"/>
    </row>
    <row r="93" spans="1:8" ht="22.05" customHeight="1">
      <c r="A93" s="1"/>
      <c r="B93" s="1"/>
      <c r="C93" s="1"/>
      <c r="D93" s="1"/>
      <c r="E93" s="1"/>
      <c r="F93" s="1"/>
      <c r="G93" s="1"/>
      <c r="H93" s="1"/>
    </row>
    <row r="94" spans="1:8" ht="40.049999999999997" customHeight="1">
      <c r="A94" s="4" t="s">
        <v>49</v>
      </c>
      <c r="B94" s="4" t="s">
        <v>50</v>
      </c>
      <c r="C94" s="4" t="s">
        <v>51</v>
      </c>
      <c r="D94" s="1"/>
      <c r="E94" s="1"/>
      <c r="F94" s="1"/>
      <c r="G94" s="1"/>
      <c r="H94" s="1"/>
    </row>
    <row r="95" spans="1:8" ht="22.05" customHeight="1">
      <c r="A95" s="1">
        <v>1</v>
      </c>
      <c r="B95" s="13">
        <v>9.7794136763029726E-6</v>
      </c>
      <c r="C95" s="13">
        <v>2.509705173370926E-5</v>
      </c>
      <c r="D95" s="1"/>
      <c r="E95" s="1"/>
      <c r="F95" s="1"/>
      <c r="G95" s="1"/>
      <c r="H95" s="1"/>
    </row>
    <row r="96" spans="1:8" ht="22.05" customHeight="1">
      <c r="A96" s="1">
        <v>2</v>
      </c>
      <c r="B96" s="13">
        <v>5.1526431070203493E-5</v>
      </c>
      <c r="C96" s="13">
        <v>5.8419533286588016E-5</v>
      </c>
      <c r="D96" s="1"/>
      <c r="E96" s="1"/>
      <c r="F96" s="1"/>
      <c r="G96" s="1"/>
      <c r="H96" s="1"/>
    </row>
    <row r="97" spans="1:8" ht="22.05" customHeight="1">
      <c r="A97" s="1">
        <v>3</v>
      </c>
      <c r="B97" s="13">
        <v>1.2662959432385712E-4</v>
      </c>
      <c r="C97" s="13">
        <v>9.1787459676077822E-5</v>
      </c>
      <c r="D97" s="1"/>
      <c r="E97" s="1"/>
      <c r="F97" s="1"/>
      <c r="G97" s="1"/>
      <c r="H97" s="1"/>
    </row>
    <row r="98" spans="1:8" ht="22.05" customHeight="1">
      <c r="A98" s="1">
        <v>4</v>
      </c>
      <c r="B98" s="13">
        <v>2.3510057205705648E-4</v>
      </c>
      <c r="C98" s="13">
        <v>1.251535445433506E-4</v>
      </c>
      <c r="D98" s="1"/>
      <c r="E98" s="1"/>
      <c r="F98" s="1"/>
      <c r="G98" s="1"/>
      <c r="H98" s="1"/>
    </row>
    <row r="99" spans="1:8" ht="22.05" customHeight="1">
      <c r="A99" s="1">
        <v>5</v>
      </c>
      <c r="B99" s="13">
        <v>3.7693416640777189E-4</v>
      </c>
      <c r="C99" s="13">
        <v>1.585121349076745E-4</v>
      </c>
      <c r="D99" s="1"/>
      <c r="E99" s="1"/>
      <c r="F99" s="1"/>
      <c r="G99" s="1"/>
      <c r="H99" s="1"/>
    </row>
    <row r="100" spans="1:8" ht="22.05" customHeight="1">
      <c r="A100" s="1">
        <v>6</v>
      </c>
      <c r="B100" s="13">
        <v>5.5212139683713524E-4</v>
      </c>
      <c r="C100" s="13">
        <v>1.9186040104664516E-4</v>
      </c>
      <c r="D100" s="1"/>
      <c r="E100" s="1"/>
      <c r="F100" s="1"/>
      <c r="G100" s="1"/>
      <c r="H100" s="1"/>
    </row>
    <row r="101" spans="1:8" ht="22.05" customHeight="1">
      <c r="A101" s="1">
        <v>7</v>
      </c>
      <c r="B101" s="13">
        <v>7.6065073077052903E-4</v>
      </c>
      <c r="C101" s="13">
        <v>2.2519595688633441E-4</v>
      </c>
      <c r="D101" s="1"/>
      <c r="E101" s="1"/>
      <c r="F101" s="1"/>
      <c r="G101" s="1"/>
      <c r="H101" s="1"/>
    </row>
    <row r="102" spans="1:8" ht="22.05" customHeight="1">
      <c r="A102" s="1">
        <v>8</v>
      </c>
      <c r="B102" s="13">
        <v>1.002508313603101E-3</v>
      </c>
      <c r="C102" s="13">
        <v>2.5851652267457222E-4</v>
      </c>
      <c r="D102" s="1"/>
      <c r="E102" s="1"/>
      <c r="F102" s="1"/>
      <c r="G102" s="1"/>
      <c r="H102" s="1"/>
    </row>
    <row r="103" spans="1:8" ht="22.05" customHeight="1">
      <c r="A103" s="1">
        <v>9</v>
      </c>
      <c r="B103" s="13">
        <v>1.2776780305446267E-3</v>
      </c>
      <c r="C103" s="13">
        <v>2.918198521325239E-4</v>
      </c>
      <c r="D103" s="1"/>
      <c r="E103" s="1"/>
      <c r="F103" s="1"/>
      <c r="G103" s="1"/>
      <c r="H103" s="1"/>
    </row>
    <row r="104" spans="1:8" ht="22.05" customHeight="1">
      <c r="A104" s="1">
        <v>10</v>
      </c>
      <c r="B104" s="13">
        <v>1.5861415279543323E-3</v>
      </c>
      <c r="C104" s="13">
        <v>3.2510371204802138E-4</v>
      </c>
      <c r="D104" s="1"/>
      <c r="E104" s="1"/>
      <c r="F104" s="1"/>
      <c r="G104" s="1"/>
      <c r="H104" s="1"/>
    </row>
    <row r="105" spans="1:8" ht="22.05" customHeight="1">
      <c r="A105" s="1">
        <v>11</v>
      </c>
      <c r="B105" s="13">
        <v>1.927878222445667E-3</v>
      </c>
      <c r="C105" s="13">
        <v>3.5836587549676951E-4</v>
      </c>
      <c r="D105" s="1"/>
      <c r="E105" s="1"/>
      <c r="F105" s="1"/>
      <c r="G105" s="1"/>
      <c r="H105" s="1"/>
    </row>
    <row r="106" spans="1:8" ht="22.05" customHeight="1">
      <c r="A106" s="1">
        <v>12</v>
      </c>
      <c r="B106" s="13">
        <v>2.3028653057023396E-3</v>
      </c>
      <c r="C106" s="13">
        <v>3.9160411929540259E-4</v>
      </c>
      <c r="D106" s="1"/>
      <c r="E106" s="1"/>
      <c r="F106" s="1"/>
      <c r="G106" s="1"/>
      <c r="H106" s="1"/>
    </row>
    <row r="107" spans="1:8" ht="22.05" customHeight="1">
      <c r="A107" s="1">
        <v>13</v>
      </c>
      <c r="B107" s="13">
        <v>2.7110777476466175E-3</v>
      </c>
      <c r="C107" s="13">
        <v>4.2481622300186752E-4</v>
      </c>
      <c r="D107" s="1"/>
      <c r="E107" s="1"/>
      <c r="F107" s="1"/>
      <c r="G107" s="1"/>
      <c r="H107" s="1"/>
    </row>
    <row r="108" spans="1:8" ht="22.05" customHeight="1">
      <c r="A108" s="1">
        <v>14</v>
      </c>
      <c r="B108" s="13">
        <v>3.1524882989558689E-3</v>
      </c>
      <c r="C108" s="13">
        <v>4.5799996853102573E-4</v>
      </c>
      <c r="D108" s="1"/>
      <c r="E108" s="1"/>
      <c r="F108" s="1"/>
      <c r="G108" s="1"/>
      <c r="H108" s="1"/>
    </row>
    <row r="109" spans="1:8" ht="22.05" customHeight="1">
      <c r="A109" s="1">
        <v>15</v>
      </c>
      <c r="B109" s="13">
        <v>3.6270674933423508E-3</v>
      </c>
      <c r="C109" s="13">
        <v>4.911531400330942E-4</v>
      </c>
      <c r="D109" s="1"/>
      <c r="E109" s="1"/>
      <c r="F109" s="1"/>
      <c r="G109" s="1"/>
      <c r="H109" s="1"/>
    </row>
    <row r="110" spans="1:8" ht="22.05" customHeight="1">
      <c r="A110" s="1">
        <v>16</v>
      </c>
      <c r="B110" s="13">
        <v>4.1347836497839796E-3</v>
      </c>
      <c r="C110" s="13">
        <v>5.2427352389644024E-4</v>
      </c>
      <c r="D110" s="1"/>
      <c r="E110" s="1"/>
      <c r="F110" s="1"/>
      <c r="G110" s="1"/>
      <c r="H110" s="1"/>
    </row>
    <row r="111" spans="1:8" ht="22.05" customHeight="1">
      <c r="A111" s="1">
        <v>17</v>
      </c>
      <c r="B111" s="13">
        <v>4.675602874796958E-3</v>
      </c>
      <c r="C111" s="13">
        <v>5.5735890882341473E-4</v>
      </c>
      <c r="D111" s="1"/>
      <c r="E111" s="1"/>
      <c r="F111" s="1"/>
      <c r="G111" s="1"/>
      <c r="H111" s="1"/>
    </row>
    <row r="112" spans="1:8" ht="22.05" customHeight="1">
      <c r="A112" s="1">
        <v>18</v>
      </c>
      <c r="B112" s="13">
        <v>5.2494890647956649E-3</v>
      </c>
      <c r="C112" s="13">
        <v>5.9040708592796379E-4</v>
      </c>
      <c r="D112" s="1"/>
      <c r="E112" s="1"/>
      <c r="F112" s="1"/>
      <c r="G112" s="1"/>
      <c r="H112" s="1"/>
    </row>
    <row r="113" spans="1:8" ht="22.05" customHeight="1">
      <c r="A113" s="1">
        <v>19</v>
      </c>
      <c r="B113" s="13">
        <v>5.8564039085650665E-3</v>
      </c>
      <c r="C113" s="13">
        <v>6.2341584885722723E-4</v>
      </c>
      <c r="D113" s="1"/>
      <c r="E113" s="1"/>
      <c r="F113" s="1"/>
      <c r="G113" s="1"/>
      <c r="H113" s="1"/>
    </row>
    <row r="114" spans="1:8" ht="22.05" customHeight="1">
      <c r="A114" s="1">
        <v>20</v>
      </c>
      <c r="B114" s="13">
        <v>6.4963068898592491E-3</v>
      </c>
      <c r="C114" s="13">
        <v>6.5638299392527103E-4</v>
      </c>
      <c r="D114" s="1"/>
      <c r="E114" s="1"/>
      <c r="F114" s="1"/>
      <c r="G114" s="1"/>
      <c r="H114" s="1"/>
    </row>
    <row r="115" spans="1:8" ht="22.05" customHeight="1">
      <c r="A115" s="1">
        <v>21</v>
      </c>
      <c r="B115" s="13">
        <v>7.1691552901333444E-3</v>
      </c>
      <c r="C115" s="13">
        <v>6.8930632024402562E-4</v>
      </c>
      <c r="D115" s="1"/>
      <c r="E115" s="1"/>
      <c r="F115" s="1"/>
      <c r="G115" s="1"/>
      <c r="H115" s="1"/>
    </row>
    <row r="116" spans="1:8" ht="22.05" customHeight="1">
      <c r="A116" s="1">
        <v>22</v>
      </c>
      <c r="B116" s="13">
        <v>7.8749041914143447E-3</v>
      </c>
      <c r="C116" s="13">
        <v>7.2218362986750217E-4</v>
      </c>
      <c r="D116" s="1"/>
      <c r="E116" s="1"/>
      <c r="F116" s="1"/>
      <c r="G116" s="1"/>
      <c r="H116" s="1"/>
    </row>
    <row r="117" spans="1:8" ht="22.05" customHeight="1">
      <c r="A117" s="1">
        <v>23</v>
      </c>
      <c r="B117" s="13">
        <v>8.6135064793128602E-3</v>
      </c>
      <c r="C117" s="13">
        <v>7.5501272793265773E-4</v>
      </c>
      <c r="D117" s="1"/>
      <c r="E117" s="1"/>
      <c r="F117" s="1"/>
      <c r="G117" s="1"/>
      <c r="H117" s="1"/>
    </row>
    <row r="118" spans="1:8" ht="22.05" customHeight="1">
      <c r="A118" s="1">
        <v>24</v>
      </c>
      <c r="B118" s="13">
        <v>9.384912846177873E-3</v>
      </c>
      <c r="C118" s="13">
        <v>7.8779142280412508E-4</v>
      </c>
      <c r="D118" s="1"/>
      <c r="E118" s="1"/>
      <c r="F118" s="1"/>
      <c r="G118" s="1"/>
      <c r="H118" s="1"/>
    </row>
    <row r="119" spans="1:8" ht="22.05" customHeight="1">
      <c r="A119" s="1">
        <v>25</v>
      </c>
      <c r="B119" s="13">
        <v>1.0189071794394933E-2</v>
      </c>
      <c r="C119" s="13">
        <v>8.2051752621428871E-4</v>
      </c>
      <c r="D119" s="1"/>
      <c r="E119" s="1"/>
      <c r="F119" s="1"/>
      <c r="G119" s="1"/>
      <c r="H119" s="1"/>
    </row>
    <row r="120" spans="1:8" ht="22.05" customHeight="1">
      <c r="A120" s="1">
        <v>26</v>
      </c>
      <c r="B120" s="13">
        <v>1.1025929639829457E-2</v>
      </c>
      <c r="C120" s="13">
        <v>8.531888534144338E-4</v>
      </c>
      <c r="D120" s="1"/>
      <c r="E120" s="1"/>
      <c r="F120" s="1"/>
      <c r="G120" s="1"/>
      <c r="H120" s="1"/>
    </row>
    <row r="121" spans="1:8" ht="22.05" customHeight="1">
      <c r="A121" s="1">
        <v>27</v>
      </c>
      <c r="B121" s="13">
        <v>1.1895430515413807E-2</v>
      </c>
      <c r="C121" s="13">
        <v>8.8580322331196517E-4</v>
      </c>
      <c r="D121" s="1"/>
      <c r="E121" s="1"/>
      <c r="F121" s="1"/>
      <c r="G121" s="1"/>
      <c r="H121" s="1"/>
    </row>
    <row r="122" spans="1:8" ht="22.05" customHeight="1">
      <c r="A122" s="1">
        <v>28</v>
      </c>
      <c r="B122" s="13">
        <v>1.2797516374880136E-2</v>
      </c>
      <c r="C122" s="13">
        <v>9.1835845862212268E-4</v>
      </c>
      <c r="D122" s="1"/>
      <c r="E122" s="1"/>
      <c r="F122" s="1"/>
      <c r="G122" s="1"/>
      <c r="H122" s="1"/>
    </row>
    <row r="123" spans="1:8" ht="22.05" customHeight="1">
      <c r="A123" s="1">
        <v>29</v>
      </c>
      <c r="B123" s="13">
        <v>1.3732126996637173E-2</v>
      </c>
      <c r="C123" s="13">
        <v>9.508523860076131E-4</v>
      </c>
      <c r="D123" s="1"/>
      <c r="E123" s="1"/>
      <c r="F123" s="1"/>
      <c r="G123" s="1"/>
      <c r="H123" s="1"/>
    </row>
    <row r="124" spans="1:8" ht="22.05" customHeight="1">
      <c r="A124" s="1">
        <v>30</v>
      </c>
      <c r="B124" s="13">
        <v>1.4699199987792455E-2</v>
      </c>
      <c r="C124" s="13">
        <v>9.8328283622693582E-4</v>
      </c>
      <c r="D124" s="1"/>
      <c r="E124" s="1"/>
      <c r="F124" s="1"/>
      <c r="G124" s="1"/>
      <c r="H124" s="1"/>
    </row>
    <row r="125" spans="1:8" ht="22.05" customHeight="1">
      <c r="A125" s="1">
        <v>31</v>
      </c>
      <c r="B125" s="13">
        <v>1.5698670788318603E-2</v>
      </c>
      <c r="C125" s="13">
        <v>1.0156476442760352E-3</v>
      </c>
      <c r="D125" s="1"/>
      <c r="E125" s="1"/>
      <c r="F125" s="1"/>
      <c r="G125" s="1"/>
      <c r="H125" s="1"/>
    </row>
    <row r="126" spans="1:8" ht="22.05" customHeight="1">
      <c r="A126" s="1">
        <v>32</v>
      </c>
      <c r="B126" s="13">
        <v>1.6730472675364483E-2</v>
      </c>
      <c r="C126" s="13">
        <v>1.0479446495357228E-3</v>
      </c>
      <c r="D126" s="1"/>
      <c r="E126" s="1"/>
      <c r="F126" s="1"/>
      <c r="G126" s="1"/>
      <c r="H126" s="1"/>
    </row>
    <row r="127" spans="1:8" ht="22.05" customHeight="1">
      <c r="A127" s="1">
        <v>33</v>
      </c>
      <c r="B127" s="13">
        <v>1.7794536767709923E-2</v>
      </c>
      <c r="C127" s="13">
        <v>1.0801716959114621E-3</v>
      </c>
      <c r="D127" s="1"/>
      <c r="E127" s="1"/>
      <c r="F127" s="1"/>
      <c r="G127" s="1"/>
      <c r="H127" s="1"/>
    </row>
    <row r="128" spans="1:8" ht="22.05" customHeight="1">
      <c r="A128" s="1">
        <v>34</v>
      </c>
      <c r="B128" s="13">
        <v>1.8890792030365089E-2</v>
      </c>
      <c r="C128" s="13">
        <v>1.1123266319816396E-3</v>
      </c>
      <c r="D128" s="1"/>
      <c r="E128" s="1"/>
      <c r="F128" s="1"/>
      <c r="G128" s="1"/>
      <c r="H128" s="1"/>
    </row>
    <row r="129" spans="1:8" ht="22.05" customHeight="1">
      <c r="A129" s="1">
        <v>35</v>
      </c>
      <c r="B129" s="13">
        <v>2.0019165279312912E-2</v>
      </c>
      <c r="C129" s="13">
        <v>1.1444073111375607E-3</v>
      </c>
      <c r="D129" s="1"/>
      <c r="E129" s="1"/>
      <c r="F129" s="1"/>
      <c r="G129" s="1"/>
      <c r="H129" s="1"/>
    </row>
    <row r="130" spans="1:8" ht="22.05" customHeight="1">
      <c r="A130" s="1">
        <v>36</v>
      </c>
      <c r="B130" s="13">
        <v>2.1179581186395291E-2</v>
      </c>
      <c r="C130" s="13">
        <v>1.176411591729321E-3</v>
      </c>
      <c r="D130" s="1"/>
      <c r="E130" s="1"/>
      <c r="F130" s="1"/>
      <c r="G130" s="1"/>
      <c r="H130" s="1"/>
    </row>
    <row r="131" spans="1:8" ht="22.05" customHeight="1">
      <c r="A131" s="1">
        <v>37</v>
      </c>
      <c r="B131" s="13">
        <v>2.2371962284342017E-2</v>
      </c>
      <c r="C131" s="13">
        <v>1.2083373372072919E-3</v>
      </c>
      <c r="D131" s="1"/>
      <c r="E131" s="1"/>
      <c r="F131" s="1"/>
      <c r="G131" s="1"/>
      <c r="H131" s="1"/>
    </row>
    <row r="132" spans="1:8" ht="22.05" customHeight="1">
      <c r="A132" s="1">
        <v>38</v>
      </c>
      <c r="B132" s="13">
        <v>2.3596228971942801E-2</v>
      </c>
      <c r="C132" s="13">
        <v>1.2401824162640775E-3</v>
      </c>
      <c r="D132" s="1"/>
      <c r="E132" s="1"/>
      <c r="F132" s="1"/>
      <c r="G132" s="1"/>
      <c r="H132" s="1"/>
    </row>
    <row r="133" spans="1:8" ht="22.05" customHeight="1">
      <c r="A133" s="1">
        <v>39</v>
      </c>
      <c r="B133" s="13">
        <v>2.4852299519361465E-2</v>
      </c>
      <c r="C133" s="13">
        <v>1.2719447029789833E-3</v>
      </c>
      <c r="D133" s="1"/>
      <c r="E133" s="1"/>
      <c r="F133" s="1"/>
      <c r="G133" s="1"/>
      <c r="H133" s="1"/>
    </row>
    <row r="134" spans="1:8" ht="22.05" customHeight="1">
      <c r="A134" s="1">
        <v>40</v>
      </c>
      <c r="B134" s="13">
        <v>2.6140090073592137E-2</v>
      </c>
      <c r="C134" s="13">
        <v>1.3036220769573987E-3</v>
      </c>
      <c r="D134" s="1"/>
      <c r="E134" s="1"/>
      <c r="F134" s="1"/>
      <c r="G134" s="1"/>
      <c r="H134" s="1"/>
    </row>
    <row r="135" spans="1:8" ht="22.05" customHeight="1">
      <c r="A135" s="1">
        <v>41</v>
      </c>
      <c r="B135" s="13">
        <v>2.7459514664057438E-2</v>
      </c>
      <c r="C135" s="13">
        <v>1.3352124234738646E-3</v>
      </c>
      <c r="D135" s="1"/>
      <c r="E135" s="1"/>
      <c r="F135" s="1"/>
      <c r="G135" s="1"/>
      <c r="H135" s="1"/>
    </row>
    <row r="136" spans="1:8" ht="22.05" customHeight="1">
      <c r="A136" s="1">
        <v>42</v>
      </c>
      <c r="B136" s="13">
        <v>2.881048520834778E-2</v>
      </c>
      <c r="C136" s="13">
        <v>1.3667136336128873E-3</v>
      </c>
      <c r="D136" s="1"/>
      <c r="E136" s="1"/>
      <c r="F136" s="1"/>
      <c r="G136" s="1"/>
      <c r="H136" s="1"/>
    </row>
    <row r="137" spans="1:8" ht="22.05" customHeight="1">
      <c r="A137" s="1">
        <v>43</v>
      </c>
      <c r="B137" s="13">
        <v>3.0192911518101828E-2</v>
      </c>
      <c r="C137" s="13">
        <v>1.3981236044103543E-3</v>
      </c>
      <c r="D137" s="1"/>
      <c r="E137" s="1"/>
      <c r="F137" s="1"/>
      <c r="G137" s="1"/>
      <c r="H137" s="1"/>
    </row>
    <row r="138" spans="1:8" ht="22.05" customHeight="1">
      <c r="A138" s="1">
        <v>44</v>
      </c>
      <c r="B138" s="13">
        <v>3.1606701305027074E-2</v>
      </c>
      <c r="C138" s="13">
        <v>1.4294402389917033E-3</v>
      </c>
      <c r="D138" s="1"/>
      <c r="E138" s="1"/>
      <c r="F138" s="1"/>
      <c r="G138" s="1"/>
      <c r="H138" s="1"/>
    </row>
    <row r="139" spans="1:8" ht="22.05" customHeight="1">
      <c r="A139" s="1">
        <v>45</v>
      </c>
      <c r="B139" s="13">
        <v>3.3051760187061241E-2</v>
      </c>
      <c r="C139" s="13">
        <v>1.4606614467143283E-3</v>
      </c>
      <c r="D139" s="1"/>
      <c r="E139" s="1"/>
      <c r="F139" s="1"/>
      <c r="G139" s="1"/>
      <c r="H139" s="1"/>
    </row>
    <row r="140" spans="1:8" ht="22.05" customHeight="1">
      <c r="A140" s="1">
        <v>46</v>
      </c>
      <c r="B140" s="13">
        <v>3.4527991694673021E-2</v>
      </c>
      <c r="C140" s="13">
        <v>1.4917851433062944E-3</v>
      </c>
      <c r="D140" s="1"/>
      <c r="E140" s="1"/>
      <c r="F140" s="1"/>
      <c r="G140" s="1"/>
      <c r="H140" s="1"/>
    </row>
    <row r="141" spans="1:8" ht="22.05" customHeight="1">
      <c r="A141" s="1">
        <v>47</v>
      </c>
      <c r="B141" s="13">
        <v>3.6035297277302203E-2</v>
      </c>
      <c r="C141" s="13">
        <v>1.5228092510050338E-3</v>
      </c>
      <c r="D141" s="1"/>
      <c r="E141" s="1"/>
      <c r="F141" s="1"/>
      <c r="G141" s="1"/>
      <c r="H141" s="1"/>
    </row>
    <row r="142" spans="1:8" ht="22.05" customHeight="1">
      <c r="A142" s="1">
        <v>48</v>
      </c>
      <c r="B142" s="13">
        <v>3.7573576309938905E-2</v>
      </c>
      <c r="C142" s="13">
        <v>1.5537316986970787E-3</v>
      </c>
      <c r="D142" s="1"/>
      <c r="E142" s="1"/>
      <c r="F142" s="1"/>
      <c r="G142" s="1"/>
      <c r="H142" s="1"/>
    </row>
    <row r="143" spans="1:8" ht="22.05" customHeight="1">
      <c r="A143" s="1">
        <v>49</v>
      </c>
      <c r="B143" s="13">
        <v>3.914272609984093E-2</v>
      </c>
      <c r="C143" s="13">
        <v>1.5845504220543653E-3</v>
      </c>
      <c r="D143" s="1"/>
      <c r="E143" s="1"/>
      <c r="F143" s="1"/>
      <c r="G143" s="1"/>
      <c r="H143" s="1"/>
    </row>
    <row r="144" spans="1:8" ht="22.05" customHeight="1">
      <c r="A144" s="1">
        <v>50</v>
      </c>
      <c r="B144" s="13">
        <v>4.0742641893389608E-2</v>
      </c>
      <c r="C144" s="13">
        <v>1.6152633636741032E-3</v>
      </c>
      <c r="D144" s="1"/>
      <c r="E144" s="1"/>
      <c r="F144" s="1"/>
      <c r="G144" s="1"/>
      <c r="H144" s="1"/>
    </row>
    <row r="145" spans="1:8" ht="22.05" customHeight="1">
      <c r="A145" s="1">
        <v>51</v>
      </c>
      <c r="B145" s="13">
        <v>4.2373216883082987E-2</v>
      </c>
      <c r="C145" s="13">
        <v>1.6458684732157632E-3</v>
      </c>
      <c r="D145" s="1"/>
      <c r="E145" s="1"/>
      <c r="F145" s="1"/>
      <c r="G145" s="1"/>
      <c r="H145" s="1"/>
    </row>
    <row r="146" spans="1:8" ht="22.05" customHeight="1">
      <c r="A146" s="1">
        <v>52</v>
      </c>
      <c r="B146" s="13">
        <v>4.4034342214665956E-2</v>
      </c>
      <c r="C146" s="13">
        <v>1.6763637075368517E-3</v>
      </c>
      <c r="D146" s="1"/>
      <c r="E146" s="1"/>
      <c r="F146" s="1"/>
      <c r="G146" s="1"/>
      <c r="H146" s="1"/>
    </row>
    <row r="147" spans="1:8" ht="22.05" customHeight="1">
      <c r="A147" s="1">
        <v>53</v>
      </c>
      <c r="B147" s="13">
        <v>4.572590699439727E-2</v>
      </c>
      <c r="C147" s="13">
        <v>1.7067470308297034E-3</v>
      </c>
      <c r="D147" s="1"/>
      <c r="E147" s="1"/>
      <c r="F147" s="1"/>
      <c r="G147" s="1"/>
      <c r="H147" s="1"/>
    </row>
    <row r="148" spans="1:8" ht="22.05" customHeight="1">
      <c r="A148" s="1">
        <v>54</v>
      </c>
      <c r="B148" s="13">
        <v>4.7447798296452792E-2</v>
      </c>
      <c r="C148" s="13">
        <v>1.7370164147588218E-3</v>
      </c>
      <c r="D148" s="1"/>
      <c r="E148" s="1"/>
      <c r="F148" s="1"/>
      <c r="G148" s="1"/>
      <c r="H148" s="1"/>
    </row>
    <row r="149" spans="1:8" ht="22.05" customHeight="1">
      <c r="A149" s="1">
        <v>55</v>
      </c>
      <c r="B149" s="13">
        <v>4.9199901170463911E-2</v>
      </c>
      <c r="C149" s="13">
        <v>1.767169838593685E-3</v>
      </c>
      <c r="D149" s="1"/>
      <c r="E149" s="1"/>
      <c r="F149" s="1"/>
      <c r="G149" s="1"/>
      <c r="H149" s="1"/>
    </row>
    <row r="150" spans="1:8" ht="22.05" customHeight="1">
      <c r="A150" s="1">
        <v>56</v>
      </c>
      <c r="B150" s="13">
        <v>5.0982098649191787E-2</v>
      </c>
      <c r="C150" s="13">
        <v>1.7972052893462571E-3</v>
      </c>
      <c r="D150" s="1"/>
      <c r="E150" s="1"/>
      <c r="F150" s="1"/>
      <c r="G150" s="1"/>
      <c r="H150" s="1"/>
    </row>
    <row r="151" spans="1:8" ht="22.05" customHeight="1">
      <c r="A151" s="1">
        <v>57</v>
      </c>
      <c r="B151" s="13">
        <v>5.2794271756335609E-2</v>
      </c>
      <c r="C151" s="13">
        <v>1.8271207619034633E-3</v>
      </c>
      <c r="D151" s="1"/>
      <c r="E151" s="1"/>
      <c r="F151" s="1"/>
      <c r="G151" s="1"/>
      <c r="H151" s="1"/>
    </row>
    <row r="152" spans="1:8" ht="22.05" customHeight="1">
      <c r="A152" s="1">
        <v>58</v>
      </c>
      <c r="B152" s="13">
        <v>5.4636299514475462E-2</v>
      </c>
      <c r="C152" s="13">
        <v>1.856914259162339E-3</v>
      </c>
      <c r="D152" s="1"/>
      <c r="E152" s="1"/>
      <c r="F152" s="1"/>
      <c r="G152" s="1"/>
      <c r="H152" s="1"/>
    </row>
    <row r="153" spans="1:8" ht="22.05" customHeight="1">
      <c r="A153" s="1">
        <v>59</v>
      </c>
      <c r="B153" s="13">
        <v>5.650805895314831E-2</v>
      </c>
      <c r="C153" s="13">
        <v>1.8865837921618117E-3</v>
      </c>
      <c r="D153" s="1"/>
      <c r="E153" s="1"/>
      <c r="F153" s="1"/>
      <c r="G153" s="1"/>
      <c r="H153" s="1"/>
    </row>
    <row r="154" spans="1:8" ht="22.05" customHeight="1">
      <c r="A154" s="1">
        <v>60</v>
      </c>
      <c r="B154" s="13">
        <v>5.8409425117057656E-2</v>
      </c>
      <c r="C154" s="13">
        <v>1.9161273802176767E-3</v>
      </c>
      <c r="D154" s="1"/>
      <c r="E154" s="1"/>
      <c r="F154" s="1"/>
      <c r="G154" s="1"/>
      <c r="H154" s="1"/>
    </row>
    <row r="155" spans="1:8" ht="22.05" customHeight="1">
      <c r="A155" s="1">
        <v>61</v>
      </c>
      <c r="B155" s="13">
        <v>6.0340271074414975E-2</v>
      </c>
      <c r="C155" s="13">
        <v>1.9455430510525271E-3</v>
      </c>
      <c r="D155" s="1"/>
      <c r="E155" s="1"/>
      <c r="F155" s="1"/>
      <c r="G155" s="1"/>
      <c r="H155" s="1"/>
    </row>
    <row r="156" spans="1:8" ht="22.05" customHeight="1">
      <c r="A156" s="1">
        <v>62</v>
      </c>
      <c r="B156" s="13">
        <v>6.2300467925413772E-2</v>
      </c>
      <c r="C156" s="13">
        <v>1.9748288409294581E-3</v>
      </c>
      <c r="D156" s="1"/>
      <c r="E156" s="1"/>
      <c r="F156" s="1"/>
      <c r="G156" s="1"/>
      <c r="H156" s="1"/>
    </row>
    <row r="157" spans="1:8" ht="22.05" customHeight="1">
      <c r="A157" s="1">
        <v>63</v>
      </c>
      <c r="B157" s="13">
        <v>6.4289884810834419E-2</v>
      </c>
      <c r="C157" s="13">
        <v>2.0039827947812561E-3</v>
      </c>
      <c r="D157" s="1"/>
      <c r="E157" s="1"/>
      <c r="F157" s="1"/>
      <c r="G157" s="1"/>
      <c r="H157" s="1"/>
    </row>
    <row r="158" spans="1:8" ht="22.05" customHeight="1">
      <c r="A158" s="1">
        <v>64</v>
      </c>
      <c r="B158" s="13">
        <v>6.6308388920780337E-2</v>
      </c>
      <c r="C158" s="13">
        <v>2.0330029663425332E-3</v>
      </c>
      <c r="D158" s="1"/>
      <c r="E158" s="1"/>
      <c r="F158" s="1"/>
      <c r="G158" s="1"/>
      <c r="H158" s="1"/>
    </row>
    <row r="159" spans="1:8" ht="22.05" customHeight="1">
      <c r="A159" s="1">
        <v>65</v>
      </c>
      <c r="B159" s="13">
        <v>6.835584550354401E-2</v>
      </c>
      <c r="C159" s="13">
        <v>2.0618874182788322E-3</v>
      </c>
      <c r="D159" s="1"/>
      <c r="E159" s="1"/>
      <c r="F159" s="1"/>
      <c r="G159" s="1"/>
      <c r="H159" s="1"/>
    </row>
    <row r="160" spans="1:8" ht="22.05" customHeight="1">
      <c r="A160" s="1">
        <v>66</v>
      </c>
      <c r="B160" s="13">
        <v>7.043211787460274E-2</v>
      </c>
      <c r="C160" s="13">
        <v>2.0906342223155979E-3</v>
      </c>
      <c r="D160" s="1"/>
      <c r="E160" s="1"/>
      <c r="F160" s="1"/>
      <c r="G160" s="1"/>
      <c r="H160" s="1"/>
    </row>
    <row r="161" spans="1:8" ht="22.05" customHeight="1">
      <c r="A161" s="1">
        <v>67</v>
      </c>
      <c r="B161" s="13">
        <v>7.2537067425743673E-2</v>
      </c>
      <c r="C161" s="13">
        <v>2.1192414593682791E-3</v>
      </c>
      <c r="D161" s="1"/>
      <c r="E161" s="1"/>
      <c r="F161" s="1"/>
      <c r="G161" s="1"/>
      <c r="H161" s="1"/>
    </row>
    <row r="162" spans="1:8" ht="22.05" customHeight="1">
      <c r="A162" s="1">
        <v>68</v>
      </c>
      <c r="B162" s="13">
        <v>7.4670553634316683E-2</v>
      </c>
      <c r="C162" s="13">
        <v>2.1477072196684779E-3</v>
      </c>
      <c r="D162" s="1"/>
      <c r="E162" s="1"/>
      <c r="F162" s="1"/>
      <c r="G162" s="1"/>
      <c r="H162" s="1"/>
    </row>
    <row r="163" spans="1:8" ht="22.05" customHeight="1">
      <c r="A163" s="1">
        <v>69</v>
      </c>
      <c r="B163" s="13">
        <v>7.6832434072615863E-2</v>
      </c>
      <c r="C163" s="13">
        <v>2.1760296028937275E-3</v>
      </c>
      <c r="D163" s="1"/>
      <c r="E163" s="1"/>
      <c r="F163" s="1"/>
      <c r="G163" s="1"/>
      <c r="H163" s="1"/>
    </row>
    <row r="164" spans="1:8" ht="22.05" customHeight="1">
      <c r="A164" s="1">
        <v>70</v>
      </c>
      <c r="B164" s="13">
        <v>7.9022564417387309E-2</v>
      </c>
      <c r="C164" s="13">
        <v>2.2042067182921105E-3</v>
      </c>
      <c r="D164" s="1"/>
      <c r="E164" s="1"/>
      <c r="F164" s="1"/>
      <c r="G164" s="1"/>
      <c r="H164" s="1"/>
    </row>
    <row r="165" spans="1:8" ht="22.05" customHeight="1">
      <c r="A165" s="1">
        <v>71</v>
      </c>
      <c r="B165" s="13">
        <v>8.1240798459464247E-2</v>
      </c>
      <c r="C165" s="13">
        <v>2.2322366848104408E-3</v>
      </c>
      <c r="D165" s="1"/>
      <c r="E165" s="1"/>
      <c r="F165" s="1"/>
      <c r="G165" s="1"/>
      <c r="H165" s="1"/>
    </row>
    <row r="166" spans="1:8" ht="22.05" customHeight="1">
      <c r="A166" s="1">
        <v>72</v>
      </c>
      <c r="B166" s="13">
        <v>8.3486988113527394E-2</v>
      </c>
      <c r="C166" s="13">
        <v>2.2601176312181479E-3</v>
      </c>
      <c r="D166" s="1"/>
      <c r="E166" s="1"/>
      <c r="F166" s="1"/>
      <c r="G166" s="1"/>
      <c r="H166" s="1"/>
    </row>
    <row r="167" spans="1:8" ht="22.05" customHeight="1">
      <c r="A167" s="1">
        <v>73</v>
      </c>
      <c r="B167" s="13">
        <v>8.57609834279911E-2</v>
      </c>
      <c r="C167" s="13">
        <v>2.2878476962335504E-3</v>
      </c>
      <c r="D167" s="1"/>
      <c r="E167" s="1"/>
      <c r="F167" s="1"/>
      <c r="G167" s="1"/>
      <c r="H167" s="1"/>
    </row>
    <row r="168" spans="1:8" ht="22.05" customHeight="1">
      <c r="A168" s="1">
        <v>74</v>
      </c>
      <c r="B168" s="13">
        <v>8.8062632595013679E-2</v>
      </c>
      <c r="C168" s="13">
        <v>2.3154250286469796E-3</v>
      </c>
      <c r="D168" s="1"/>
      <c r="E168" s="1"/>
      <c r="F168" s="1"/>
      <c r="G168" s="1"/>
      <c r="H168" s="1"/>
    </row>
    <row r="169" spans="1:8" ht="22.05" customHeight="1">
      <c r="A169" s="1">
        <v>75</v>
      </c>
      <c r="B169" s="13">
        <v>9.0391781960632023E-2</v>
      </c>
      <c r="C169" s="13">
        <v>2.3428477874455917E-3</v>
      </c>
      <c r="D169" s="1"/>
      <c r="E169" s="1"/>
      <c r="F169" s="1"/>
      <c r="G169" s="1"/>
      <c r="H169" s="1"/>
    </row>
    <row r="170" spans="1:8" ht="22.05" customHeight="1">
      <c r="A170" s="1">
        <v>76</v>
      </c>
      <c r="B170" s="13">
        <v>9.2748276035019006E-2</v>
      </c>
      <c r="C170" s="13">
        <v>2.3701141419349395E-3</v>
      </c>
      <c r="D170" s="1"/>
      <c r="E170" s="1"/>
      <c r="F170" s="1"/>
      <c r="G170" s="1"/>
      <c r="H170" s="1"/>
    </row>
    <row r="171" spans="1:8" ht="22.05" customHeight="1">
      <c r="A171" s="1">
        <v>77</v>
      </c>
      <c r="B171" s="13">
        <v>9.5131957502864017E-2</v>
      </c>
      <c r="C171" s="13">
        <v>2.3972222718625681E-3</v>
      </c>
      <c r="D171" s="1"/>
      <c r="E171" s="1"/>
      <c r="F171" s="1"/>
      <c r="G171" s="1"/>
      <c r="H171" s="1"/>
    </row>
    <row r="172" spans="1:8" ht="22.05" customHeight="1">
      <c r="A172" s="1">
        <v>78</v>
      </c>
      <c r="B172" s="13">
        <v>9.7542667233874725E-2</v>
      </c>
      <c r="C172" s="13">
        <v>2.4241703675380736E-3</v>
      </c>
      <c r="D172" s="1"/>
      <c r="E172" s="1"/>
      <c r="F172" s="1"/>
      <c r="G172" s="1"/>
      <c r="H172" s="1"/>
    </row>
    <row r="173" spans="1:8" ht="22.05" customHeight="1">
      <c r="A173" s="1">
        <v>79</v>
      </c>
      <c r="B173" s="13">
        <v>9.9980244293400578E-2</v>
      </c>
      <c r="C173" s="13">
        <v>2.4509566299550406E-3</v>
      </c>
      <c r="D173" s="1"/>
      <c r="E173" s="1"/>
      <c r="F173" s="1"/>
      <c r="G173" s="1"/>
      <c r="H173" s="1"/>
    </row>
    <row r="174" spans="1:8" ht="22.05" customHeight="1">
      <c r="A174" s="1">
        <v>80</v>
      </c>
      <c r="B174" s="13">
        <v>0.10244452595317644</v>
      </c>
      <c r="C174" s="13">
        <v>2.4775792709108456E-3</v>
      </c>
      <c r="D174" s="1"/>
      <c r="E174" s="1"/>
      <c r="F174" s="1"/>
      <c r="G174" s="1"/>
      <c r="H174" s="1"/>
    </row>
    <row r="175" spans="1:8" ht="22.05" customHeight="1">
      <c r="A175" s="1">
        <v>81</v>
      </c>
      <c r="B175" s="13">
        <v>0.10493534770218593</v>
      </c>
      <c r="C175" s="13">
        <v>2.5040365131257115E-3</v>
      </c>
      <c r="D175" s="1"/>
      <c r="E175" s="1"/>
      <c r="F175" s="1"/>
      <c r="G175" s="1"/>
      <c r="H175" s="1"/>
    </row>
    <row r="176" spans="1:8" ht="22.05" customHeight="1">
      <c r="A176" s="1">
        <v>82</v>
      </c>
      <c r="B176" s="13">
        <v>0.10745254325764414</v>
      </c>
      <c r="C176" s="13">
        <v>2.5303265903615958E-3</v>
      </c>
      <c r="D176" s="1"/>
      <c r="E176" s="1"/>
      <c r="F176" s="1"/>
      <c r="G176" s="1"/>
      <c r="H176" s="1"/>
    </row>
    <row r="177" spans="1:8" ht="22.05" customHeight="1">
      <c r="A177" s="1">
        <v>83</v>
      </c>
      <c r="B177" s="13">
        <v>0.10999594457609801</v>
      </c>
      <c r="C177" s="13">
        <v>2.5564477475401837E-3</v>
      </c>
      <c r="D177" s="1"/>
      <c r="E177" s="1"/>
      <c r="F177" s="1"/>
      <c r="G177" s="1"/>
      <c r="H177" s="1"/>
    </row>
    <row r="178" spans="1:8" ht="22.05" customHeight="1">
      <c r="A178" s="1">
        <v>84</v>
      </c>
      <c r="B178" s="13">
        <v>0.11256538186464499</v>
      </c>
      <c r="C178" s="13">
        <v>2.5823982408600629E-3</v>
      </c>
      <c r="D178" s="1"/>
      <c r="E178" s="1"/>
      <c r="F178" s="1"/>
      <c r="G178" s="1"/>
      <c r="H178" s="1"/>
    </row>
    <row r="179" spans="1:8" ht="22.05" customHeight="1">
      <c r="A179" s="1">
        <v>85</v>
      </c>
      <c r="B179" s="13">
        <v>0.11516068359226778</v>
      </c>
      <c r="C179" s="13">
        <v>2.6081763379126764E-3</v>
      </c>
      <c r="D179" s="1"/>
      <c r="E179" s="1"/>
      <c r="F179" s="1"/>
      <c r="G179" s="1"/>
      <c r="H179" s="1"/>
    </row>
    <row r="180" spans="1:8" ht="22.05" customHeight="1">
      <c r="A180" s="1">
        <v>86</v>
      </c>
      <c r="B180" s="13">
        <v>0.11778167650128574</v>
      </c>
      <c r="C180" s="13">
        <v>2.6337803177988459E-3</v>
      </c>
      <c r="D180" s="1"/>
      <c r="E180" s="1"/>
      <c r="F180" s="1"/>
      <c r="G180" s="1"/>
      <c r="H180" s="1"/>
    </row>
    <row r="181" spans="1:8" ht="22.05" customHeight="1">
      <c r="A181" s="1">
        <v>87</v>
      </c>
      <c r="B181" s="13">
        <v>0.12042818561892099</v>
      </c>
      <c r="C181" s="13">
        <v>2.6592084712427399E-3</v>
      </c>
      <c r="D181" s="1"/>
      <c r="E181" s="1"/>
      <c r="F181" s="1"/>
      <c r="G181" s="1"/>
      <c r="H181" s="1"/>
    </row>
    <row r="182" spans="1:8" ht="22.05" customHeight="1">
      <c r="A182" s="1">
        <v>88</v>
      </c>
      <c r="B182" s="13">
        <v>0.12310003426897942</v>
      </c>
      <c r="C182" s="13">
        <v>2.6844591007064351E-3</v>
      </c>
      <c r="D182" s="1"/>
      <c r="E182" s="1"/>
      <c r="F182" s="1"/>
      <c r="G182" s="1"/>
      <c r="H182" s="1"/>
    </row>
    <row r="183" spans="1:8" ht="22.05" customHeight="1">
      <c r="A183" s="1">
        <v>89</v>
      </c>
      <c r="B183" s="13">
        <v>0.12579704408364528</v>
      </c>
      <c r="C183" s="13">
        <v>2.7095305205033903E-3</v>
      </c>
      <c r="D183" s="1"/>
      <c r="E183" s="1"/>
      <c r="F183" s="1"/>
      <c r="G183" s="1"/>
      <c r="H183" s="1"/>
    </row>
    <row r="184" spans="1:8" ht="22.05" customHeight="1">
      <c r="A184" s="1">
        <v>90</v>
      </c>
      <c r="B184" s="13">
        <v>0.12851903501538864</v>
      </c>
      <c r="C184" s="13">
        <v>2.7344210569105491E-3</v>
      </c>
      <c r="D184" s="1"/>
      <c r="E184" s="1"/>
      <c r="F184" s="1"/>
      <c r="G184" s="1"/>
      <c r="H184" s="1"/>
    </row>
    <row r="185" spans="1:8" ht="22.05" customHeight="1">
      <c r="A185" s="1">
        <v>91</v>
      </c>
      <c r="B185" s="13">
        <v>0.13126582534898507</v>
      </c>
      <c r="C185" s="13">
        <v>2.7591290482804356E-3</v>
      </c>
      <c r="D185" s="1"/>
      <c r="E185" s="1"/>
      <c r="F185" s="1"/>
      <c r="G185" s="1"/>
      <c r="H185" s="1"/>
    </row>
    <row r="186" spans="1:8" ht="22.05" customHeight="1">
      <c r="A186" s="1">
        <v>92</v>
      </c>
      <c r="B186" s="13">
        <v>0.13403723171364662</v>
      </c>
      <c r="C186" s="13">
        <v>2.7836528451519577E-3</v>
      </c>
      <c r="D186" s="1"/>
      <c r="E186" s="1"/>
      <c r="F186" s="1"/>
      <c r="G186" s="1"/>
      <c r="H186" s="1"/>
    </row>
    <row r="187" spans="1:8" ht="22.05" customHeight="1">
      <c r="A187" s="1">
        <v>93</v>
      </c>
      <c r="B187" s="13">
        <v>0.13683306909526333</v>
      </c>
      <c r="C187" s="13">
        <v>2.8079908103604708E-3</v>
      </c>
      <c r="D187" s="1"/>
      <c r="E187" s="1"/>
      <c r="F187" s="1"/>
      <c r="G187" s="1"/>
      <c r="H187" s="1"/>
    </row>
    <row r="188" spans="1:8" ht="22.05" customHeight="1">
      <c r="A188" s="1">
        <v>94</v>
      </c>
      <c r="B188" s="13">
        <v>0.1396531508487544</v>
      </c>
      <c r="C188" s="13">
        <v>2.8321413191470619E-3</v>
      </c>
      <c r="D188" s="1"/>
      <c r="E188" s="1"/>
      <c r="F188" s="1"/>
      <c r="G188" s="1"/>
      <c r="H188" s="1"/>
    </row>
    <row r="189" spans="1:8" ht="22.05" customHeight="1">
      <c r="A189" s="1">
        <v>95</v>
      </c>
      <c r="B189" s="13">
        <v>0.14249728871052841</v>
      </c>
      <c r="C189" s="13">
        <v>2.8561027592673119E-3</v>
      </c>
      <c r="D189" s="1"/>
      <c r="E189" s="1"/>
      <c r="F189" s="1"/>
      <c r="G189" s="1"/>
      <c r="H189" s="1"/>
    </row>
    <row r="190" spans="1:8" ht="22.05" customHeight="1">
      <c r="A190" s="1">
        <v>96</v>
      </c>
      <c r="B190" s="13">
        <v>0.14536529281105126</v>
      </c>
      <c r="C190" s="13">
        <v>2.8798735310984406E-3</v>
      </c>
      <c r="D190" s="1"/>
      <c r="E190" s="1"/>
      <c r="F190" s="1"/>
      <c r="G190" s="1"/>
      <c r="H190" s="1"/>
    </row>
    <row r="191" spans="1:8" ht="22.05" customHeight="1">
      <c r="A191" s="1">
        <v>97</v>
      </c>
      <c r="B191" s="13">
        <v>0.14825697168752167</v>
      </c>
      <c r="C191" s="13">
        <v>2.9034520477464235E-3</v>
      </c>
      <c r="D191" s="1"/>
      <c r="E191" s="1"/>
      <c r="F191" s="1"/>
      <c r="G191" s="1"/>
      <c r="H191" s="1"/>
    </row>
    <row r="192" spans="1:8" ht="22.05" customHeight="1">
      <c r="A192" s="1">
        <v>98</v>
      </c>
      <c r="B192" s="13">
        <v>0.15117213229665283</v>
      </c>
      <c r="C192" s="13">
        <v>2.9268367351518933E-3</v>
      </c>
      <c r="D192" s="1"/>
      <c r="E192" s="1"/>
      <c r="F192" s="1"/>
      <c r="G192" s="1"/>
      <c r="H192" s="1"/>
    </row>
    <row r="193" spans="1:8" ht="22.05" customHeight="1">
      <c r="A193" s="1">
        <v>99</v>
      </c>
      <c r="B193" s="13">
        <v>0.15411058002755962</v>
      </c>
      <c r="C193" s="13">
        <v>2.9500260321949955E-3</v>
      </c>
      <c r="D193" s="1"/>
      <c r="E193" s="1"/>
      <c r="F193" s="1"/>
      <c r="G193" s="1"/>
      <c r="H193" s="1"/>
    </row>
    <row r="194" spans="1:8" ht="22.05" customHeight="1">
      <c r="A194" s="1">
        <v>100</v>
      </c>
      <c r="B194" s="13">
        <v>0.15707211871475052</v>
      </c>
      <c r="C194" s="13">
        <v>2.973018390799951E-3</v>
      </c>
      <c r="D194" s="1"/>
      <c r="E194" s="1"/>
      <c r="F194" s="1"/>
      <c r="G194" s="1"/>
      <c r="H194" s="1"/>
    </row>
    <row r="195" spans="1:8" ht="22.05" customHeight="1">
      <c r="A195" s="1">
        <v>101</v>
      </c>
      <c r="B195" s="13">
        <v>0.16005655065122332</v>
      </c>
      <c r="C195" s="13">
        <v>2.9958122760383233E-3</v>
      </c>
      <c r="D195" s="1"/>
      <c r="E195" s="1"/>
      <c r="F195" s="1"/>
      <c r="G195" s="1"/>
      <c r="H195" s="1"/>
    </row>
    <row r="196" spans="1:8" ht="22.05" customHeight="1">
      <c r="A196" s="1">
        <v>102</v>
      </c>
      <c r="B196" s="13">
        <v>0.16306367660166343</v>
      </c>
      <c r="C196" s="13">
        <v>3.018406166231038E-3</v>
      </c>
      <c r="D196" s="1"/>
      <c r="E196" s="1"/>
      <c r="F196" s="1"/>
      <c r="G196" s="1"/>
      <c r="H196" s="1"/>
    </row>
    <row r="197" spans="1:8" ht="22.05" customHeight="1">
      <c r="A197" s="1">
        <v>103</v>
      </c>
      <c r="B197" s="13">
        <v>0.16609329581574489</v>
      </c>
      <c r="C197" s="13">
        <v>3.0407985530508178E-3</v>
      </c>
      <c r="D197" s="1"/>
      <c r="E197" s="1"/>
      <c r="F197" s="1"/>
      <c r="G197" s="1"/>
      <c r="H197" s="1"/>
    </row>
    <row r="198" spans="1:8" ht="22.05" customHeight="1">
      <c r="A198" s="1">
        <v>104</v>
      </c>
      <c r="B198" s="13">
        <v>0.16914520604153171</v>
      </c>
      <c r="C198" s="13">
        <v>3.0629879416221319E-3</v>
      </c>
      <c r="D198" s="1"/>
      <c r="E198" s="1"/>
      <c r="F198" s="1"/>
      <c r="G198" s="1"/>
      <c r="H198" s="1"/>
    </row>
    <row r="199" spans="1:8" ht="22.05" customHeight="1">
      <c r="A199" s="1">
        <v>105</v>
      </c>
      <c r="B199" s="13">
        <v>0.17221920353898001</v>
      </c>
      <c r="C199" s="13">
        <v>3.0849728506211049E-3</v>
      </c>
      <c r="D199" s="1"/>
      <c r="E199" s="1"/>
      <c r="F199" s="1"/>
      <c r="G199" s="1"/>
      <c r="H199" s="1"/>
    </row>
    <row r="200" spans="1:8" ht="22.05" customHeight="1">
      <c r="A200" s="1">
        <v>106</v>
      </c>
      <c r="B200" s="13">
        <v>0.17531508309353938</v>
      </c>
      <c r="C200" s="13">
        <v>3.1067518123748003E-3</v>
      </c>
      <c r="D200" s="1"/>
      <c r="E200" s="1"/>
      <c r="F200" s="1"/>
      <c r="G200" s="1"/>
      <c r="H200" s="1"/>
    </row>
    <row r="201" spans="1:8" ht="22.05" customHeight="1">
      <c r="A201" s="1">
        <v>107</v>
      </c>
      <c r="B201" s="13">
        <v>0.1784326380298526</v>
      </c>
      <c r="C201" s="13">
        <v>3.1283233729589334E-3</v>
      </c>
      <c r="D201" s="1"/>
      <c r="E201" s="1"/>
      <c r="F201" s="1"/>
      <c r="G201" s="1"/>
      <c r="H201" s="1"/>
    </row>
    <row r="202" spans="1:8" ht="22.05" customHeight="1">
      <c r="A202" s="1">
        <v>108</v>
      </c>
      <c r="B202" s="13">
        <v>0.18157166022555277</v>
      </c>
      <c r="C202" s="13">
        <v>3.1496860922946113E-3</v>
      </c>
      <c r="D202" s="1"/>
      <c r="E202" s="1"/>
      <c r="F202" s="1"/>
      <c r="G202" s="1"/>
      <c r="H202" s="1"/>
    </row>
    <row r="203" spans="1:8" ht="22.05" customHeight="1">
      <c r="A203" s="1">
        <v>109</v>
      </c>
      <c r="B203" s="13">
        <v>0.18473194012515753</v>
      </c>
      <c r="C203" s="13">
        <v>3.17083854424542E-3</v>
      </c>
      <c r="D203" s="1"/>
      <c r="E203" s="1"/>
      <c r="F203" s="1"/>
      <c r="G203" s="1"/>
      <c r="H203" s="1"/>
    </row>
    <row r="204" spans="1:8" ht="22.05" customHeight="1">
      <c r="A204" s="1">
        <v>110</v>
      </c>
      <c r="B204" s="13">
        <v>0.18791326675405817</v>
      </c>
      <c r="C204" s="13">
        <v>3.1917793167112961E-3</v>
      </c>
      <c r="D204" s="1"/>
      <c r="E204" s="1"/>
      <c r="F204" s="1"/>
      <c r="G204" s="1"/>
      <c r="H204" s="1"/>
    </row>
    <row r="205" spans="1:8" ht="22.05" customHeight="1">
      <c r="A205" s="1">
        <v>111</v>
      </c>
      <c r="B205" s="13">
        <v>0.19111542773260437</v>
      </c>
      <c r="C205" s="13">
        <v>3.2125070117241961E-3</v>
      </c>
      <c r="D205" s="1"/>
      <c r="E205" s="1"/>
      <c r="F205" s="1"/>
      <c r="G205" s="1"/>
      <c r="H205" s="1"/>
    </row>
    <row r="206" spans="1:8" ht="22.05" customHeight="1">
      <c r="A206" s="1">
        <v>112</v>
      </c>
      <c r="B206" s="13">
        <v>0.19433820929028178</v>
      </c>
      <c r="C206" s="13">
        <v>3.233020245540205E-3</v>
      </c>
      <c r="D206" s="1"/>
      <c r="E206" s="1"/>
      <c r="F206" s="1"/>
      <c r="G206" s="1"/>
      <c r="H206" s="1"/>
    </row>
    <row r="207" spans="1:8" ht="22.05" customHeight="1">
      <c r="A207" s="1">
        <v>113</v>
      </c>
      <c r="B207" s="13">
        <v>0.19758139627998356</v>
      </c>
      <c r="C207" s="13">
        <v>3.2533176487329328E-3</v>
      </c>
      <c r="D207" s="1"/>
      <c r="E207" s="1"/>
      <c r="F207" s="1"/>
      <c r="G207" s="1"/>
      <c r="H207" s="1"/>
    </row>
    <row r="208" spans="1:8" ht="22.05" customHeight="1">
      <c r="A208" s="1">
        <v>114</v>
      </c>
      <c r="B208" s="13">
        <v>0.20084477219237257</v>
      </c>
      <c r="C208" s="13">
        <v>3.2733978662839447E-3</v>
      </c>
      <c r="D208" s="1"/>
      <c r="E208" s="1"/>
      <c r="F208" s="1"/>
      <c r="G208" s="1"/>
      <c r="H208" s="1"/>
    </row>
    <row r="209" spans="1:8" ht="22.05" customHeight="1">
      <c r="A209" s="1">
        <v>115</v>
      </c>
      <c r="B209" s="13">
        <v>0.20412811917033569</v>
      </c>
      <c r="C209" s="13">
        <v>3.2932595576741701E-3</v>
      </c>
      <c r="D209" s="1"/>
      <c r="E209" s="1"/>
      <c r="F209" s="1"/>
      <c r="G209" s="1"/>
      <c r="H209" s="1"/>
    </row>
    <row r="210" spans="1:8" ht="22.05" customHeight="1">
      <c r="A210" s="1">
        <v>116</v>
      </c>
      <c r="B210" s="13">
        <v>0.20743121802352721</v>
      </c>
      <c r="C210" s="13">
        <v>3.3129013969727208E-3</v>
      </c>
      <c r="D210" s="1"/>
      <c r="E210" s="1"/>
      <c r="F210" s="1"/>
      <c r="G210" s="1"/>
      <c r="H210" s="1"/>
    </row>
    <row r="211" spans="1:8" ht="22.05" customHeight="1">
      <c r="A211" s="1">
        <v>117</v>
      </c>
      <c r="B211" s="13">
        <v>0.21075384824300175</v>
      </c>
      <c r="C211" s="13">
        <v>3.3323220729256481E-3</v>
      </c>
      <c r="D211" s="1"/>
      <c r="E211" s="1"/>
      <c r="F211" s="1"/>
      <c r="G211" s="1"/>
      <c r="H211" s="1"/>
    </row>
    <row r="212" spans="1:8" ht="22.05" customHeight="1">
      <c r="A212" s="1">
        <v>118</v>
      </c>
      <c r="B212" s="13">
        <v>0.21409578801593498</v>
      </c>
      <c r="C212" s="13">
        <v>3.3515202890434768E-3</v>
      </c>
      <c r="D212" s="1"/>
      <c r="E212" s="1"/>
      <c r="F212" s="1"/>
      <c r="G212" s="1"/>
      <c r="H212" s="1"/>
    </row>
    <row r="213" spans="1:8" ht="22.05" customHeight="1">
      <c r="A213" s="1">
        <v>119</v>
      </c>
      <c r="B213" s="13">
        <v>0.21745681424043156</v>
      </c>
      <c r="C213" s="13">
        <v>3.3704947636879409E-3</v>
      </c>
      <c r="D213" s="1"/>
      <c r="E213" s="1"/>
      <c r="F213" s="1"/>
      <c r="G213" s="1"/>
      <c r="H213" s="1"/>
    </row>
    <row r="214" spans="1:8" ht="22.05" customHeight="1">
      <c r="A214" s="1">
        <v>120</v>
      </c>
      <c r="B214" s="13">
        <v>0.22083670254041887</v>
      </c>
      <c r="C214" s="13">
        <v>3.3892442301571846E-3</v>
      </c>
      <c r="D214" s="1"/>
      <c r="E214" s="1"/>
      <c r="F214" s="1"/>
      <c r="G214" s="1"/>
      <c r="H214" s="1"/>
    </row>
    <row r="215" spans="1:8" ht="22.05" customHeight="1">
      <c r="A215" s="1">
        <v>121</v>
      </c>
      <c r="B215" s="13">
        <v>0.22423522728062589</v>
      </c>
      <c r="C215" s="13">
        <v>3.4077674367702653E-3</v>
      </c>
      <c r="D215" s="1"/>
      <c r="E215" s="1"/>
      <c r="F215" s="1"/>
      <c r="G215" s="1"/>
      <c r="H215" s="1"/>
    </row>
    <row r="216" spans="1:8" ht="22.05" customHeight="1">
      <c r="A216" s="1">
        <v>122</v>
      </c>
      <c r="B216" s="13">
        <v>0.22765216158164658</v>
      </c>
      <c r="C216" s="13">
        <v>3.4260631469514484E-3</v>
      </c>
      <c r="D216" s="1"/>
      <c r="E216" s="1"/>
      <c r="F216" s="1"/>
      <c r="G216" s="1"/>
      <c r="H216" s="1"/>
    </row>
    <row r="217" spans="1:8" ht="22.05" customHeight="1">
      <c r="A217" s="1">
        <v>123</v>
      </c>
      <c r="B217" s="13">
        <v>0.23108727733508555</v>
      </c>
      <c r="C217" s="13">
        <v>3.4441301393119401E-3</v>
      </c>
      <c r="D217" s="1"/>
      <c r="E217" s="1"/>
      <c r="F217" s="1"/>
      <c r="G217" s="1"/>
      <c r="H217" s="1"/>
    </row>
    <row r="218" spans="1:8" ht="22.05" customHeight="1">
      <c r="A218" s="1">
        <v>124</v>
      </c>
      <c r="B218" s="13">
        <v>0.23454034521878625</v>
      </c>
      <c r="C218" s="13">
        <v>3.4619672077316828E-3</v>
      </c>
      <c r="D218" s="1"/>
      <c r="E218" s="1"/>
      <c r="F218" s="1"/>
      <c r="G218" s="1"/>
      <c r="H218" s="1"/>
    </row>
    <row r="219" spans="1:8" ht="22.05" customHeight="1">
      <c r="A219" s="1">
        <v>125</v>
      </c>
      <c r="B219" s="13">
        <v>0.2380111347121403</v>
      </c>
      <c r="C219" s="13">
        <v>3.4795731614401652E-3</v>
      </c>
      <c r="D219" s="1"/>
      <c r="E219" s="1"/>
      <c r="F219" s="1"/>
      <c r="G219" s="1"/>
      <c r="H219" s="1"/>
    </row>
    <row r="220" spans="1:8" ht="22.05" customHeight="1">
      <c r="A220" s="1">
        <v>126</v>
      </c>
      <c r="B220" s="13">
        <v>0.24149941411147635</v>
      </c>
      <c r="C220" s="13">
        <v>3.496946825095347E-3</v>
      </c>
      <c r="D220" s="1"/>
      <c r="E220" s="1"/>
      <c r="F220" s="1"/>
      <c r="G220" s="1"/>
      <c r="H220" s="1"/>
    </row>
    <row r="221" spans="1:8" ht="22.05" customHeight="1">
      <c r="A221" s="1">
        <v>127</v>
      </c>
      <c r="B221" s="13">
        <v>0.24500495054552857</v>
      </c>
      <c r="C221" s="13">
        <v>3.5140870388629302E-3</v>
      </c>
      <c r="D221" s="1"/>
      <c r="E221" s="1"/>
      <c r="F221" s="1"/>
      <c r="G221" s="1"/>
      <c r="H221" s="1"/>
    </row>
    <row r="222" spans="1:8" ht="22.05" customHeight="1">
      <c r="A222" s="1">
        <v>128</v>
      </c>
      <c r="B222" s="13">
        <v>0.24852750999098222</v>
      </c>
      <c r="C222" s="13">
        <v>3.5309926584928117E-3</v>
      </c>
      <c r="D222" s="1"/>
      <c r="E222" s="1"/>
      <c r="F222" s="1"/>
      <c r="G222" s="1"/>
      <c r="H222" s="1"/>
    </row>
    <row r="223" spans="1:8" ht="22.05" customHeight="1">
      <c r="A223" s="1">
        <v>129</v>
      </c>
      <c r="B223" s="13">
        <v>0.25206685728809708</v>
      </c>
      <c r="C223" s="13">
        <v>3.5476625553962624E-3</v>
      </c>
      <c r="D223" s="1"/>
      <c r="E223" s="1"/>
      <c r="F223" s="1"/>
      <c r="G223" s="1"/>
      <c r="H223" s="1"/>
    </row>
    <row r="224" spans="1:8" ht="22.05" customHeight="1">
      <c r="A224" s="1">
        <v>130</v>
      </c>
      <c r="B224" s="13">
        <v>0.25562275615640606</v>
      </c>
      <c r="C224" s="13">
        <v>3.5640956167209805E-3</v>
      </c>
      <c r="D224" s="1"/>
      <c r="E224" s="1"/>
      <c r="F224" s="1"/>
      <c r="G224" s="1"/>
      <c r="H224" s="1"/>
    </row>
    <row r="225" spans="1:8" ht="22.05" customHeight="1">
      <c r="A225" s="1">
        <v>131</v>
      </c>
      <c r="B225" s="13">
        <v>0.25919496921048896</v>
      </c>
      <c r="C225" s="13">
        <v>3.5802907454252084E-3</v>
      </c>
      <c r="D225" s="1"/>
      <c r="E225" s="1"/>
      <c r="F225" s="1"/>
      <c r="G225" s="1"/>
      <c r="H225" s="1"/>
    </row>
    <row r="226" spans="1:8" ht="22.05" customHeight="1">
      <c r="A226" s="1">
        <v>132</v>
      </c>
      <c r="B226" s="13">
        <v>0.2627832579758197</v>
      </c>
      <c r="C226" s="13">
        <v>3.5962468603513067E-3</v>
      </c>
      <c r="D226" s="1"/>
      <c r="E226" s="1"/>
      <c r="F226" s="1"/>
      <c r="G226" s="1"/>
      <c r="H226" s="1"/>
    </row>
    <row r="227" spans="1:8" ht="22.05" customHeight="1">
      <c r="A227" s="1">
        <v>133</v>
      </c>
      <c r="B227" s="13">
        <v>0.26638738290468678</v>
      </c>
      <c r="C227" s="13">
        <v>3.6119628962976769E-3</v>
      </c>
      <c r="D227" s="1"/>
      <c r="E227" s="1"/>
      <c r="F227" s="1"/>
      <c r="G227" s="1"/>
      <c r="H227" s="1"/>
    </row>
    <row r="228" spans="1:8" ht="22.05" customHeight="1">
      <c r="A228" s="1">
        <v>134</v>
      </c>
      <c r="B228" s="13">
        <v>0.27000710339218481</v>
      </c>
      <c r="C228" s="13">
        <v>3.6274378040900513E-3</v>
      </c>
      <c r="D228" s="1"/>
      <c r="E228" s="1"/>
      <c r="F228" s="1"/>
      <c r="G228" s="1"/>
      <c r="H228" s="1"/>
    </row>
    <row r="229" spans="1:8" ht="22.05" customHeight="1">
      <c r="A229" s="1">
        <v>135</v>
      </c>
      <c r="B229" s="13">
        <v>0.27364217779227684</v>
      </c>
      <c r="C229" s="13">
        <v>3.6426705506513151E-3</v>
      </c>
      <c r="D229" s="1"/>
      <c r="E229" s="1"/>
      <c r="F229" s="1"/>
      <c r="G229" s="1"/>
      <c r="H229" s="1"/>
    </row>
    <row r="230" spans="1:8" ht="22.05" customHeight="1">
      <c r="A230" s="1">
        <v>136</v>
      </c>
      <c r="B230" s="13">
        <v>0.27729236343392633</v>
      </c>
      <c r="C230" s="13">
        <v>3.6576601190707013E-3</v>
      </c>
      <c r="D230" s="1"/>
      <c r="E230" s="1"/>
      <c r="F230" s="1"/>
      <c r="G230" s="1"/>
      <c r="H230" s="1"/>
    </row>
    <row r="231" spans="1:8" ht="22.05" customHeight="1">
      <c r="A231" s="1">
        <v>137</v>
      </c>
      <c r="B231" s="13">
        <v>0.28095741663729751</v>
      </c>
      <c r="C231" s="13">
        <v>3.6724055086715594E-3</v>
      </c>
      <c r="D231" s="1"/>
      <c r="E231" s="1"/>
      <c r="F231" s="1"/>
      <c r="G231" s="1"/>
      <c r="H231" s="1"/>
    </row>
    <row r="232" spans="1:8" ht="22.05" customHeight="1">
      <c r="A232" s="1">
        <v>138</v>
      </c>
      <c r="B232" s="13">
        <v>0.2846370927300228</v>
      </c>
      <c r="C232" s="13">
        <v>3.6869057350781618E-3</v>
      </c>
      <c r="D232" s="1"/>
      <c r="E232" s="1"/>
      <c r="F232" s="1"/>
      <c r="G232" s="1"/>
      <c r="H232" s="1"/>
    </row>
    <row r="233" spans="1:8" ht="22.05" customHeight="1">
      <c r="A233" s="1">
        <v>139</v>
      </c>
      <c r="B233" s="13">
        <v>0.28833114606353677</v>
      </c>
      <c r="C233" s="13">
        <v>3.7011598302814628E-3</v>
      </c>
      <c r="D233" s="1"/>
      <c r="E233" s="1"/>
      <c r="F233" s="1"/>
      <c r="G233" s="1"/>
      <c r="H233" s="1"/>
    </row>
    <row r="234" spans="1:8" ht="22.05" customHeight="1">
      <c r="A234" s="1">
        <v>140</v>
      </c>
      <c r="B234" s="13">
        <v>0.2920393300294753</v>
      </c>
      <c r="C234" s="13">
        <v>3.7151668427036484E-3</v>
      </c>
      <c r="D234" s="1"/>
      <c r="E234" s="1"/>
      <c r="F234" s="1"/>
      <c r="G234" s="1"/>
      <c r="H234" s="1"/>
    </row>
    <row r="235" spans="1:8" ht="22.05" customHeight="1">
      <c r="A235" s="1">
        <v>141</v>
      </c>
      <c r="B235" s="13">
        <v>0.29576139707613858</v>
      </c>
      <c r="C235" s="13">
        <v>3.7289258372617119E-3</v>
      </c>
      <c r="D235" s="1"/>
      <c r="E235" s="1"/>
      <c r="F235" s="1"/>
      <c r="G235" s="1"/>
      <c r="H235" s="1"/>
    </row>
    <row r="236" spans="1:8" ht="22.05" customHeight="1">
      <c r="A236" s="1">
        <v>142</v>
      </c>
      <c r="B236" s="13">
        <v>0.29949709872501734</v>
      </c>
      <c r="C236" s="13">
        <v>3.7424358954299282E-3</v>
      </c>
      <c r="D236" s="1"/>
      <c r="E236" s="1"/>
      <c r="F236" s="1"/>
      <c r="G236" s="1"/>
      <c r="H236" s="1"/>
    </row>
    <row r="237" spans="1:8" ht="22.05" customHeight="1">
      <c r="A237" s="1">
        <v>143</v>
      </c>
      <c r="B237" s="13">
        <v>0.3032461855873807</v>
      </c>
      <c r="C237" s="13">
        <v>3.7556961153010901E-3</v>
      </c>
      <c r="D237" s="1"/>
      <c r="E237" s="1"/>
      <c r="F237" s="1"/>
      <c r="G237" s="1"/>
      <c r="H237" s="1"/>
    </row>
    <row r="238" spans="1:8" ht="22.05" customHeight="1">
      <c r="A238" s="1">
        <v>144</v>
      </c>
      <c r="B238" s="13">
        <v>0.30700840738092494</v>
      </c>
      <c r="C238" s="13">
        <v>3.7687056116467448E-3</v>
      </c>
      <c r="D238" s="1"/>
      <c r="E238" s="1"/>
      <c r="F238" s="1"/>
      <c r="G238" s="1"/>
      <c r="H238" s="1"/>
    </row>
    <row r="239" spans="1:8" ht="22.05" customHeight="1">
      <c r="A239" s="1">
        <v>145</v>
      </c>
      <c r="B239" s="13">
        <v>0.3107835129464821</v>
      </c>
      <c r="C239" s="13">
        <v>3.7814635159762319E-3</v>
      </c>
      <c r="D239" s="1"/>
      <c r="E239" s="1"/>
      <c r="F239" s="1"/>
      <c r="G239" s="1"/>
      <c r="H239" s="1"/>
    </row>
    <row r="240" spans="1:8" ht="22.05" customHeight="1">
      <c r="A240" s="1">
        <v>146</v>
      </c>
      <c r="B240" s="13">
        <v>0.31457125026478644</v>
      </c>
      <c r="C240" s="13">
        <v>3.793968976594841E-3</v>
      </c>
      <c r="D240" s="1"/>
      <c r="E240" s="1"/>
      <c r="F240" s="1"/>
      <c r="G240" s="1"/>
      <c r="H240" s="1"/>
    </row>
    <row r="241" spans="1:8" ht="22.05" customHeight="1">
      <c r="A241" s="1">
        <v>147</v>
      </c>
      <c r="B241" s="13">
        <v>0.31837136647329944</v>
      </c>
      <c r="C241" s="13">
        <v>3.8062211586604592E-3</v>
      </c>
      <c r="D241" s="1"/>
      <c r="E241" s="1"/>
      <c r="F241" s="1"/>
      <c r="G241" s="1"/>
      <c r="H241" s="1"/>
    </row>
    <row r="242" spans="1:8" ht="22.05" customHeight="1">
      <c r="A242" s="1">
        <v>148</v>
      </c>
      <c r="B242" s="13">
        <v>0.32218360788308986</v>
      </c>
      <c r="C242" s="13">
        <v>3.8182192442394181E-3</v>
      </c>
      <c r="D242" s="1"/>
      <c r="E242" s="1"/>
      <c r="F242" s="1"/>
      <c r="G242" s="1"/>
      <c r="H242" s="1"/>
    </row>
    <row r="243" spans="1:8" ht="22.05" customHeight="1">
      <c r="A243" s="1">
        <v>149</v>
      </c>
      <c r="B243" s="13">
        <v>0.32600771999576994</v>
      </c>
      <c r="C243" s="13">
        <v>3.8299624323610538E-3</v>
      </c>
      <c r="D243" s="1"/>
      <c r="E243" s="1"/>
      <c r="F243" s="1"/>
      <c r="G243" s="1"/>
      <c r="H243" s="1"/>
    </row>
    <row r="244" spans="1:8" ht="22.05" customHeight="1">
      <c r="A244" s="1">
        <v>150</v>
      </c>
      <c r="B244" s="13">
        <v>0.32984344752048511</v>
      </c>
      <c r="C244" s="13">
        <v>3.8414499390713158E-3</v>
      </c>
      <c r="D244" s="1"/>
      <c r="E244" s="1"/>
      <c r="F244" s="1"/>
      <c r="G244" s="1"/>
      <c r="H244" s="1"/>
    </row>
    <row r="245" spans="1:8" ht="22.05" customHeight="1">
      <c r="A245" s="1">
        <v>151</v>
      </c>
      <c r="B245" s="13">
        <v>0.33369053439095669</v>
      </c>
      <c r="C245" s="13">
        <v>3.8526809974847934E-3</v>
      </c>
      <c r="D245" s="1"/>
      <c r="E245" s="1"/>
      <c r="F245" s="1"/>
      <c r="G245" s="1"/>
      <c r="H245" s="1"/>
    </row>
    <row r="246" spans="1:8" ht="22.05" customHeight="1">
      <c r="A246" s="1">
        <v>152</v>
      </c>
      <c r="B246" s="13">
        <v>0.3375487237825765</v>
      </c>
      <c r="C246" s="13">
        <v>3.863654857836274E-3</v>
      </c>
      <c r="D246" s="1"/>
      <c r="E246" s="1"/>
      <c r="F246" s="1"/>
      <c r="G246" s="1"/>
      <c r="H246" s="1"/>
    </row>
    <row r="247" spans="1:8" ht="22.05" customHeight="1">
      <c r="A247" s="1">
        <v>153</v>
      </c>
      <c r="B247" s="13">
        <v>0.34141775812955211</v>
      </c>
      <c r="C247" s="13">
        <v>3.874370787530512E-3</v>
      </c>
      <c r="D247" s="1"/>
      <c r="E247" s="1"/>
      <c r="F247" s="1"/>
      <c r="G247" s="1"/>
      <c r="H247" s="1"/>
    </row>
    <row r="248" spans="1:8" ht="22.05" customHeight="1">
      <c r="A248" s="1">
        <v>154</v>
      </c>
      <c r="B248" s="13">
        <v>0.34529737914210112</v>
      </c>
      <c r="C248" s="13">
        <v>3.8848280711912871E-3</v>
      </c>
      <c r="D248" s="1"/>
      <c r="E248" s="1"/>
      <c r="F248" s="1"/>
      <c r="G248" s="1"/>
      <c r="H248" s="1"/>
    </row>
    <row r="249" spans="1:8" ht="22.05" customHeight="1">
      <c r="A249" s="1">
        <v>155</v>
      </c>
      <c r="B249" s="13">
        <v>0.34918732782369455</v>
      </c>
      <c r="C249" s="13">
        <v>3.8950260107091707E-3</v>
      </c>
      <c r="D249" s="1"/>
      <c r="E249" s="1"/>
      <c r="F249" s="1"/>
      <c r="G249" s="1"/>
      <c r="H249" s="1"/>
    </row>
    <row r="250" spans="1:8" ht="22.05" customHeight="1">
      <c r="A250" s="1">
        <v>156</v>
      </c>
      <c r="B250" s="13">
        <v>0.35308734448834678</v>
      </c>
      <c r="C250" s="13">
        <v>3.9049639252880046E-3</v>
      </c>
      <c r="D250" s="1"/>
      <c r="E250" s="1"/>
      <c r="F250" s="1"/>
      <c r="G250" s="1"/>
      <c r="H250" s="1"/>
    </row>
    <row r="251" spans="1:8" ht="22.05" customHeight="1">
      <c r="A251" s="1">
        <v>157</v>
      </c>
      <c r="B251" s="13">
        <v>0.35699716877795162</v>
      </c>
      <c r="C251" s="13">
        <v>3.9146411514904746E-3</v>
      </c>
      <c r="D251" s="1"/>
      <c r="E251" s="1"/>
      <c r="F251" s="1"/>
      <c r="G251" s="1"/>
      <c r="H251" s="1"/>
    </row>
    <row r="252" spans="1:8" ht="22.05" customHeight="1">
      <c r="A252" s="1">
        <v>158</v>
      </c>
      <c r="B252" s="13">
        <v>0.36091653967966353</v>
      </c>
      <c r="C252" s="13">
        <v>3.9240570432823411E-3</v>
      </c>
      <c r="D252" s="1"/>
      <c r="E252" s="1"/>
      <c r="F252" s="1"/>
      <c r="G252" s="1"/>
      <c r="H252" s="1"/>
    </row>
    <row r="253" spans="1:8" ht="22.05" customHeight="1">
      <c r="A253" s="1">
        <v>159</v>
      </c>
      <c r="B253" s="13">
        <v>0.36484519554332234</v>
      </c>
      <c r="C253" s="13">
        <v>3.933210972075594E-3</v>
      </c>
      <c r="D253" s="1"/>
      <c r="E253" s="1"/>
      <c r="F253" s="1"/>
      <c r="G253" s="1"/>
      <c r="H253" s="1"/>
    </row>
    <row r="254" spans="1:8" ht="22.05" customHeight="1">
      <c r="A254" s="1">
        <v>160</v>
      </c>
      <c r="B254" s="13">
        <v>0.36878287409892041</v>
      </c>
      <c r="C254" s="13">
        <v>3.9421023267703975E-3</v>
      </c>
      <c r="D254" s="1"/>
      <c r="E254" s="1"/>
      <c r="F254" s="1"/>
      <c r="G254" s="1"/>
      <c r="H254" s="1"/>
    </row>
    <row r="255" spans="1:8" ht="22.05" customHeight="1">
      <c r="A255" s="1">
        <v>161</v>
      </c>
      <c r="B255" s="13">
        <v>0.37272931247411134</v>
      </c>
      <c r="C255" s="13">
        <v>3.9507305137958405E-3</v>
      </c>
      <c r="D255" s="1"/>
      <c r="E255" s="1"/>
      <c r="F255" s="1"/>
      <c r="G255" s="1"/>
      <c r="H255" s="1"/>
    </row>
    <row r="256" spans="1:8" ht="22.05" customHeight="1">
      <c r="A256" s="1">
        <v>162</v>
      </c>
      <c r="B256" s="13">
        <v>0.37668424721175914</v>
      </c>
      <c r="C256" s="13">
        <v>3.959094957149723E-3</v>
      </c>
      <c r="D256" s="1"/>
      <c r="E256" s="1"/>
      <c r="F256" s="1"/>
      <c r="G256" s="1"/>
      <c r="H256" s="1"/>
    </row>
    <row r="257" spans="1:8" ht="22.05" customHeight="1">
      <c r="A257" s="1">
        <v>163</v>
      </c>
      <c r="B257" s="13">
        <v>0.38064741428752569</v>
      </c>
      <c r="C257" s="13">
        <v>3.9671950984367793E-3</v>
      </c>
      <c r="D257" s="1"/>
      <c r="E257" s="1"/>
      <c r="F257" s="1"/>
      <c r="G257" s="1"/>
      <c r="H257" s="1"/>
    </row>
    <row r="258" spans="1:8" ht="22.05" customHeight="1">
      <c r="A258" s="1">
        <v>164</v>
      </c>
      <c r="B258" s="13">
        <v>0.38461854912749693</v>
      </c>
      <c r="C258" s="13">
        <v>3.9750303969061755E-3</v>
      </c>
      <c r="D258" s="1"/>
      <c r="E258" s="1"/>
      <c r="F258" s="1"/>
      <c r="G258" s="1"/>
      <c r="H258" s="1"/>
    </row>
    <row r="259" spans="1:8" ht="22.05" customHeight="1">
      <c r="A259" s="1">
        <v>165</v>
      </c>
      <c r="B259" s="13">
        <v>0.38859738662584503</v>
      </c>
      <c r="C259" s="13">
        <v>3.9826003294874141E-3</v>
      </c>
      <c r="D259" s="1"/>
      <c r="E259" s="1"/>
      <c r="F259" s="1"/>
      <c r="G259" s="1"/>
      <c r="H259" s="1"/>
    </row>
    <row r="260" spans="1:8" ht="22.05" customHeight="1">
      <c r="A260" s="1">
        <v>166</v>
      </c>
      <c r="B260" s="13">
        <v>0.39258366116252669</v>
      </c>
      <c r="C260" s="13">
        <v>3.9899043908254335E-3</v>
      </c>
      <c r="D260" s="1"/>
      <c r="E260" s="1"/>
      <c r="F260" s="1"/>
      <c r="G260" s="1"/>
      <c r="H260" s="1"/>
    </row>
    <row r="261" spans="1:8" ht="22.05" customHeight="1">
      <c r="A261" s="1">
        <v>167</v>
      </c>
      <c r="B261" s="13">
        <v>0.39657710662101514</v>
      </c>
      <c r="C261" s="13">
        <v>3.9969420933141948E-3</v>
      </c>
      <c r="D261" s="1"/>
      <c r="E261" s="1"/>
      <c r="F261" s="1"/>
      <c r="G261" s="1"/>
      <c r="H261" s="1"/>
    </row>
    <row r="262" spans="1:8" ht="22.05" customHeight="1">
      <c r="A262" s="1">
        <v>168</v>
      </c>
      <c r="B262" s="13">
        <v>0.40057745640606585</v>
      </c>
      <c r="C262" s="13">
        <v>4.0037129671293423E-3</v>
      </c>
      <c r="D262" s="1"/>
      <c r="E262" s="1"/>
      <c r="F262" s="1"/>
      <c r="G262" s="1"/>
      <c r="H262" s="1"/>
    </row>
    <row r="263" spans="1:8" ht="22.05" customHeight="1">
      <c r="A263" s="1">
        <v>169</v>
      </c>
      <c r="B263" s="13">
        <v>0.40458444346151379</v>
      </c>
      <c r="C263" s="13">
        <v>4.0102165602594886E-3</v>
      </c>
      <c r="D263" s="1"/>
      <c r="E263" s="1"/>
      <c r="F263" s="1"/>
      <c r="G263" s="1"/>
      <c r="H263" s="1"/>
    </row>
    <row r="264" spans="1:8" ht="22.05" customHeight="1">
      <c r="A264" s="1">
        <v>170</v>
      </c>
      <c r="B264" s="13">
        <v>0.40859780028810172</v>
      </c>
      <c r="C264" s="13">
        <v>4.0164524385364513E-3</v>
      </c>
      <c r="D264" s="1"/>
      <c r="E264" s="1"/>
      <c r="F264" s="1"/>
      <c r="G264" s="1"/>
      <c r="H264" s="1"/>
    </row>
    <row r="265" spans="1:8" ht="22.05" customHeight="1">
      <c r="A265" s="1">
        <v>171</v>
      </c>
      <c r="B265" s="13">
        <v>0.41261725896133794</v>
      </c>
      <c r="C265" s="13">
        <v>4.0224201856641955E-3</v>
      </c>
      <c r="D265" s="1"/>
      <c r="E265" s="1"/>
      <c r="F265" s="1"/>
      <c r="G265" s="1"/>
      <c r="H265" s="1"/>
    </row>
    <row r="266" spans="1:8" ht="22.05" customHeight="1">
      <c r="A266" s="1">
        <v>172</v>
      </c>
      <c r="B266" s="13">
        <v>0.41664255114938237</v>
      </c>
      <c r="C266" s="13">
        <v>4.028119403246635E-3</v>
      </c>
      <c r="D266" s="1"/>
      <c r="E266" s="1"/>
      <c r="F266" s="1"/>
      <c r="G266" s="1"/>
      <c r="H266" s="1"/>
    </row>
    <row r="267" spans="1:8" ht="22.05" customHeight="1">
      <c r="A267" s="1">
        <v>173</v>
      </c>
      <c r="B267" s="13">
        <v>0.42067340813096005</v>
      </c>
      <c r="C267" s="13">
        <v>4.0335497108142651E-3</v>
      </c>
      <c r="D267" s="1"/>
      <c r="E267" s="1"/>
      <c r="F267" s="1"/>
      <c r="G267" s="1"/>
      <c r="H267" s="1"/>
    </row>
    <row r="268" spans="1:8" ht="22.05" customHeight="1">
      <c r="A268" s="1">
        <v>174</v>
      </c>
      <c r="B268" s="13">
        <v>0.42470956081330025</v>
      </c>
      <c r="C268" s="13">
        <v>4.0387107458494734E-3</v>
      </c>
      <c r="D268" s="1"/>
      <c r="E268" s="1"/>
      <c r="F268" s="1"/>
      <c r="G268" s="1"/>
      <c r="H268" s="1"/>
    </row>
    <row r="269" spans="1:8" ht="22.05" customHeight="1">
      <c r="A269" s="1">
        <v>175</v>
      </c>
      <c r="B269" s="13">
        <v>0.42875073975010092</v>
      </c>
      <c r="C269" s="13">
        <v>4.0436021638108575E-3</v>
      </c>
      <c r="D269" s="1"/>
      <c r="E269" s="1"/>
      <c r="F269" s="1"/>
      <c r="G269" s="1"/>
      <c r="H269" s="1"/>
    </row>
    <row r="270" spans="1:8" ht="22.05" customHeight="1">
      <c r="A270" s="1">
        <v>176</v>
      </c>
      <c r="B270" s="13">
        <v>0.43279667515951625</v>
      </c>
      <c r="C270" s="13">
        <v>4.0482236381561496E-3</v>
      </c>
      <c r="D270" s="1"/>
      <c r="E270" s="1"/>
      <c r="F270" s="1"/>
      <c r="G270" s="1"/>
      <c r="H270" s="1"/>
    </row>
    <row r="271" spans="1:8" ht="22.05" customHeight="1">
      <c r="A271" s="1">
        <v>177</v>
      </c>
      <c r="B271" s="13">
        <v>0.43684709694216683</v>
      </c>
      <c r="C271" s="13">
        <v>4.0525748603640055E-3</v>
      </c>
      <c r="D271" s="1"/>
      <c r="E271" s="1"/>
      <c r="F271" s="1"/>
      <c r="G271" s="1"/>
      <c r="H271" s="1"/>
    </row>
    <row r="272" spans="1:8" ht="22.05" customHeight="1">
      <c r="A272" s="1">
        <v>178</v>
      </c>
      <c r="B272" s="13">
        <v>0.4409017346991711</v>
      </c>
      <c r="C272" s="13">
        <v>4.0566555399546601E-3</v>
      </c>
      <c r="D272" s="1"/>
      <c r="E272" s="1"/>
      <c r="F272" s="1"/>
      <c r="G272" s="1"/>
      <c r="H272" s="1"/>
    </row>
    <row r="273" spans="1:8" ht="22.05" customHeight="1">
      <c r="A273" s="1">
        <v>179</v>
      </c>
      <c r="B273" s="13">
        <v>0.44496031775019651</v>
      </c>
      <c r="C273" s="13">
        <v>4.0604654045092552E-3</v>
      </c>
      <c r="D273" s="1"/>
      <c r="E273" s="1"/>
      <c r="F273" s="1"/>
      <c r="G273" s="1"/>
      <c r="H273" s="1"/>
    </row>
    <row r="274" spans="1:8" ht="22.05" customHeight="1">
      <c r="A274" s="1">
        <v>180</v>
      </c>
      <c r="B274" s="13">
        <v>0.44902257515152982</v>
      </c>
      <c r="C274" s="13">
        <v>4.0640041996880946E-3</v>
      </c>
      <c r="D274" s="1"/>
      <c r="E274" s="1"/>
      <c r="F274" s="1"/>
      <c r="G274" s="1"/>
      <c r="H274" s="1"/>
    </row>
    <row r="275" spans="1:8" ht="22.05" customHeight="1">
      <c r="A275" s="1">
        <v>181</v>
      </c>
      <c r="B275" s="13">
        <v>0.45308823571416484</v>
      </c>
      <c r="C275" s="13">
        <v>4.0672716892475704E-3</v>
      </c>
      <c r="D275" s="1"/>
      <c r="E275" s="1"/>
      <c r="F275" s="1"/>
      <c r="G275" s="1"/>
      <c r="H275" s="1"/>
    </row>
    <row r="276" spans="1:8" ht="22.05" customHeight="1">
      <c r="A276" s="1">
        <v>182</v>
      </c>
      <c r="B276" s="13">
        <v>0.45715702802190639</v>
      </c>
      <c r="C276" s="13">
        <v>4.0702676550559425E-3</v>
      </c>
      <c r="D276" s="1"/>
      <c r="E276" s="1"/>
      <c r="F276" s="1"/>
      <c r="G276" s="1"/>
      <c r="H276" s="1"/>
    </row>
    <row r="277" spans="1:8" ht="22.05" customHeight="1">
      <c r="A277" s="1">
        <v>183</v>
      </c>
      <c r="B277" s="13">
        <v>0.46122868044948961</v>
      </c>
      <c r="C277" s="13">
        <v>4.0729918971079242E-3</v>
      </c>
      <c r="D277" s="1"/>
      <c r="E277" s="1"/>
      <c r="F277" s="1"/>
      <c r="G277" s="1"/>
      <c r="H277" s="1"/>
    </row>
    <row r="278" spans="1:8" ht="22.05" customHeight="1">
      <c r="A278" s="1">
        <v>184</v>
      </c>
      <c r="B278" s="13">
        <v>0.46530292118071315</v>
      </c>
      <c r="C278" s="13">
        <v>4.0754442335379981E-3</v>
      </c>
      <c r="D278" s="1"/>
      <c r="E278" s="1"/>
      <c r="F278" s="1"/>
      <c r="G278" s="1"/>
      <c r="H278" s="1"/>
    </row>
    <row r="279" spans="1:8" ht="22.05" customHeight="1">
      <c r="A279" s="1">
        <v>185</v>
      </c>
      <c r="B279" s="13">
        <v>0.46937947822658521</v>
      </c>
      <c r="C279" s="13">
        <v>4.0776245006325963E-3</v>
      </c>
      <c r="D279" s="1"/>
      <c r="E279" s="1"/>
      <c r="F279" s="1"/>
      <c r="G279" s="1"/>
      <c r="H279" s="1"/>
    </row>
    <row r="280" spans="1:8" ht="22.05" customHeight="1">
      <c r="A280" s="1">
        <v>186</v>
      </c>
      <c r="B280" s="13">
        <v>0.47345807944348089</v>
      </c>
      <c r="C280" s="13">
        <v>4.0795325528410111E-3</v>
      </c>
      <c r="D280" s="1"/>
      <c r="E280" s="1"/>
      <c r="F280" s="1"/>
      <c r="G280" s="1"/>
      <c r="H280" s="1"/>
    </row>
    <row r="281" spans="1:8" ht="22.05" customHeight="1">
      <c r="A281" s="1">
        <v>187</v>
      </c>
      <c r="B281" s="13">
        <v>0.47753845255131028</v>
      </c>
      <c r="C281" s="13">
        <v>4.0811682627850876E-3</v>
      </c>
      <c r="D281" s="1"/>
      <c r="E281" s="1"/>
      <c r="F281" s="1"/>
      <c r="G281" s="1"/>
      <c r="H281" s="1"/>
    </row>
    <row r="282" spans="1:8" ht="22.05" customHeight="1">
      <c r="A282" s="1">
        <v>188</v>
      </c>
      <c r="B282" s="13">
        <v>0.48162032515169506</v>
      </c>
      <c r="C282" s="13">
        <v>4.0825315212677776E-3</v>
      </c>
      <c r="D282" s="1"/>
      <c r="E282" s="1"/>
      <c r="F282" s="1"/>
      <c r="G282" s="1"/>
      <c r="H282" s="1"/>
    </row>
    <row r="283" spans="1:8" ht="22.05" customHeight="1">
      <c r="A283" s="1">
        <v>189</v>
      </c>
      <c r="B283" s="13">
        <v>0.48570342474615358</v>
      </c>
      <c r="C283" s="13">
        <v>4.0836222372804066E-3</v>
      </c>
      <c r="D283" s="1"/>
      <c r="E283" s="1"/>
      <c r="F283" s="1"/>
      <c r="G283" s="1"/>
      <c r="H283" s="1"/>
    </row>
    <row r="284" spans="1:8" ht="22.05" customHeight="1">
      <c r="A284" s="1">
        <v>190</v>
      </c>
      <c r="B284" s="13">
        <v>0.48978747875429213</v>
      </c>
      <c r="C284" s="13">
        <v>4.0844403380087208E-3</v>
      </c>
      <c r="D284" s="1"/>
      <c r="E284" s="1"/>
      <c r="F284" s="1"/>
      <c r="G284" s="1"/>
      <c r="H284" s="1"/>
    </row>
    <row r="285" spans="1:8" ht="22.05" customHeight="1">
      <c r="A285" s="1">
        <v>191</v>
      </c>
      <c r="B285" s="13">
        <v>0.49387221453200225</v>
      </c>
      <c r="C285" s="13">
        <v>4.0849857688377801E-3</v>
      </c>
      <c r="D285" s="1"/>
      <c r="E285" s="1"/>
      <c r="F285" s="1"/>
      <c r="G285" s="1"/>
      <c r="H285" s="1"/>
    </row>
    <row r="286" spans="1:8" ht="22.05" customHeight="1">
      <c r="A286" s="1">
        <v>192</v>
      </c>
      <c r="B286" s="13">
        <v>0.49795735938966157</v>
      </c>
      <c r="C286" s="13">
        <v>4.0852584933556094E-3</v>
      </c>
      <c r="D286" s="1"/>
      <c r="E286" s="1"/>
      <c r="F286" s="1"/>
      <c r="G286" s="1"/>
      <c r="H286" s="1"/>
    </row>
    <row r="287" spans="1:8" ht="22.05" customHeight="1">
      <c r="A287" s="1">
        <v>193</v>
      </c>
      <c r="B287" s="13">
        <v>0.50204264061033843</v>
      </c>
      <c r="C287" s="13">
        <v>4.0852584933556094E-3</v>
      </c>
      <c r="D287" s="1"/>
      <c r="E287" s="1"/>
      <c r="F287" s="1"/>
      <c r="G287" s="1"/>
      <c r="H287" s="1"/>
    </row>
    <row r="288" spans="1:8" ht="22.05" customHeight="1">
      <c r="A288" s="1">
        <v>194</v>
      </c>
      <c r="B288" s="13">
        <v>0.50612778546799775</v>
      </c>
      <c r="C288" s="13">
        <v>4.0849857688377801E-3</v>
      </c>
      <c r="D288" s="1"/>
      <c r="E288" s="1"/>
      <c r="F288" s="1"/>
      <c r="G288" s="1"/>
      <c r="H288" s="1"/>
    </row>
    <row r="289" spans="1:8" ht="22.05" customHeight="1">
      <c r="A289" s="1">
        <v>195</v>
      </c>
      <c r="B289" s="13">
        <v>0.51021252124570782</v>
      </c>
      <c r="C289" s="13">
        <v>4.0844403380087208E-3</v>
      </c>
      <c r="D289" s="1"/>
      <c r="E289" s="1"/>
      <c r="F289" s="1"/>
      <c r="G289" s="1"/>
      <c r="H289" s="1"/>
    </row>
    <row r="290" spans="1:8" ht="22.05" customHeight="1">
      <c r="A290" s="1">
        <v>196</v>
      </c>
      <c r="B290" s="13">
        <v>0.51429657525384642</v>
      </c>
      <c r="C290" s="13">
        <v>4.0836222372804066E-3</v>
      </c>
      <c r="D290" s="1"/>
      <c r="E290" s="1"/>
      <c r="F290" s="1"/>
      <c r="G290" s="1"/>
      <c r="H290" s="1"/>
    </row>
    <row r="291" spans="1:8" ht="22.05" customHeight="1">
      <c r="A291" s="1">
        <v>197</v>
      </c>
      <c r="B291" s="13">
        <v>0.51837967484830494</v>
      </c>
      <c r="C291" s="13">
        <v>4.0825315212677776E-3</v>
      </c>
      <c r="D291" s="1"/>
      <c r="E291" s="1"/>
      <c r="F291" s="1"/>
      <c r="G291" s="1"/>
      <c r="H291" s="1"/>
    </row>
    <row r="292" spans="1:8" ht="22.05" customHeight="1">
      <c r="A292" s="1">
        <v>198</v>
      </c>
      <c r="B292" s="13">
        <v>0.52246154744868967</v>
      </c>
      <c r="C292" s="13">
        <v>4.0811682627850876E-3</v>
      </c>
      <c r="D292" s="1"/>
      <c r="E292" s="1"/>
      <c r="F292" s="1"/>
      <c r="G292" s="1"/>
      <c r="H292" s="1"/>
    </row>
    <row r="293" spans="1:8" ht="22.05" customHeight="1">
      <c r="A293" s="1">
        <v>199</v>
      </c>
      <c r="B293" s="13">
        <v>0.52654192055651905</v>
      </c>
      <c r="C293" s="13">
        <v>4.0795325528410111E-3</v>
      </c>
      <c r="D293" s="1"/>
      <c r="E293" s="1"/>
      <c r="F293" s="1"/>
      <c r="G293" s="1"/>
      <c r="H293" s="1"/>
    </row>
    <row r="294" spans="1:8" ht="22.05" customHeight="1">
      <c r="A294" s="1">
        <v>200</v>
      </c>
      <c r="B294" s="13">
        <v>0.53062052177341479</v>
      </c>
      <c r="C294" s="13">
        <v>4.0776245006325963E-3</v>
      </c>
      <c r="D294" s="1"/>
      <c r="E294" s="1"/>
      <c r="F294" s="1"/>
      <c r="G294" s="1"/>
      <c r="H294" s="1"/>
    </row>
    <row r="295" spans="1:8" ht="22.05" customHeight="1">
      <c r="A295" s="1">
        <v>201</v>
      </c>
      <c r="B295" s="13">
        <v>0.53469707881928685</v>
      </c>
      <c r="C295" s="13">
        <v>4.0754442335379981E-3</v>
      </c>
      <c r="D295" s="1"/>
      <c r="E295" s="1"/>
      <c r="F295" s="1"/>
      <c r="G295" s="1"/>
      <c r="H295" s="1"/>
    </row>
    <row r="296" spans="1:8" ht="22.05" customHeight="1">
      <c r="A296" s="1">
        <v>202</v>
      </c>
      <c r="B296" s="13">
        <v>0.53877131955051039</v>
      </c>
      <c r="C296" s="13">
        <v>4.0729918971079242E-3</v>
      </c>
      <c r="D296" s="1"/>
      <c r="E296" s="1"/>
      <c r="F296" s="1"/>
      <c r="G296" s="1"/>
      <c r="H296" s="1"/>
    </row>
    <row r="297" spans="1:8" ht="22.05" customHeight="1">
      <c r="A297" s="1">
        <v>203</v>
      </c>
      <c r="B297" s="13">
        <v>0.54284297197809361</v>
      </c>
      <c r="C297" s="13">
        <v>4.0702676550559425E-3</v>
      </c>
      <c r="D297" s="1"/>
      <c r="E297" s="1"/>
      <c r="F297" s="1"/>
      <c r="G297" s="1"/>
      <c r="H297" s="1"/>
    </row>
    <row r="298" spans="1:8" ht="22.05" customHeight="1">
      <c r="A298" s="1">
        <v>204</v>
      </c>
      <c r="B298" s="13">
        <v>0.5469117642858351</v>
      </c>
      <c r="C298" s="13">
        <v>4.0672716892475704E-3</v>
      </c>
      <c r="D298" s="1"/>
      <c r="E298" s="1"/>
      <c r="F298" s="1"/>
      <c r="G298" s="1"/>
      <c r="H298" s="1"/>
    </row>
    <row r="299" spans="1:8" ht="22.05" customHeight="1">
      <c r="A299" s="1">
        <v>205</v>
      </c>
      <c r="B299" s="13">
        <v>0.55097742484847023</v>
      </c>
      <c r="C299" s="13">
        <v>4.0640041996880946E-3</v>
      </c>
      <c r="D299" s="1"/>
      <c r="E299" s="1"/>
      <c r="F299" s="1"/>
      <c r="G299" s="1"/>
      <c r="H299" s="1"/>
    </row>
    <row r="300" spans="1:8" ht="22.05" customHeight="1">
      <c r="A300" s="1">
        <v>206</v>
      </c>
      <c r="B300" s="13">
        <v>0.55503968224980349</v>
      </c>
      <c r="C300" s="13">
        <v>4.0604654045092552E-3</v>
      </c>
      <c r="D300" s="1"/>
      <c r="E300" s="1"/>
      <c r="F300" s="1"/>
      <c r="G300" s="1"/>
      <c r="H300" s="1"/>
    </row>
    <row r="301" spans="1:8" ht="22.05" customHeight="1">
      <c r="A301" s="1">
        <v>207</v>
      </c>
      <c r="B301" s="13">
        <v>0.55909826530082896</v>
      </c>
      <c r="C301" s="13">
        <v>4.0566555399546601E-3</v>
      </c>
      <c r="D301" s="1"/>
      <c r="E301" s="1"/>
      <c r="F301" s="1"/>
      <c r="G301" s="1"/>
      <c r="H301" s="1"/>
    </row>
    <row r="302" spans="1:8" ht="22.05" customHeight="1">
      <c r="A302" s="1">
        <v>208</v>
      </c>
      <c r="B302" s="13">
        <v>0.56315290305783317</v>
      </c>
      <c r="C302" s="13">
        <v>4.0525748603640055E-3</v>
      </c>
      <c r="D302" s="1"/>
      <c r="E302" s="1"/>
      <c r="F302" s="1"/>
      <c r="G302" s="1"/>
      <c r="H302" s="1"/>
    </row>
    <row r="303" spans="1:8" ht="22.05" customHeight="1">
      <c r="A303" s="1">
        <v>209</v>
      </c>
      <c r="B303" s="13">
        <v>0.56720332484048375</v>
      </c>
      <c r="C303" s="13">
        <v>4.0482236381561496E-3</v>
      </c>
      <c r="D303" s="1"/>
      <c r="E303" s="1"/>
      <c r="F303" s="1"/>
      <c r="G303" s="1"/>
      <c r="H303" s="1"/>
    </row>
    <row r="304" spans="1:8" ht="22.05" customHeight="1">
      <c r="A304" s="1">
        <v>210</v>
      </c>
      <c r="B304" s="13">
        <v>0.57124926024989908</v>
      </c>
      <c r="C304" s="13">
        <v>4.0436021638108575E-3</v>
      </c>
      <c r="D304" s="1"/>
      <c r="E304" s="1"/>
      <c r="F304" s="1"/>
      <c r="G304" s="1"/>
      <c r="H304" s="1"/>
    </row>
    <row r="305" spans="1:8" ht="22.05" customHeight="1">
      <c r="A305" s="1">
        <v>211</v>
      </c>
      <c r="B305" s="13">
        <v>0.57529043918669975</v>
      </c>
      <c r="C305" s="13">
        <v>4.0387107458494734E-3</v>
      </c>
      <c r="D305" s="1"/>
      <c r="E305" s="1"/>
      <c r="F305" s="1"/>
      <c r="G305" s="1"/>
      <c r="H305" s="1"/>
    </row>
    <row r="306" spans="1:8" ht="22.05" customHeight="1">
      <c r="A306" s="1">
        <v>212</v>
      </c>
      <c r="B306" s="13">
        <v>0.57932659186904001</v>
      </c>
      <c r="C306" s="13">
        <v>4.0335497108142651E-3</v>
      </c>
      <c r="D306" s="1"/>
      <c r="E306" s="1"/>
      <c r="F306" s="1"/>
      <c r="G306" s="1"/>
      <c r="H306" s="1"/>
    </row>
    <row r="307" spans="1:8" ht="22.05" customHeight="1">
      <c r="A307" s="1">
        <v>213</v>
      </c>
      <c r="B307" s="13">
        <v>0.58335744885061758</v>
      </c>
      <c r="C307" s="13">
        <v>4.028119403246635E-3</v>
      </c>
      <c r="D307" s="1"/>
      <c r="E307" s="1"/>
      <c r="F307" s="1"/>
      <c r="G307" s="1"/>
      <c r="H307" s="1"/>
    </row>
    <row r="308" spans="1:8" ht="22.05" customHeight="1">
      <c r="A308" s="1">
        <v>214</v>
      </c>
      <c r="B308" s="13">
        <v>0.58738274103866206</v>
      </c>
      <c r="C308" s="13">
        <v>4.0224201856641955E-3</v>
      </c>
      <c r="D308" s="1"/>
      <c r="E308" s="1"/>
      <c r="F308" s="1"/>
      <c r="G308" s="1"/>
      <c r="H308" s="1"/>
    </row>
    <row r="309" spans="1:8" ht="22.05" customHeight="1">
      <c r="A309" s="1">
        <v>215</v>
      </c>
      <c r="B309" s="13">
        <v>0.59140219971189834</v>
      </c>
      <c r="C309" s="13">
        <v>4.0164524385364513E-3</v>
      </c>
      <c r="D309" s="1"/>
      <c r="E309" s="1"/>
      <c r="F309" s="1"/>
      <c r="G309" s="1"/>
      <c r="H309" s="1"/>
    </row>
    <row r="310" spans="1:8" ht="22.05" customHeight="1">
      <c r="A310" s="1">
        <v>216</v>
      </c>
      <c r="B310" s="13">
        <v>0.59541555653848621</v>
      </c>
      <c r="C310" s="13">
        <v>4.0102165602594886E-3</v>
      </c>
      <c r="D310" s="1"/>
      <c r="E310" s="1"/>
      <c r="F310" s="1"/>
      <c r="G310" s="1"/>
      <c r="H310" s="1"/>
    </row>
    <row r="311" spans="1:8" ht="22.05" customHeight="1">
      <c r="A311" s="1">
        <v>217</v>
      </c>
      <c r="B311" s="13">
        <v>0.59942254359393421</v>
      </c>
      <c r="C311" s="13">
        <v>4.0037129671293423E-3</v>
      </c>
      <c r="D311" s="1"/>
      <c r="E311" s="1"/>
      <c r="F311" s="1"/>
      <c r="G311" s="1"/>
      <c r="H311" s="1"/>
    </row>
    <row r="312" spans="1:8" ht="22.05" customHeight="1">
      <c r="A312" s="1">
        <v>218</v>
      </c>
      <c r="B312" s="13">
        <v>0.60342289337898491</v>
      </c>
      <c r="C312" s="13">
        <v>3.9969420933141948E-3</v>
      </c>
      <c r="D312" s="1"/>
      <c r="E312" s="1"/>
      <c r="F312" s="1"/>
      <c r="G312" s="1"/>
      <c r="H312" s="1"/>
    </row>
    <row r="313" spans="1:8" ht="22.05" customHeight="1">
      <c r="A313" s="1">
        <v>219</v>
      </c>
      <c r="B313" s="13">
        <v>0.60741633883747337</v>
      </c>
      <c r="C313" s="13">
        <v>3.9899043908254335E-3</v>
      </c>
      <c r="D313" s="1"/>
      <c r="E313" s="1"/>
      <c r="F313" s="1"/>
      <c r="G313" s="1"/>
      <c r="H313" s="1"/>
    </row>
    <row r="314" spans="1:8" ht="22.05" customHeight="1">
      <c r="A314" s="1">
        <v>220</v>
      </c>
      <c r="B314" s="13">
        <v>0.61140261337415502</v>
      </c>
      <c r="C314" s="13">
        <v>3.9826003294874141E-3</v>
      </c>
      <c r="D314" s="1"/>
      <c r="E314" s="1"/>
      <c r="F314" s="1"/>
      <c r="G314" s="1"/>
      <c r="H314" s="1"/>
    </row>
    <row r="315" spans="1:8" ht="22.05" customHeight="1">
      <c r="A315" s="1">
        <v>221</v>
      </c>
      <c r="B315" s="13">
        <v>0.61538145087250307</v>
      </c>
      <c r="C315" s="13">
        <v>3.9750303969061755E-3</v>
      </c>
      <c r="D315" s="1"/>
      <c r="E315" s="1"/>
      <c r="F315" s="1"/>
      <c r="G315" s="1"/>
      <c r="H315" s="1"/>
    </row>
    <row r="316" spans="1:8" ht="22.05" customHeight="1">
      <c r="A316" s="1">
        <v>222</v>
      </c>
      <c r="B316" s="13">
        <v>0.61935258571247431</v>
      </c>
      <c r="C316" s="13">
        <v>3.9671950984367793E-3</v>
      </c>
      <c r="D316" s="1"/>
      <c r="E316" s="1"/>
      <c r="F316" s="1"/>
      <c r="G316" s="1"/>
      <c r="H316" s="1"/>
    </row>
    <row r="317" spans="1:8" ht="22.05" customHeight="1">
      <c r="A317" s="1">
        <v>223</v>
      </c>
      <c r="B317" s="13">
        <v>0.62331575278824092</v>
      </c>
      <c r="C317" s="13">
        <v>3.959094957149723E-3</v>
      </c>
      <c r="D317" s="1"/>
      <c r="E317" s="1"/>
      <c r="F317" s="1"/>
      <c r="G317" s="1"/>
      <c r="H317" s="1"/>
    </row>
    <row r="318" spans="1:8" ht="22.05" customHeight="1">
      <c r="A318" s="1">
        <v>224</v>
      </c>
      <c r="B318" s="13">
        <v>0.62727068752588866</v>
      </c>
      <c r="C318" s="13">
        <v>3.9507305137958405E-3</v>
      </c>
      <c r="D318" s="1"/>
      <c r="E318" s="1"/>
      <c r="F318" s="1"/>
      <c r="G318" s="1"/>
      <c r="H318" s="1"/>
    </row>
    <row r="319" spans="1:8" ht="22.05" customHeight="1">
      <c r="A319" s="1">
        <v>225</v>
      </c>
      <c r="B319" s="13">
        <v>0.63121712590107959</v>
      </c>
      <c r="C319" s="13">
        <v>3.9421023267703975E-3</v>
      </c>
      <c r="D319" s="1"/>
      <c r="E319" s="1"/>
      <c r="F319" s="1"/>
      <c r="G319" s="1"/>
      <c r="H319" s="1"/>
    </row>
    <row r="320" spans="1:8" ht="22.05" customHeight="1">
      <c r="A320" s="1">
        <v>226</v>
      </c>
      <c r="B320" s="13">
        <v>0.63515480445667771</v>
      </c>
      <c r="C320" s="13">
        <v>3.933210972075594E-3</v>
      </c>
      <c r="D320" s="1"/>
      <c r="E320" s="1"/>
      <c r="F320" s="1"/>
      <c r="G320" s="1"/>
      <c r="H320" s="1"/>
    </row>
    <row r="321" spans="1:8" ht="22.05" customHeight="1">
      <c r="A321" s="1">
        <v>227</v>
      </c>
      <c r="B321" s="13">
        <v>0.63908346032033647</v>
      </c>
      <c r="C321" s="13">
        <v>3.9240570432823411E-3</v>
      </c>
      <c r="D321" s="1"/>
      <c r="E321" s="1"/>
      <c r="F321" s="1"/>
      <c r="G321" s="1"/>
      <c r="H321" s="1"/>
    </row>
    <row r="322" spans="1:8" ht="22.05" customHeight="1">
      <c r="A322" s="1">
        <v>228</v>
      </c>
      <c r="B322" s="13">
        <v>0.64300283122204838</v>
      </c>
      <c r="C322" s="13">
        <v>3.9146411514904746E-3</v>
      </c>
      <c r="D322" s="1"/>
      <c r="E322" s="1"/>
      <c r="F322" s="1"/>
      <c r="G322" s="1"/>
      <c r="H322" s="1"/>
    </row>
    <row r="323" spans="1:8" ht="22.05" customHeight="1">
      <c r="A323" s="1">
        <v>229</v>
      </c>
      <c r="B323" s="13">
        <v>0.64691265551165322</v>
      </c>
      <c r="C323" s="13">
        <v>3.9049639252880046E-3</v>
      </c>
      <c r="D323" s="1"/>
      <c r="E323" s="1"/>
      <c r="F323" s="1"/>
      <c r="G323" s="1"/>
      <c r="H323" s="1"/>
    </row>
    <row r="324" spans="1:8" ht="22.05" customHeight="1">
      <c r="A324" s="1">
        <v>230</v>
      </c>
      <c r="B324" s="13">
        <v>0.65081267217630545</v>
      </c>
      <c r="C324" s="13">
        <v>3.8950260107091707E-3</v>
      </c>
      <c r="D324" s="1"/>
      <c r="E324" s="1"/>
      <c r="F324" s="1"/>
      <c r="G324" s="1"/>
      <c r="H324" s="1"/>
    </row>
    <row r="325" spans="1:8" ht="22.05" customHeight="1">
      <c r="A325" s="1">
        <v>231</v>
      </c>
      <c r="B325" s="13">
        <v>0.65470262085789888</v>
      </c>
      <c r="C325" s="13">
        <v>3.8848280711912871E-3</v>
      </c>
      <c r="D325" s="1"/>
      <c r="E325" s="1"/>
      <c r="F325" s="1"/>
      <c r="G325" s="1"/>
      <c r="H325" s="1"/>
    </row>
    <row r="326" spans="1:8" ht="22.05" customHeight="1">
      <c r="A326" s="1">
        <v>232</v>
      </c>
      <c r="B326" s="13">
        <v>0.65858224187044789</v>
      </c>
      <c r="C326" s="13">
        <v>3.874370787530512E-3</v>
      </c>
      <c r="D326" s="1"/>
      <c r="E326" s="1"/>
      <c r="F326" s="1"/>
      <c r="G326" s="1"/>
      <c r="H326" s="1"/>
    </row>
    <row r="327" spans="1:8" ht="22.05" customHeight="1">
      <c r="A327" s="1">
        <v>233</v>
      </c>
      <c r="B327" s="13">
        <v>0.6624512762174235</v>
      </c>
      <c r="C327" s="13">
        <v>3.863654857836274E-3</v>
      </c>
      <c r="D327" s="1"/>
      <c r="E327" s="1"/>
      <c r="F327" s="1"/>
      <c r="G327" s="1"/>
      <c r="H327" s="1"/>
    </row>
    <row r="328" spans="1:8" ht="22.05" customHeight="1">
      <c r="A328" s="1">
        <v>234</v>
      </c>
      <c r="B328" s="13">
        <v>0.66630946560904336</v>
      </c>
      <c r="C328" s="13">
        <v>3.8526809974847934E-3</v>
      </c>
      <c r="D328" s="1"/>
      <c r="E328" s="1"/>
      <c r="F328" s="1"/>
      <c r="G328" s="1"/>
      <c r="H328" s="1"/>
    </row>
    <row r="329" spans="1:8" ht="22.05" customHeight="1">
      <c r="A329" s="1">
        <v>235</v>
      </c>
      <c r="B329" s="13">
        <v>0.67015655247951489</v>
      </c>
      <c r="C329" s="13">
        <v>3.8414499390713158E-3</v>
      </c>
      <c r="D329" s="1"/>
      <c r="E329" s="1"/>
      <c r="F329" s="1"/>
      <c r="G329" s="1"/>
      <c r="H329" s="1"/>
    </row>
    <row r="330" spans="1:8" ht="22.05" customHeight="1">
      <c r="A330" s="1">
        <v>236</v>
      </c>
      <c r="B330" s="13">
        <v>0.67399228000423006</v>
      </c>
      <c r="C330" s="13">
        <v>3.8299624323610538E-3</v>
      </c>
      <c r="D330" s="1"/>
      <c r="E330" s="1"/>
      <c r="F330" s="1"/>
      <c r="G330" s="1"/>
      <c r="H330" s="1"/>
    </row>
    <row r="331" spans="1:8" ht="22.05" customHeight="1">
      <c r="A331" s="1">
        <v>237</v>
      </c>
      <c r="B331" s="13">
        <v>0.67781639211691014</v>
      </c>
      <c r="C331" s="13">
        <v>3.8182192442394181E-3</v>
      </c>
      <c r="D331" s="1"/>
      <c r="E331" s="1"/>
      <c r="F331" s="1"/>
      <c r="G331" s="1"/>
      <c r="H331" s="1"/>
    </row>
    <row r="332" spans="1:8" ht="22.05" customHeight="1">
      <c r="A332" s="1">
        <v>238</v>
      </c>
      <c r="B332" s="13">
        <v>0.68162863352670056</v>
      </c>
      <c r="C332" s="13">
        <v>3.8062211586604592E-3</v>
      </c>
      <c r="D332" s="1"/>
      <c r="E332" s="1"/>
      <c r="F332" s="1"/>
      <c r="G332" s="1"/>
      <c r="H332" s="1"/>
    </row>
    <row r="333" spans="1:8" ht="22.05" customHeight="1">
      <c r="A333" s="1">
        <v>239</v>
      </c>
      <c r="B333" s="13">
        <v>0.68542874973521362</v>
      </c>
      <c r="C333" s="13">
        <v>3.793968976594841E-3</v>
      </c>
      <c r="D333" s="1"/>
      <c r="E333" s="1"/>
      <c r="F333" s="1"/>
      <c r="G333" s="1"/>
      <c r="H333" s="1"/>
    </row>
    <row r="334" spans="1:8" ht="22.05" customHeight="1">
      <c r="A334" s="1">
        <v>240</v>
      </c>
      <c r="B334" s="13">
        <v>0.6892164870535179</v>
      </c>
      <c r="C334" s="13">
        <v>3.7814635159762319E-3</v>
      </c>
      <c r="D334" s="1"/>
      <c r="E334" s="1"/>
      <c r="F334" s="1"/>
      <c r="G334" s="1"/>
      <c r="H334" s="1"/>
    </row>
    <row r="335" spans="1:8" ht="22.05" customHeight="1">
      <c r="A335" s="1">
        <v>241</v>
      </c>
      <c r="B335" s="13">
        <v>0.69299159261907506</v>
      </c>
      <c r="C335" s="13">
        <v>3.7687056116467448E-3</v>
      </c>
      <c r="D335" s="1"/>
      <c r="E335" s="1"/>
      <c r="F335" s="1"/>
      <c r="G335" s="1"/>
      <c r="H335" s="1"/>
    </row>
    <row r="336" spans="1:8" ht="22.05" customHeight="1">
      <c r="A336" s="1">
        <v>242</v>
      </c>
      <c r="B336" s="13">
        <v>0.6967538144126193</v>
      </c>
      <c r="C336" s="13">
        <v>3.7556961153010901E-3</v>
      </c>
      <c r="D336" s="1"/>
      <c r="E336" s="1"/>
      <c r="F336" s="1"/>
      <c r="G336" s="1"/>
      <c r="H336" s="1"/>
    </row>
    <row r="337" spans="1:8" ht="22.05" customHeight="1">
      <c r="A337" s="1">
        <v>243</v>
      </c>
      <c r="B337" s="13">
        <v>0.7005029012749826</v>
      </c>
      <c r="C337" s="13">
        <v>3.7424358954299282E-3</v>
      </c>
      <c r="D337" s="1"/>
      <c r="E337" s="1"/>
      <c r="F337" s="1"/>
      <c r="G337" s="1"/>
      <c r="H337" s="1"/>
    </row>
    <row r="338" spans="1:8" ht="22.05" customHeight="1">
      <c r="A338" s="1">
        <v>244</v>
      </c>
      <c r="B338" s="13">
        <v>0.70423860292386142</v>
      </c>
      <c r="C338" s="13">
        <v>3.7289258372617119E-3</v>
      </c>
      <c r="D338" s="1"/>
      <c r="E338" s="1"/>
      <c r="F338" s="1"/>
      <c r="G338" s="1"/>
      <c r="H338" s="1"/>
    </row>
    <row r="339" spans="1:8" ht="22.05" customHeight="1">
      <c r="A339" s="1">
        <v>245</v>
      </c>
      <c r="B339" s="13">
        <v>0.70796066997052476</v>
      </c>
      <c r="C339" s="13">
        <v>3.7151668427036484E-3</v>
      </c>
      <c r="D339" s="1"/>
      <c r="E339" s="1"/>
      <c r="F339" s="1"/>
      <c r="G339" s="1"/>
      <c r="H339" s="1"/>
    </row>
    <row r="340" spans="1:8" ht="22.05" customHeight="1">
      <c r="A340" s="1">
        <v>246</v>
      </c>
      <c r="B340" s="13">
        <v>0.71166885393646329</v>
      </c>
      <c r="C340" s="13">
        <v>3.7011598302814628E-3</v>
      </c>
      <c r="D340" s="1"/>
      <c r="E340" s="1"/>
      <c r="F340" s="1"/>
      <c r="G340" s="1"/>
      <c r="H340" s="1"/>
    </row>
    <row r="341" spans="1:8" ht="22.05" customHeight="1">
      <c r="A341" s="1">
        <v>247</v>
      </c>
      <c r="B341" s="13">
        <v>0.7153629072699772</v>
      </c>
      <c r="C341" s="13">
        <v>3.6869057350781618E-3</v>
      </c>
      <c r="D341" s="1"/>
      <c r="E341" s="1"/>
      <c r="F341" s="1"/>
      <c r="G341" s="1"/>
      <c r="H341" s="1"/>
    </row>
    <row r="342" spans="1:8" ht="22.05" customHeight="1">
      <c r="A342" s="1">
        <v>248</v>
      </c>
      <c r="B342" s="13">
        <v>0.71904258336270255</v>
      </c>
      <c r="C342" s="13">
        <v>3.6724055086715594E-3</v>
      </c>
      <c r="D342" s="1"/>
      <c r="E342" s="1"/>
      <c r="F342" s="1"/>
      <c r="G342" s="1"/>
      <c r="H342" s="1"/>
    </row>
    <row r="343" spans="1:8" ht="22.05" customHeight="1">
      <c r="A343" s="1">
        <v>249</v>
      </c>
      <c r="B343" s="13">
        <v>0.72270763656607362</v>
      </c>
      <c r="C343" s="13">
        <v>3.6576601190707013E-3</v>
      </c>
      <c r="D343" s="1"/>
      <c r="E343" s="1"/>
      <c r="F343" s="1"/>
      <c r="G343" s="1"/>
      <c r="H343" s="1"/>
    </row>
    <row r="344" spans="1:8" ht="22.05" customHeight="1">
      <c r="A344" s="1">
        <v>250</v>
      </c>
      <c r="B344" s="13">
        <v>0.72635782220772316</v>
      </c>
      <c r="C344" s="13">
        <v>3.6426705506513151E-3</v>
      </c>
      <c r="D344" s="1"/>
      <c r="E344" s="1"/>
      <c r="F344" s="1"/>
      <c r="G344" s="1"/>
      <c r="H344" s="1"/>
    </row>
    <row r="345" spans="1:8" ht="22.05" customHeight="1">
      <c r="A345" s="1">
        <v>251</v>
      </c>
      <c r="B345" s="13">
        <v>0.72999289660781519</v>
      </c>
      <c r="C345" s="13">
        <v>3.6274378040900513E-3</v>
      </c>
      <c r="D345" s="1"/>
      <c r="E345" s="1"/>
      <c r="F345" s="1"/>
      <c r="G345" s="1"/>
      <c r="H345" s="1"/>
    </row>
    <row r="346" spans="1:8" ht="22.05" customHeight="1">
      <c r="A346" s="1">
        <v>252</v>
      </c>
      <c r="B346" s="13">
        <v>0.73361261709531322</v>
      </c>
      <c r="C346" s="13">
        <v>3.6119628962976769E-3</v>
      </c>
      <c r="D346" s="1"/>
      <c r="E346" s="1"/>
      <c r="F346" s="1"/>
      <c r="G346" s="1"/>
      <c r="H346" s="1"/>
    </row>
    <row r="347" spans="1:8" ht="22.05" customHeight="1">
      <c r="A347" s="1">
        <v>253</v>
      </c>
      <c r="B347" s="13">
        <v>0.7372167420241803</v>
      </c>
      <c r="C347" s="13">
        <v>3.5962468603513067E-3</v>
      </c>
      <c r="D347" s="1"/>
      <c r="E347" s="1"/>
      <c r="F347" s="1"/>
      <c r="G347" s="1"/>
      <c r="H347" s="1"/>
    </row>
    <row r="348" spans="1:8" ht="22.05" customHeight="1">
      <c r="A348" s="1">
        <v>254</v>
      </c>
      <c r="B348" s="13">
        <v>0.7408050307895111</v>
      </c>
      <c r="C348" s="13">
        <v>3.5802907454252084E-3</v>
      </c>
      <c r="D348" s="1"/>
      <c r="E348" s="1"/>
      <c r="F348" s="1"/>
      <c r="G348" s="1"/>
      <c r="H348" s="1"/>
    </row>
    <row r="349" spans="1:8" ht="22.05" customHeight="1">
      <c r="A349" s="1">
        <v>255</v>
      </c>
      <c r="B349" s="13">
        <v>0.74437724384359394</v>
      </c>
      <c r="C349" s="13">
        <v>3.5640956167209805E-3</v>
      </c>
      <c r="D349" s="1"/>
      <c r="E349" s="1"/>
      <c r="F349" s="1"/>
      <c r="G349" s="1"/>
      <c r="H349" s="1"/>
    </row>
    <row r="350" spans="1:8" ht="22.05" customHeight="1">
      <c r="A350" s="1">
        <v>256</v>
      </c>
      <c r="B350" s="13">
        <v>0.74793314271190292</v>
      </c>
      <c r="C350" s="13">
        <v>3.5476625553962624E-3</v>
      </c>
      <c r="D350" s="1"/>
      <c r="E350" s="1"/>
      <c r="F350" s="1"/>
      <c r="G350" s="1"/>
      <c r="H350" s="1"/>
    </row>
    <row r="351" spans="1:8" ht="22.05" customHeight="1">
      <c r="A351" s="1">
        <v>257</v>
      </c>
      <c r="B351" s="13">
        <v>0.75147249000901772</v>
      </c>
      <c r="C351" s="13">
        <v>3.5309926584928117E-3</v>
      </c>
      <c r="D351" s="1"/>
      <c r="E351" s="1"/>
      <c r="F351" s="1"/>
      <c r="G351" s="1"/>
      <c r="H351" s="1"/>
    </row>
    <row r="352" spans="1:8" ht="22.05" customHeight="1">
      <c r="A352" s="1">
        <v>258</v>
      </c>
      <c r="B352" s="13">
        <v>0.75499504945447149</v>
      </c>
      <c r="C352" s="13">
        <v>3.5140870388629302E-3</v>
      </c>
      <c r="D352" s="1"/>
      <c r="E352" s="1"/>
      <c r="F352" s="1"/>
      <c r="G352" s="1"/>
      <c r="H352" s="1"/>
    </row>
    <row r="353" spans="1:8" ht="22.05" customHeight="1">
      <c r="A353" s="1">
        <v>259</v>
      </c>
      <c r="B353" s="13">
        <v>0.75850058588852365</v>
      </c>
      <c r="C353" s="13">
        <v>3.496946825095347E-3</v>
      </c>
      <c r="D353" s="1"/>
      <c r="E353" s="1"/>
      <c r="F353" s="1"/>
      <c r="G353" s="1"/>
      <c r="H353" s="1"/>
    </row>
    <row r="354" spans="1:8" ht="22.05" customHeight="1">
      <c r="A354" s="1">
        <v>260</v>
      </c>
      <c r="B354" s="13">
        <v>0.7619888652878597</v>
      </c>
      <c r="C354" s="13">
        <v>3.4795731614401652E-3</v>
      </c>
      <c r="D354" s="1"/>
      <c r="E354" s="1"/>
      <c r="F354" s="1"/>
      <c r="G354" s="1"/>
      <c r="H354" s="1"/>
    </row>
    <row r="355" spans="1:8" ht="22.05" customHeight="1">
      <c r="A355" s="1">
        <v>261</v>
      </c>
      <c r="B355" s="13">
        <v>0.76545965478121381</v>
      </c>
      <c r="C355" s="13">
        <v>3.4619672077316828E-3</v>
      </c>
      <c r="D355" s="1"/>
      <c r="E355" s="1"/>
      <c r="F355" s="1"/>
      <c r="G355" s="1"/>
      <c r="H355" s="1"/>
    </row>
    <row r="356" spans="1:8" ht="22.05" customHeight="1">
      <c r="A356" s="1">
        <v>262</v>
      </c>
      <c r="B356" s="13">
        <v>0.76891272266491439</v>
      </c>
      <c r="C356" s="13">
        <v>3.4441301393119401E-3</v>
      </c>
      <c r="D356" s="1"/>
      <c r="E356" s="1"/>
      <c r="F356" s="1"/>
      <c r="G356" s="1"/>
      <c r="H356" s="1"/>
    </row>
    <row r="357" spans="1:8" ht="22.05" customHeight="1">
      <c r="A357" s="1">
        <v>263</v>
      </c>
      <c r="B357" s="13">
        <v>0.77234783841835342</v>
      </c>
      <c r="C357" s="13">
        <v>3.4260631469514484E-3</v>
      </c>
      <c r="D357" s="1"/>
      <c r="E357" s="1"/>
      <c r="F357" s="1"/>
      <c r="G357" s="1"/>
      <c r="H357" s="1"/>
    </row>
    <row r="358" spans="1:8" ht="22.05" customHeight="1">
      <c r="A358" s="1">
        <v>264</v>
      </c>
      <c r="B358" s="13">
        <v>0.77576477271937416</v>
      </c>
      <c r="C358" s="13">
        <v>3.4077674367702653E-3</v>
      </c>
      <c r="D358" s="1"/>
      <c r="E358" s="1"/>
      <c r="F358" s="1"/>
      <c r="G358" s="1"/>
      <c r="H358" s="1"/>
    </row>
    <row r="359" spans="1:8" ht="22.05" customHeight="1">
      <c r="A359" s="1">
        <v>265</v>
      </c>
      <c r="B359" s="13">
        <v>0.77916329745958113</v>
      </c>
      <c r="C359" s="13">
        <v>3.3892442301571846E-3</v>
      </c>
      <c r="D359" s="1"/>
      <c r="E359" s="1"/>
      <c r="F359" s="1"/>
      <c r="G359" s="1"/>
      <c r="H359" s="1"/>
    </row>
    <row r="360" spans="1:8" ht="22.05" customHeight="1">
      <c r="A360" s="1">
        <v>266</v>
      </c>
      <c r="B360" s="13">
        <v>0.78254318575956838</v>
      </c>
      <c r="C360" s="13">
        <v>3.3704947636879409E-3</v>
      </c>
      <c r="D360" s="1"/>
      <c r="E360" s="1"/>
      <c r="F360" s="1"/>
      <c r="G360" s="1"/>
      <c r="H360" s="1"/>
    </row>
    <row r="361" spans="1:8" ht="22.05" customHeight="1">
      <c r="A361" s="1">
        <v>267</v>
      </c>
      <c r="B361" s="13">
        <v>0.78590421198406502</v>
      </c>
      <c r="C361" s="13">
        <v>3.3515202890434768E-3</v>
      </c>
      <c r="D361" s="1"/>
      <c r="E361" s="1"/>
      <c r="F361" s="1"/>
      <c r="G361" s="1"/>
      <c r="H361" s="1"/>
    </row>
    <row r="362" spans="1:8" ht="22.05" customHeight="1">
      <c r="A362" s="1">
        <v>268</v>
      </c>
      <c r="B362" s="13">
        <v>0.78924615175699819</v>
      </c>
      <c r="C362" s="13">
        <v>3.3323220729256481E-3</v>
      </c>
      <c r="D362" s="1"/>
      <c r="E362" s="1"/>
      <c r="F362" s="1"/>
      <c r="G362" s="1"/>
      <c r="H362" s="1"/>
    </row>
    <row r="363" spans="1:8" ht="22.05" customHeight="1">
      <c r="A363" s="1">
        <v>269</v>
      </c>
      <c r="B363" s="13">
        <v>0.79256878197647285</v>
      </c>
      <c r="C363" s="13">
        <v>3.3129013969727208E-3</v>
      </c>
      <c r="D363" s="1"/>
      <c r="E363" s="1"/>
      <c r="F363" s="1"/>
      <c r="G363" s="1"/>
      <c r="H363" s="1"/>
    </row>
    <row r="364" spans="1:8" ht="22.05" customHeight="1">
      <c r="A364" s="1">
        <v>270</v>
      </c>
      <c r="B364" s="13">
        <v>0.79587188082966431</v>
      </c>
      <c r="C364" s="13">
        <v>3.2932595576741701E-3</v>
      </c>
      <c r="D364" s="1"/>
      <c r="E364" s="1"/>
      <c r="F364" s="1"/>
      <c r="G364" s="1"/>
      <c r="H364" s="1"/>
    </row>
    <row r="365" spans="1:8" ht="22.05" customHeight="1">
      <c r="A365" s="1">
        <v>271</v>
      </c>
      <c r="B365" s="13">
        <v>0.79915522780762749</v>
      </c>
      <c r="C365" s="13">
        <v>3.2733978662839447E-3</v>
      </c>
      <c r="D365" s="1"/>
      <c r="E365" s="1"/>
      <c r="F365" s="1"/>
      <c r="G365" s="1"/>
      <c r="H365" s="1"/>
    </row>
    <row r="366" spans="1:8" ht="22.05" customHeight="1">
      <c r="A366" s="1">
        <v>272</v>
      </c>
      <c r="B366" s="13">
        <v>0.8024186037200165</v>
      </c>
      <c r="C366" s="13">
        <v>3.2533176487329328E-3</v>
      </c>
      <c r="D366" s="1"/>
      <c r="E366" s="1"/>
      <c r="F366" s="1"/>
      <c r="G366" s="1"/>
      <c r="H366" s="1"/>
    </row>
    <row r="367" spans="1:8" ht="22.05" customHeight="1">
      <c r="A367" s="1">
        <v>273</v>
      </c>
      <c r="B367" s="13">
        <v>0.80566179070971822</v>
      </c>
      <c r="C367" s="13">
        <v>3.233020245540205E-3</v>
      </c>
      <c r="D367" s="1"/>
      <c r="E367" s="1"/>
      <c r="F367" s="1"/>
      <c r="G367" s="1"/>
      <c r="H367" s="1"/>
    </row>
    <row r="368" spans="1:8" ht="22.05" customHeight="1">
      <c r="A368" s="1">
        <v>274</v>
      </c>
      <c r="B368" s="13">
        <v>0.80888457226739563</v>
      </c>
      <c r="C368" s="13">
        <v>3.2125070117241961E-3</v>
      </c>
      <c r="D368" s="1"/>
      <c r="E368" s="1"/>
      <c r="F368" s="1"/>
      <c r="G368" s="1"/>
      <c r="H368" s="1"/>
    </row>
    <row r="369" spans="1:8" ht="22.05" customHeight="1">
      <c r="A369" s="1">
        <v>275</v>
      </c>
      <c r="B369" s="13">
        <v>0.81208673324594183</v>
      </c>
      <c r="C369" s="13">
        <v>3.1917793167112961E-3</v>
      </c>
      <c r="D369" s="1"/>
      <c r="E369" s="1"/>
      <c r="F369" s="1"/>
      <c r="G369" s="1"/>
      <c r="H369" s="1"/>
    </row>
    <row r="370" spans="1:8" ht="22.05" customHeight="1">
      <c r="A370" s="1">
        <v>276</v>
      </c>
      <c r="B370" s="13">
        <v>0.81526805987484252</v>
      </c>
      <c r="C370" s="13">
        <v>3.17083854424542E-3</v>
      </c>
      <c r="D370" s="1"/>
      <c r="E370" s="1"/>
      <c r="F370" s="1"/>
      <c r="G370" s="1"/>
      <c r="H370" s="1"/>
    </row>
    <row r="371" spans="1:8" ht="22.05" customHeight="1">
      <c r="A371" s="1">
        <v>277</v>
      </c>
      <c r="B371" s="13">
        <v>0.81842833977444718</v>
      </c>
      <c r="C371" s="13">
        <v>3.1496860922946113E-3</v>
      </c>
      <c r="D371" s="1"/>
      <c r="E371" s="1"/>
      <c r="F371" s="1"/>
      <c r="G371" s="1"/>
      <c r="H371" s="1"/>
    </row>
    <row r="372" spans="1:8" ht="22.05" customHeight="1">
      <c r="A372" s="1">
        <v>278</v>
      </c>
      <c r="B372" s="13">
        <v>0.82156736197014735</v>
      </c>
      <c r="C372" s="13">
        <v>3.1283233729589334E-3</v>
      </c>
      <c r="D372" s="1"/>
      <c r="E372" s="1"/>
      <c r="F372" s="1"/>
      <c r="G372" s="1"/>
      <c r="H372" s="1"/>
    </row>
    <row r="373" spans="1:8" ht="22.05" customHeight="1">
      <c r="A373" s="1">
        <v>279</v>
      </c>
      <c r="B373" s="13">
        <v>0.82468491690646062</v>
      </c>
      <c r="C373" s="13">
        <v>3.1067518123748003E-3</v>
      </c>
      <c r="D373" s="1"/>
      <c r="E373" s="1"/>
      <c r="F373" s="1"/>
      <c r="G373" s="1"/>
      <c r="H373" s="1"/>
    </row>
    <row r="374" spans="1:8" ht="22.05" customHeight="1">
      <c r="A374" s="1">
        <v>280</v>
      </c>
      <c r="B374" s="13">
        <v>0.82778079646101999</v>
      </c>
      <c r="C374" s="13">
        <v>3.0849728506211049E-3</v>
      </c>
      <c r="D374" s="1"/>
      <c r="E374" s="1"/>
      <c r="F374" s="1"/>
      <c r="G374" s="1"/>
      <c r="H374" s="1"/>
    </row>
    <row r="375" spans="1:8" ht="22.05" customHeight="1">
      <c r="A375" s="1">
        <v>281</v>
      </c>
      <c r="B375" s="13">
        <v>0.83085479395846829</v>
      </c>
      <c r="C375" s="13">
        <v>3.0629879416221319E-3</v>
      </c>
      <c r="D375" s="1"/>
      <c r="E375" s="1"/>
      <c r="F375" s="1"/>
      <c r="G375" s="1"/>
      <c r="H375" s="1"/>
    </row>
    <row r="376" spans="1:8" ht="22.05" customHeight="1">
      <c r="A376" s="1">
        <v>282</v>
      </c>
      <c r="B376" s="13">
        <v>0.83390670418425517</v>
      </c>
      <c r="C376" s="13">
        <v>3.0407985530508178E-3</v>
      </c>
      <c r="D376" s="1"/>
      <c r="E376" s="1"/>
      <c r="F376" s="1"/>
      <c r="G376" s="1"/>
      <c r="H376" s="1"/>
    </row>
    <row r="377" spans="1:8" ht="22.05" customHeight="1">
      <c r="A377" s="1">
        <v>283</v>
      </c>
      <c r="B377" s="13">
        <v>0.83693632339833657</v>
      </c>
      <c r="C377" s="13">
        <v>3.018406166231038E-3</v>
      </c>
      <c r="D377" s="1"/>
      <c r="E377" s="1"/>
      <c r="F377" s="1"/>
      <c r="G377" s="1"/>
      <c r="H377" s="1"/>
    </row>
    <row r="378" spans="1:8" ht="22.05" customHeight="1">
      <c r="A378" s="1">
        <v>284</v>
      </c>
      <c r="B378" s="13">
        <v>0.83994344934877674</v>
      </c>
      <c r="C378" s="13">
        <v>2.9958122760383233E-3</v>
      </c>
      <c r="D378" s="1"/>
      <c r="E378" s="1"/>
      <c r="F378" s="1"/>
      <c r="G378" s="1"/>
      <c r="H378" s="1"/>
    </row>
    <row r="379" spans="1:8" ht="22.05" customHeight="1">
      <c r="A379" s="1">
        <v>285</v>
      </c>
      <c r="B379" s="13">
        <v>0.84292788128524943</v>
      </c>
      <c r="C379" s="13">
        <v>2.973018390799951E-3</v>
      </c>
      <c r="D379" s="1"/>
      <c r="E379" s="1"/>
      <c r="F379" s="1"/>
      <c r="G379" s="1"/>
      <c r="H379" s="1"/>
    </row>
    <row r="380" spans="1:8" ht="22.05" customHeight="1">
      <c r="A380" s="1">
        <v>286</v>
      </c>
      <c r="B380" s="13">
        <v>0.84588941997244038</v>
      </c>
      <c r="C380" s="13">
        <v>2.9500260321949955E-3</v>
      </c>
      <c r="D380" s="1"/>
      <c r="E380" s="1"/>
      <c r="F380" s="1"/>
      <c r="G380" s="1"/>
      <c r="H380" s="1"/>
    </row>
    <row r="381" spans="1:8" ht="22.05" customHeight="1">
      <c r="A381" s="1">
        <v>287</v>
      </c>
      <c r="B381" s="13">
        <v>0.84882786770334717</v>
      </c>
      <c r="C381" s="13">
        <v>2.9268367351518933E-3</v>
      </c>
      <c r="D381" s="1"/>
      <c r="E381" s="1"/>
      <c r="F381" s="1"/>
      <c r="G381" s="1"/>
      <c r="H381" s="1"/>
    </row>
    <row r="382" spans="1:8" ht="22.05" customHeight="1">
      <c r="A382" s="1">
        <v>288</v>
      </c>
      <c r="B382" s="13">
        <v>0.85174302831247828</v>
      </c>
      <c r="C382" s="13">
        <v>2.9034520477464235E-3</v>
      </c>
      <c r="D382" s="1"/>
      <c r="E382" s="1"/>
      <c r="F382" s="1"/>
      <c r="G382" s="1"/>
      <c r="H382" s="1"/>
    </row>
    <row r="383" spans="1:8" ht="22.05" customHeight="1">
      <c r="A383" s="1">
        <v>289</v>
      </c>
      <c r="B383" s="13">
        <v>0.85463470718894874</v>
      </c>
      <c r="C383" s="13">
        <v>2.8798735310984406E-3</v>
      </c>
      <c r="D383" s="1"/>
      <c r="E383" s="1"/>
      <c r="F383" s="1"/>
      <c r="G383" s="1"/>
      <c r="H383" s="1"/>
    </row>
    <row r="384" spans="1:8" ht="22.05" customHeight="1">
      <c r="A384" s="1">
        <v>290</v>
      </c>
      <c r="B384" s="13">
        <v>0.85750271128947153</v>
      </c>
      <c r="C384" s="13">
        <v>2.8561027592673119E-3</v>
      </c>
      <c r="D384" s="1"/>
      <c r="E384" s="1"/>
      <c r="F384" s="1"/>
      <c r="G384" s="1"/>
      <c r="H384" s="1"/>
    </row>
    <row r="385" spans="1:8" ht="22.05" customHeight="1">
      <c r="A385" s="1">
        <v>291</v>
      </c>
      <c r="B385" s="13">
        <v>0.8603468491512456</v>
      </c>
      <c r="C385" s="13">
        <v>2.8321413191470619E-3</v>
      </c>
      <c r="D385" s="1"/>
      <c r="E385" s="1"/>
      <c r="F385" s="1"/>
      <c r="G385" s="1"/>
      <c r="H385" s="1"/>
    </row>
    <row r="386" spans="1:8" ht="22.05" customHeight="1">
      <c r="A386" s="1">
        <v>292</v>
      </c>
      <c r="B386" s="13">
        <v>0.86316693090473673</v>
      </c>
      <c r="C386" s="13">
        <v>2.8079908103604708E-3</v>
      </c>
      <c r="D386" s="1"/>
      <c r="E386" s="1"/>
      <c r="F386" s="1"/>
      <c r="G386" s="1"/>
      <c r="H386" s="1"/>
    </row>
    <row r="387" spans="1:8" ht="22.05" customHeight="1">
      <c r="A387" s="1">
        <v>293</v>
      </c>
      <c r="B387" s="13">
        <v>0.86596276828635332</v>
      </c>
      <c r="C387" s="13">
        <v>2.7836528451519577E-3</v>
      </c>
      <c r="D387" s="1"/>
      <c r="E387" s="1"/>
      <c r="F387" s="1"/>
      <c r="G387" s="1"/>
      <c r="H387" s="1"/>
    </row>
    <row r="388" spans="1:8" ht="22.05" customHeight="1">
      <c r="A388" s="1">
        <v>294</v>
      </c>
      <c r="B388" s="13">
        <v>0.86873417465101488</v>
      </c>
      <c r="C388" s="13">
        <v>2.7591290482804356E-3</v>
      </c>
      <c r="D388" s="1"/>
      <c r="E388" s="1"/>
      <c r="F388" s="1"/>
      <c r="G388" s="1"/>
      <c r="H388" s="1"/>
    </row>
    <row r="389" spans="1:8" ht="22.05" customHeight="1">
      <c r="A389" s="1">
        <v>295</v>
      </c>
      <c r="B389" s="13">
        <v>0.87148096498461136</v>
      </c>
      <c r="C389" s="13">
        <v>2.7344210569105491E-3</v>
      </c>
      <c r="D389" s="1"/>
      <c r="E389" s="1"/>
      <c r="F389" s="1"/>
      <c r="G389" s="1"/>
      <c r="H389" s="1"/>
    </row>
    <row r="390" spans="1:8" ht="22.05" customHeight="1">
      <c r="A390" s="1">
        <v>296</v>
      </c>
      <c r="B390" s="13">
        <v>0.87420295591635466</v>
      </c>
      <c r="C390" s="13">
        <v>2.7095305205033903E-3</v>
      </c>
      <c r="D390" s="1"/>
      <c r="E390" s="1"/>
      <c r="F390" s="1"/>
      <c r="G390" s="1"/>
      <c r="H390" s="1"/>
    </row>
    <row r="391" spans="1:8" ht="22.05" customHeight="1">
      <c r="A391" s="1">
        <v>297</v>
      </c>
      <c r="B391" s="13">
        <v>0.87689996573102058</v>
      </c>
      <c r="C391" s="13">
        <v>2.6844591007064351E-3</v>
      </c>
      <c r="D391" s="1"/>
      <c r="E391" s="1"/>
      <c r="F391" s="1"/>
      <c r="G391" s="1"/>
      <c r="H391" s="1"/>
    </row>
    <row r="392" spans="1:8" ht="22.05" customHeight="1">
      <c r="A392" s="1">
        <v>298</v>
      </c>
      <c r="B392" s="13">
        <v>0.87957181438107901</v>
      </c>
      <c r="C392" s="13">
        <v>2.6592084712427399E-3</v>
      </c>
      <c r="D392" s="1"/>
      <c r="E392" s="1"/>
      <c r="F392" s="1"/>
      <c r="G392" s="1"/>
      <c r="H392" s="1"/>
    </row>
    <row r="393" spans="1:8" ht="22.05" customHeight="1">
      <c r="A393" s="1">
        <v>299</v>
      </c>
      <c r="B393" s="13">
        <v>0.88221832349871421</v>
      </c>
      <c r="C393" s="13">
        <v>2.6337803177988459E-3</v>
      </c>
      <c r="D393" s="1"/>
      <c r="E393" s="1"/>
      <c r="F393" s="1"/>
      <c r="G393" s="1"/>
      <c r="H393" s="1"/>
    </row>
    <row r="394" spans="1:8" ht="22.05" customHeight="1">
      <c r="A394" s="1">
        <v>300</v>
      </c>
      <c r="B394" s="13">
        <v>0.88483931640773217</v>
      </c>
      <c r="C394" s="13">
        <v>2.6081763379126764E-3</v>
      </c>
      <c r="D394" s="1"/>
      <c r="E394" s="1"/>
      <c r="F394" s="1"/>
      <c r="G394" s="1"/>
      <c r="H394" s="1"/>
    </row>
    <row r="395" spans="1:8" ht="22.05" customHeight="1">
      <c r="A395" s="1">
        <v>301</v>
      </c>
      <c r="B395" s="13">
        <v>0.88743461813535496</v>
      </c>
      <c r="C395" s="13">
        <v>2.5823982408600629E-3</v>
      </c>
      <c r="D395" s="1"/>
      <c r="E395" s="1"/>
      <c r="F395" s="1"/>
      <c r="G395" s="1"/>
      <c r="H395" s="1"/>
    </row>
    <row r="396" spans="1:8" ht="22.05" customHeight="1">
      <c r="A396" s="1">
        <v>302</v>
      </c>
      <c r="B396" s="13">
        <v>0.89000405542390193</v>
      </c>
      <c r="C396" s="13">
        <v>2.5564477475401837E-3</v>
      </c>
      <c r="D396" s="1"/>
      <c r="E396" s="1"/>
      <c r="F396" s="1"/>
      <c r="G396" s="1"/>
      <c r="H396" s="1"/>
    </row>
    <row r="397" spans="1:8" ht="22.05" customHeight="1">
      <c r="A397" s="1">
        <v>303</v>
      </c>
      <c r="B397" s="13">
        <v>0.89254745674235592</v>
      </c>
      <c r="C397" s="13">
        <v>2.5303265903615958E-3</v>
      </c>
      <c r="D397" s="1"/>
      <c r="E397" s="1"/>
      <c r="F397" s="1"/>
      <c r="G397" s="1"/>
      <c r="H397" s="1"/>
    </row>
    <row r="398" spans="1:8" ht="22.05" customHeight="1">
      <c r="A398" s="1">
        <v>304</v>
      </c>
      <c r="B398" s="13">
        <v>0.89506465229781407</v>
      </c>
      <c r="C398" s="13">
        <v>2.5040365131257115E-3</v>
      </c>
      <c r="D398" s="1"/>
      <c r="E398" s="1"/>
      <c r="F398" s="1"/>
      <c r="G398" s="1"/>
      <c r="H398" s="1"/>
    </row>
    <row r="399" spans="1:8" ht="22.05" customHeight="1">
      <c r="A399" s="1">
        <v>305</v>
      </c>
      <c r="B399" s="13">
        <v>0.89755547404682356</v>
      </c>
      <c r="C399" s="13">
        <v>2.4775792709108456E-3</v>
      </c>
      <c r="D399" s="1"/>
      <c r="E399" s="1"/>
      <c r="F399" s="1"/>
      <c r="G399" s="1"/>
      <c r="H399" s="1"/>
    </row>
    <row r="400" spans="1:8" ht="22.05" customHeight="1">
      <c r="A400" s="1">
        <v>306</v>
      </c>
      <c r="B400" s="13">
        <v>0.90001975570659942</v>
      </c>
      <c r="C400" s="13">
        <v>2.4509566299550406E-3</v>
      </c>
      <c r="D400" s="1"/>
      <c r="E400" s="1"/>
      <c r="F400" s="1"/>
      <c r="G400" s="1"/>
      <c r="H400" s="1"/>
    </row>
    <row r="401" spans="1:8" ht="22.05" customHeight="1">
      <c r="A401" s="1">
        <v>307</v>
      </c>
      <c r="B401" s="13">
        <v>0.90245733276612528</v>
      </c>
      <c r="C401" s="13">
        <v>2.4241703675380736E-3</v>
      </c>
      <c r="D401" s="1"/>
      <c r="E401" s="1"/>
      <c r="F401" s="1"/>
      <c r="G401" s="1"/>
      <c r="H401" s="1"/>
    </row>
    <row r="402" spans="1:8" ht="22.05" customHeight="1">
      <c r="A402" s="1">
        <v>308</v>
      </c>
      <c r="B402" s="13">
        <v>0.90486804249713604</v>
      </c>
      <c r="C402" s="13">
        <v>2.3972222718625681E-3</v>
      </c>
      <c r="D402" s="1"/>
      <c r="E402" s="1"/>
      <c r="F402" s="1"/>
      <c r="G402" s="1"/>
      <c r="H402" s="1"/>
    </row>
    <row r="403" spans="1:8" ht="22.05" customHeight="1">
      <c r="A403" s="1">
        <v>309</v>
      </c>
      <c r="B403" s="13">
        <v>0.90725172396498099</v>
      </c>
      <c r="C403" s="13">
        <v>2.3701141419349395E-3</v>
      </c>
      <c r="D403" s="1"/>
      <c r="E403" s="1"/>
      <c r="F403" s="1"/>
      <c r="G403" s="1"/>
      <c r="H403" s="1"/>
    </row>
    <row r="404" spans="1:8" ht="22.05" customHeight="1">
      <c r="A404" s="1">
        <v>310</v>
      </c>
      <c r="B404" s="13">
        <v>0.90960821803936798</v>
      </c>
      <c r="C404" s="13">
        <v>2.3428477874455917E-3</v>
      </c>
      <c r="D404" s="1"/>
      <c r="E404" s="1"/>
      <c r="F404" s="1"/>
      <c r="G404" s="1"/>
      <c r="H404" s="1"/>
    </row>
    <row r="405" spans="1:8" ht="22.05" customHeight="1">
      <c r="A405" s="1">
        <v>311</v>
      </c>
      <c r="B405" s="13">
        <v>0.91193736740498632</v>
      </c>
      <c r="C405" s="13">
        <v>2.3154250286469796E-3</v>
      </c>
      <c r="D405" s="1"/>
      <c r="E405" s="1"/>
      <c r="F405" s="1"/>
      <c r="G405" s="1"/>
      <c r="H405" s="1"/>
    </row>
    <row r="406" spans="1:8" ht="22.05" customHeight="1">
      <c r="A406" s="1">
        <v>312</v>
      </c>
      <c r="B406" s="13">
        <v>0.9142390165720089</v>
      </c>
      <c r="C406" s="13">
        <v>2.2878476962335504E-3</v>
      </c>
      <c r="D406" s="1"/>
      <c r="E406" s="1"/>
      <c r="F406" s="1"/>
      <c r="G406" s="1"/>
      <c r="H406" s="1"/>
    </row>
    <row r="407" spans="1:8" ht="22.05" customHeight="1">
      <c r="A407" s="1">
        <v>313</v>
      </c>
      <c r="B407" s="13">
        <v>0.91651301188647261</v>
      </c>
      <c r="C407" s="13">
        <v>2.2601176312181479E-3</v>
      </c>
      <c r="D407" s="1"/>
      <c r="E407" s="1"/>
      <c r="F407" s="1"/>
      <c r="G407" s="1"/>
      <c r="H407" s="1"/>
    </row>
    <row r="408" spans="1:8" ht="22.05" customHeight="1">
      <c r="A408" s="1">
        <v>314</v>
      </c>
      <c r="B408" s="13">
        <v>0.9187592015405357</v>
      </c>
      <c r="C408" s="13">
        <v>2.2322366848104408E-3</v>
      </c>
      <c r="D408" s="1"/>
      <c r="E408" s="1"/>
      <c r="F408" s="1"/>
      <c r="G408" s="1"/>
      <c r="H408" s="1"/>
    </row>
    <row r="409" spans="1:8" ht="22.05" customHeight="1">
      <c r="A409" s="1">
        <v>315</v>
      </c>
      <c r="B409" s="13">
        <v>0.92097743558261269</v>
      </c>
      <c r="C409" s="13">
        <v>2.2042067182921105E-3</v>
      </c>
      <c r="D409" s="1"/>
      <c r="E409" s="1"/>
      <c r="F409" s="1"/>
      <c r="G409" s="1"/>
      <c r="H409" s="1"/>
    </row>
    <row r="410" spans="1:8" ht="22.05" customHeight="1">
      <c r="A410" s="1">
        <v>316</v>
      </c>
      <c r="B410" s="13">
        <v>0.92316756592738414</v>
      </c>
      <c r="C410" s="13">
        <v>2.1760296028937275E-3</v>
      </c>
      <c r="D410" s="1"/>
      <c r="E410" s="1"/>
      <c r="F410" s="1"/>
      <c r="G410" s="1"/>
      <c r="H410" s="1"/>
    </row>
    <row r="411" spans="1:8" ht="22.05" customHeight="1">
      <c r="A411" s="1">
        <v>317</v>
      </c>
      <c r="B411" s="13">
        <v>0.92532944636568337</v>
      </c>
      <c r="C411" s="13">
        <v>2.1477072196684779E-3</v>
      </c>
      <c r="D411" s="1"/>
      <c r="E411" s="1"/>
      <c r="F411" s="1"/>
      <c r="G411" s="1"/>
      <c r="H411" s="1"/>
    </row>
    <row r="412" spans="1:8" ht="22.05" customHeight="1">
      <c r="A412" s="1">
        <v>318</v>
      </c>
      <c r="B412" s="13">
        <v>0.92746293257425627</v>
      </c>
      <c r="C412" s="13">
        <v>2.1192414593682791E-3</v>
      </c>
      <c r="D412" s="1"/>
      <c r="E412" s="1"/>
      <c r="F412" s="1"/>
      <c r="G412" s="1"/>
      <c r="H412" s="1"/>
    </row>
    <row r="413" spans="1:8" ht="22.05" customHeight="1">
      <c r="A413" s="1">
        <v>319</v>
      </c>
      <c r="B413" s="13">
        <v>0.9295678821253972</v>
      </c>
      <c r="C413" s="13">
        <v>2.0906342223155979E-3</v>
      </c>
      <c r="D413" s="1"/>
      <c r="E413" s="1"/>
      <c r="F413" s="1"/>
      <c r="G413" s="1"/>
      <c r="H413" s="1"/>
    </row>
    <row r="414" spans="1:8" ht="22.05" customHeight="1">
      <c r="A414" s="1">
        <v>320</v>
      </c>
      <c r="B414" s="13">
        <v>0.93164415449645599</v>
      </c>
      <c r="C414" s="13">
        <v>2.0618874182788322E-3</v>
      </c>
      <c r="D414" s="1"/>
      <c r="E414" s="1"/>
      <c r="F414" s="1"/>
      <c r="G414" s="1"/>
      <c r="H414" s="1"/>
    </row>
    <row r="415" spans="1:8" ht="22.05" customHeight="1">
      <c r="A415" s="1">
        <v>321</v>
      </c>
      <c r="B415" s="13">
        <v>0.93369161107921972</v>
      </c>
      <c r="C415" s="13">
        <v>2.0330029663425332E-3</v>
      </c>
      <c r="D415" s="1"/>
      <c r="E415" s="1"/>
      <c r="F415" s="1"/>
      <c r="G415" s="1"/>
      <c r="H415" s="1"/>
    </row>
    <row r="416" spans="1:8" ht="22.05" customHeight="1">
      <c r="A416" s="1">
        <v>322</v>
      </c>
      <c r="B416" s="13">
        <v>0.93571011518916558</v>
      </c>
      <c r="C416" s="13">
        <v>2.0039827947812561E-3</v>
      </c>
      <c r="D416" s="1"/>
      <c r="E416" s="1"/>
      <c r="F416" s="1"/>
      <c r="G416" s="1"/>
      <c r="H416" s="1"/>
    </row>
    <row r="417" spans="1:8" ht="22.05" customHeight="1">
      <c r="A417" s="1">
        <v>323</v>
      </c>
      <c r="B417" s="13">
        <v>0.93769953207458623</v>
      </c>
      <c r="C417" s="13">
        <v>1.9748288409294581E-3</v>
      </c>
      <c r="D417" s="1"/>
      <c r="E417" s="1"/>
      <c r="F417" s="1"/>
      <c r="G417" s="1"/>
      <c r="H417" s="1"/>
    </row>
    <row r="418" spans="1:8" ht="22.05" customHeight="1">
      <c r="A418" s="1">
        <v>324</v>
      </c>
      <c r="B418" s="13">
        <v>0.93965972892558502</v>
      </c>
      <c r="C418" s="13">
        <v>1.9455430510525271E-3</v>
      </c>
      <c r="D418" s="1"/>
      <c r="E418" s="1"/>
      <c r="F418" s="1"/>
      <c r="G418" s="1"/>
      <c r="H418" s="1"/>
    </row>
    <row r="419" spans="1:8" ht="22.05" customHeight="1">
      <c r="A419" s="1">
        <v>325</v>
      </c>
      <c r="B419" s="13">
        <v>0.94159057488294229</v>
      </c>
      <c r="C419" s="13">
        <v>1.9161273802176767E-3</v>
      </c>
      <c r="D419" s="1"/>
      <c r="E419" s="1"/>
      <c r="F419" s="1"/>
      <c r="G419" s="1"/>
      <c r="H419" s="1"/>
    </row>
    <row r="420" spans="1:8" ht="22.05" customHeight="1">
      <c r="A420" s="1">
        <v>326</v>
      </c>
      <c r="B420" s="13">
        <v>0.94349194104685163</v>
      </c>
      <c r="C420" s="13">
        <v>1.8865837921618117E-3</v>
      </c>
      <c r="D420" s="1"/>
      <c r="E420" s="1"/>
      <c r="F420" s="1"/>
      <c r="G420" s="1"/>
      <c r="H420" s="1"/>
    </row>
    <row r="421" spans="1:8" ht="22.05" customHeight="1">
      <c r="A421" s="1">
        <v>327</v>
      </c>
      <c r="B421" s="13">
        <v>0.94536370048552454</v>
      </c>
      <c r="C421" s="13">
        <v>1.856914259162339E-3</v>
      </c>
      <c r="D421" s="1"/>
      <c r="E421" s="1"/>
      <c r="F421" s="1"/>
      <c r="G421" s="1"/>
      <c r="H421" s="1"/>
    </row>
    <row r="422" spans="1:8" ht="22.05" customHeight="1">
      <c r="A422" s="1">
        <v>328</v>
      </c>
      <c r="B422" s="13">
        <v>0.94720572824366434</v>
      </c>
      <c r="C422" s="13">
        <v>1.8271207619034633E-3</v>
      </c>
      <c r="D422" s="1"/>
      <c r="E422" s="1"/>
      <c r="F422" s="1"/>
      <c r="G422" s="1"/>
      <c r="H422" s="1"/>
    </row>
    <row r="423" spans="1:8" ht="22.05" customHeight="1">
      <c r="A423" s="1">
        <v>329</v>
      </c>
      <c r="B423" s="13">
        <v>0.94901790135080821</v>
      </c>
      <c r="C423" s="13">
        <v>1.7972052893462571E-3</v>
      </c>
      <c r="D423" s="1"/>
      <c r="E423" s="1"/>
      <c r="F423" s="1"/>
      <c r="G423" s="1"/>
      <c r="H423" s="1"/>
    </row>
    <row r="424" spans="1:8" ht="22.05" customHeight="1">
      <c r="A424" s="1">
        <v>330</v>
      </c>
      <c r="B424" s="13">
        <v>0.95080009882953609</v>
      </c>
      <c r="C424" s="13">
        <v>1.767169838593685E-3</v>
      </c>
      <c r="D424" s="1"/>
      <c r="E424" s="1"/>
      <c r="F424" s="1"/>
      <c r="G424" s="1"/>
      <c r="H424" s="1"/>
    </row>
    <row r="425" spans="1:8" ht="22.05" customHeight="1">
      <c r="A425" s="1">
        <v>331</v>
      </c>
      <c r="B425" s="13">
        <v>0.95255220170354726</v>
      </c>
      <c r="C425" s="13">
        <v>1.7370164147588218E-3</v>
      </c>
      <c r="D425" s="1"/>
      <c r="E425" s="1"/>
      <c r="F425" s="1"/>
      <c r="G425" s="1"/>
      <c r="H425" s="1"/>
    </row>
    <row r="426" spans="1:8" ht="22.05" customHeight="1">
      <c r="A426" s="1">
        <v>332</v>
      </c>
      <c r="B426" s="13">
        <v>0.95427409300560273</v>
      </c>
      <c r="C426" s="13">
        <v>1.7067470308297034E-3</v>
      </c>
      <c r="D426" s="1"/>
      <c r="E426" s="1"/>
      <c r="F426" s="1"/>
      <c r="G426" s="1"/>
      <c r="H426" s="1"/>
    </row>
    <row r="427" spans="1:8" ht="22.05" customHeight="1">
      <c r="A427" s="1">
        <v>333</v>
      </c>
      <c r="B427" s="13">
        <v>0.95596565778533404</v>
      </c>
      <c r="C427" s="13">
        <v>1.6763637075368517E-3</v>
      </c>
      <c r="D427" s="1"/>
      <c r="E427" s="1"/>
      <c r="F427" s="1"/>
      <c r="G427" s="1"/>
      <c r="H427" s="1"/>
    </row>
    <row r="428" spans="1:8" ht="22.05" customHeight="1">
      <c r="A428" s="1">
        <v>334</v>
      </c>
      <c r="B428" s="13">
        <v>0.95762678311691696</v>
      </c>
      <c r="C428" s="13">
        <v>1.6458684732157632E-3</v>
      </c>
      <c r="D428" s="1"/>
      <c r="E428" s="1"/>
      <c r="F428" s="1"/>
      <c r="G428" s="1"/>
      <c r="H428" s="1"/>
    </row>
    <row r="429" spans="1:8" ht="22.05" customHeight="1">
      <c r="A429" s="1">
        <v>335</v>
      </c>
      <c r="B429" s="13">
        <v>0.95925735810661039</v>
      </c>
      <c r="C429" s="13">
        <v>1.6152633636741032E-3</v>
      </c>
      <c r="D429" s="1"/>
      <c r="E429" s="1"/>
      <c r="F429" s="1"/>
      <c r="G429" s="1"/>
      <c r="H429" s="1"/>
    </row>
    <row r="430" spans="1:8" ht="22.05" customHeight="1">
      <c r="A430" s="1">
        <v>336</v>
      </c>
      <c r="B430" s="13">
        <v>0.96085727390015907</v>
      </c>
      <c r="C430" s="13">
        <v>1.5845504220543653E-3</v>
      </c>
      <c r="D430" s="1"/>
      <c r="E430" s="1"/>
      <c r="F430" s="1"/>
      <c r="G430" s="1"/>
      <c r="H430" s="1"/>
    </row>
    <row r="431" spans="1:8" ht="22.05" customHeight="1">
      <c r="A431" s="1">
        <v>337</v>
      </c>
      <c r="B431" s="13">
        <v>0.96242642369006104</v>
      </c>
      <c r="C431" s="13">
        <v>1.5537316986970787E-3</v>
      </c>
      <c r="D431" s="1"/>
      <c r="E431" s="1"/>
      <c r="F431" s="1"/>
      <c r="G431" s="1"/>
      <c r="H431" s="1"/>
    </row>
    <row r="432" spans="1:8" ht="22.05" customHeight="1">
      <c r="A432" s="1">
        <v>338</v>
      </c>
      <c r="B432" s="13">
        <v>0.96396470272269785</v>
      </c>
      <c r="C432" s="13">
        <v>1.5228092510050338E-3</v>
      </c>
      <c r="D432" s="1"/>
      <c r="E432" s="1"/>
      <c r="F432" s="1"/>
      <c r="G432" s="1"/>
      <c r="H432" s="1"/>
    </row>
    <row r="433" spans="1:8" ht="22.05" customHeight="1">
      <c r="A433" s="1">
        <v>339</v>
      </c>
      <c r="B433" s="13">
        <v>0.96547200830532698</v>
      </c>
      <c r="C433" s="13">
        <v>1.4917851433062944E-3</v>
      </c>
      <c r="D433" s="1"/>
      <c r="E433" s="1"/>
      <c r="F433" s="1"/>
      <c r="G433" s="1"/>
      <c r="H433" s="1"/>
    </row>
    <row r="434" spans="1:8" ht="22.05" customHeight="1">
      <c r="A434" s="1">
        <v>340</v>
      </c>
      <c r="B434" s="13">
        <v>0.96694823981293876</v>
      </c>
      <c r="C434" s="13">
        <v>1.4606614467143283E-3</v>
      </c>
      <c r="D434" s="1"/>
      <c r="E434" s="1"/>
      <c r="F434" s="1"/>
      <c r="G434" s="1"/>
      <c r="H434" s="1"/>
    </row>
    <row r="435" spans="1:8" ht="22.05" customHeight="1">
      <c r="A435" s="1">
        <v>341</v>
      </c>
      <c r="B435" s="13">
        <v>0.96839329869497293</v>
      </c>
      <c r="C435" s="13">
        <v>1.4294402389917033E-3</v>
      </c>
      <c r="D435" s="1"/>
      <c r="E435" s="1"/>
      <c r="F435" s="1"/>
      <c r="G435" s="1"/>
      <c r="H435" s="1"/>
    </row>
    <row r="436" spans="1:8" ht="22.05" customHeight="1">
      <c r="A436" s="1">
        <v>342</v>
      </c>
      <c r="B436" s="13">
        <v>0.96980708848189812</v>
      </c>
      <c r="C436" s="13">
        <v>1.3981236044103543E-3</v>
      </c>
      <c r="D436" s="1"/>
      <c r="E436" s="1"/>
      <c r="F436" s="1"/>
      <c r="G436" s="1"/>
      <c r="H436" s="1"/>
    </row>
    <row r="437" spans="1:8" ht="22.05" customHeight="1">
      <c r="A437" s="1">
        <v>343</v>
      </c>
      <c r="B437" s="13">
        <v>0.97118951479165228</v>
      </c>
      <c r="C437" s="13">
        <v>1.3667136336128873E-3</v>
      </c>
      <c r="D437" s="1"/>
      <c r="E437" s="1"/>
      <c r="F437" s="1"/>
      <c r="G437" s="1"/>
      <c r="H437" s="1"/>
    </row>
    <row r="438" spans="1:8" ht="22.05" customHeight="1">
      <c r="A438" s="1">
        <v>344</v>
      </c>
      <c r="B438" s="13">
        <v>0.97254048533594251</v>
      </c>
      <c r="C438" s="13">
        <v>1.3352124234738646E-3</v>
      </c>
      <c r="D438" s="1"/>
      <c r="E438" s="1"/>
      <c r="F438" s="1"/>
      <c r="G438" s="1"/>
      <c r="H438" s="1"/>
    </row>
    <row r="439" spans="1:8" ht="22.05" customHeight="1">
      <c r="A439" s="1">
        <v>345</v>
      </c>
      <c r="B439" s="13">
        <v>0.97385990992640781</v>
      </c>
      <c r="C439" s="13">
        <v>1.3036220769573987E-3</v>
      </c>
      <c r="D439" s="1"/>
      <c r="E439" s="1"/>
      <c r="F439" s="1"/>
      <c r="G439" s="1"/>
      <c r="H439" s="1"/>
    </row>
    <row r="440" spans="1:8" ht="22.05" customHeight="1">
      <c r="A440" s="1">
        <v>346</v>
      </c>
      <c r="B440" s="13">
        <v>0.97514770048063859</v>
      </c>
      <c r="C440" s="13">
        <v>1.2719447029789833E-3</v>
      </c>
      <c r="D440" s="1"/>
      <c r="E440" s="1"/>
      <c r="F440" s="1"/>
      <c r="G440" s="1"/>
      <c r="H440" s="1"/>
    </row>
    <row r="441" spans="1:8" ht="22.05" customHeight="1">
      <c r="A441" s="1">
        <v>347</v>
      </c>
      <c r="B441" s="13">
        <v>0.9764037710280572</v>
      </c>
      <c r="C441" s="13">
        <v>1.2401824162640775E-3</v>
      </c>
      <c r="D441" s="1"/>
      <c r="E441" s="1"/>
      <c r="F441" s="1"/>
      <c r="G441" s="1"/>
      <c r="H441" s="1"/>
    </row>
    <row r="442" spans="1:8" ht="22.05" customHeight="1">
      <c r="A442" s="1">
        <v>348</v>
      </c>
      <c r="B442" s="13">
        <v>0.97762803771565798</v>
      </c>
      <c r="C442" s="13">
        <v>1.2083373372072919E-3</v>
      </c>
      <c r="D442" s="1"/>
      <c r="E442" s="1"/>
      <c r="F442" s="1"/>
      <c r="G442" s="1"/>
      <c r="H442" s="1"/>
    </row>
    <row r="443" spans="1:8" ht="22.05" customHeight="1">
      <c r="A443" s="1">
        <v>349</v>
      </c>
      <c r="B443" s="13">
        <v>0.97882041881360471</v>
      </c>
      <c r="C443" s="13">
        <v>1.176411591729321E-3</v>
      </c>
      <c r="D443" s="1"/>
      <c r="E443" s="1"/>
      <c r="F443" s="1"/>
      <c r="G443" s="1"/>
      <c r="H443" s="1"/>
    </row>
    <row r="444" spans="1:8" ht="22.05" customHeight="1">
      <c r="A444" s="1">
        <v>350</v>
      </c>
      <c r="B444" s="13">
        <v>0.97998083472068709</v>
      </c>
      <c r="C444" s="13">
        <v>1.1444073111375607E-3</v>
      </c>
      <c r="D444" s="1"/>
      <c r="E444" s="1"/>
      <c r="F444" s="1"/>
      <c r="G444" s="1"/>
      <c r="H444" s="1"/>
    </row>
    <row r="445" spans="1:8" ht="22.05" customHeight="1">
      <c r="A445" s="1">
        <v>351</v>
      </c>
      <c r="B445" s="13">
        <v>0.98110920796963486</v>
      </c>
      <c r="C445" s="13">
        <v>1.1123266319816396E-3</v>
      </c>
      <c r="D445" s="1"/>
      <c r="E445" s="1"/>
      <c r="F445" s="1"/>
      <c r="G445" s="1"/>
      <c r="H445" s="1"/>
    </row>
    <row r="446" spans="1:8" ht="22.05" customHeight="1">
      <c r="A446" s="1">
        <v>352</v>
      </c>
      <c r="B446" s="13">
        <v>0.98220546323229008</v>
      </c>
      <c r="C446" s="13">
        <v>1.0801716959114621E-3</v>
      </c>
      <c r="D446" s="1"/>
      <c r="E446" s="1"/>
      <c r="F446" s="1"/>
      <c r="G446" s="1"/>
      <c r="H446" s="1"/>
    </row>
    <row r="447" spans="1:8" ht="22.05" customHeight="1">
      <c r="A447" s="1">
        <v>353</v>
      </c>
      <c r="B447" s="13">
        <v>0.98326952732463546</v>
      </c>
      <c r="C447" s="13">
        <v>1.0479446495357228E-3</v>
      </c>
      <c r="D447" s="1"/>
      <c r="E447" s="1"/>
      <c r="F447" s="1"/>
      <c r="G447" s="1"/>
      <c r="H447" s="1"/>
    </row>
    <row r="448" spans="1:8" ht="22.05" customHeight="1">
      <c r="A448" s="1">
        <v>354</v>
      </c>
      <c r="B448" s="13">
        <v>0.98430132921168134</v>
      </c>
      <c r="C448" s="13">
        <v>1.0156476442760352E-3</v>
      </c>
      <c r="D448" s="1"/>
      <c r="E448" s="1"/>
      <c r="F448" s="1"/>
      <c r="G448" s="1"/>
      <c r="H448" s="1"/>
    </row>
    <row r="449" spans="1:8" ht="22.05" customHeight="1">
      <c r="A449" s="1">
        <v>355</v>
      </c>
      <c r="B449" s="13">
        <v>0.98530080001220754</v>
      </c>
      <c r="C449" s="13">
        <v>9.8328283622693582E-4</v>
      </c>
      <c r="D449" s="1"/>
      <c r="E449" s="1"/>
      <c r="F449" s="1"/>
      <c r="G449" s="1"/>
      <c r="H449" s="1"/>
    </row>
    <row r="450" spans="1:8" ht="22.05" customHeight="1">
      <c r="A450" s="1">
        <v>356</v>
      </c>
      <c r="B450" s="13">
        <v>0.98626787300336283</v>
      </c>
      <c r="C450" s="13">
        <v>9.508523860076131E-4</v>
      </c>
      <c r="D450" s="1"/>
      <c r="E450" s="1"/>
      <c r="F450" s="1"/>
      <c r="G450" s="1"/>
      <c r="H450" s="1"/>
    </row>
    <row r="451" spans="1:8" ht="22.05" customHeight="1">
      <c r="A451" s="1">
        <v>357</v>
      </c>
      <c r="B451" s="13">
        <v>0.98720248362511986</v>
      </c>
      <c r="C451" s="13">
        <v>9.1835845862212268E-4</v>
      </c>
      <c r="D451" s="1"/>
      <c r="E451" s="1"/>
      <c r="F451" s="1"/>
      <c r="G451" s="1"/>
      <c r="H451" s="1"/>
    </row>
    <row r="452" spans="1:8" ht="22.05" customHeight="1">
      <c r="A452" s="1">
        <v>358</v>
      </c>
      <c r="B452" s="13">
        <v>0.98810456948458625</v>
      </c>
      <c r="C452" s="13">
        <v>8.8580322331196517E-4</v>
      </c>
      <c r="D452" s="1"/>
      <c r="E452" s="1"/>
      <c r="F452" s="1"/>
      <c r="G452" s="1"/>
      <c r="H452" s="1"/>
    </row>
    <row r="453" spans="1:8" ht="22.05" customHeight="1">
      <c r="A453" s="1">
        <v>359</v>
      </c>
      <c r="B453" s="13">
        <v>0.9889740703601706</v>
      </c>
      <c r="C453" s="13">
        <v>8.531888534144338E-4</v>
      </c>
      <c r="D453" s="1"/>
      <c r="E453" s="1"/>
      <c r="F453" s="1"/>
      <c r="G453" s="1"/>
      <c r="H453" s="1"/>
    </row>
    <row r="454" spans="1:8" ht="22.05" customHeight="1">
      <c r="A454" s="1">
        <v>360</v>
      </c>
      <c r="B454" s="13">
        <v>0.98981092820560512</v>
      </c>
      <c r="C454" s="13">
        <v>8.2051752621428871E-4</v>
      </c>
      <c r="D454" s="1"/>
      <c r="E454" s="1"/>
      <c r="F454" s="1"/>
      <c r="G454" s="1"/>
      <c r="H454" s="1"/>
    </row>
    <row r="455" spans="1:8" ht="22.05" customHeight="1">
      <c r="A455" s="1">
        <v>361</v>
      </c>
      <c r="B455" s="13">
        <v>0.99061508715382218</v>
      </c>
      <c r="C455" s="13">
        <v>7.8779142280412508E-4</v>
      </c>
      <c r="D455" s="1"/>
      <c r="E455" s="1"/>
      <c r="F455" s="1"/>
      <c r="G455" s="1"/>
      <c r="H455" s="1"/>
    </row>
    <row r="456" spans="1:8" ht="22.05" customHeight="1">
      <c r="A456" s="1">
        <v>362</v>
      </c>
      <c r="B456" s="13">
        <v>0.99138649352068708</v>
      </c>
      <c r="C456" s="13">
        <v>7.5501272793265773E-4</v>
      </c>
      <c r="D456" s="1"/>
      <c r="E456" s="1"/>
      <c r="F456" s="1"/>
      <c r="G456" s="1"/>
      <c r="H456" s="1"/>
    </row>
    <row r="457" spans="1:8" ht="22.05" customHeight="1">
      <c r="A457" s="1">
        <v>363</v>
      </c>
      <c r="B457" s="13">
        <v>0.99212509580858566</v>
      </c>
      <c r="C457" s="13">
        <v>7.2218362986750217E-4</v>
      </c>
      <c r="D457" s="1"/>
      <c r="E457" s="1"/>
      <c r="F457" s="1"/>
      <c r="G457" s="1"/>
      <c r="H457" s="1"/>
    </row>
    <row r="458" spans="1:8" ht="22.05" customHeight="1">
      <c r="A458" s="1">
        <v>364</v>
      </c>
      <c r="B458" s="13">
        <v>0.9928308447098666</v>
      </c>
      <c r="C458" s="13">
        <v>6.8930632024402562E-4</v>
      </c>
      <c r="D458" s="1"/>
      <c r="E458" s="1"/>
      <c r="F458" s="1"/>
      <c r="G458" s="1"/>
      <c r="H458" s="1"/>
    </row>
    <row r="459" spans="1:8" ht="22.05" customHeight="1">
      <c r="A459" s="1">
        <v>365</v>
      </c>
      <c r="B459" s="13">
        <v>0.99350369311014075</v>
      </c>
      <c r="C459" s="13">
        <v>6.5638299392527103E-4</v>
      </c>
      <c r="D459" s="1"/>
      <c r="E459" s="1"/>
      <c r="F459" s="1"/>
      <c r="G459" s="1"/>
      <c r="H459" s="1"/>
    </row>
    <row r="460" spans="1:8" ht="22.05" customHeight="1">
      <c r="A460" s="1">
        <v>366</v>
      </c>
      <c r="B460" s="13">
        <v>0.99414359609143488</v>
      </c>
      <c r="C460" s="13">
        <v>6.2341584885722723E-4</v>
      </c>
      <c r="D460" s="1"/>
      <c r="E460" s="1"/>
      <c r="F460" s="1"/>
      <c r="G460" s="1"/>
      <c r="H460" s="1"/>
    </row>
    <row r="461" spans="1:8" ht="22.05" customHeight="1">
      <c r="A461" s="1">
        <v>367</v>
      </c>
      <c r="B461" s="13">
        <v>0.99475051093520439</v>
      </c>
      <c r="C461" s="13">
        <v>5.9040708592796379E-4</v>
      </c>
      <c r="D461" s="1"/>
      <c r="E461" s="1"/>
      <c r="F461" s="1"/>
      <c r="G461" s="1"/>
      <c r="H461" s="1"/>
    </row>
    <row r="462" spans="1:8" ht="22.05" customHeight="1">
      <c r="A462" s="1">
        <v>368</v>
      </c>
      <c r="B462" s="13">
        <v>0.99532439712520304</v>
      </c>
      <c r="C462" s="13">
        <v>5.5735890882341473E-4</v>
      </c>
      <c r="D462" s="1"/>
      <c r="E462" s="1"/>
      <c r="F462" s="1"/>
      <c r="G462" s="1"/>
      <c r="H462" s="1"/>
    </row>
    <row r="463" spans="1:8" ht="22.05" customHeight="1">
      <c r="A463" s="1">
        <v>369</v>
      </c>
      <c r="B463" s="13">
        <v>0.99586521635021596</v>
      </c>
      <c r="C463" s="13">
        <v>5.2427352389644024E-4</v>
      </c>
      <c r="D463" s="1"/>
      <c r="E463" s="1"/>
      <c r="F463" s="1"/>
      <c r="G463" s="1"/>
      <c r="H463" s="1"/>
    </row>
    <row r="464" spans="1:8" ht="22.05" customHeight="1">
      <c r="A464" s="1">
        <v>370</v>
      </c>
      <c r="B464" s="13">
        <v>0.9963729325066577</v>
      </c>
      <c r="C464" s="13">
        <v>4.911531400330942E-4</v>
      </c>
      <c r="D464" s="1"/>
      <c r="E464" s="1"/>
      <c r="F464" s="1"/>
      <c r="G464" s="1"/>
      <c r="H464" s="1"/>
    </row>
    <row r="465" spans="1:8" ht="22.05" customHeight="1">
      <c r="A465" s="1">
        <v>371</v>
      </c>
      <c r="B465" s="13">
        <v>0.99684751170104413</v>
      </c>
      <c r="C465" s="13">
        <v>4.5799996853102573E-4</v>
      </c>
      <c r="D465" s="1"/>
      <c r="E465" s="1"/>
      <c r="F465" s="1"/>
      <c r="G465" s="1"/>
      <c r="H465" s="1"/>
    </row>
    <row r="466" spans="1:8" ht="22.05" customHeight="1">
      <c r="A466" s="1">
        <v>372</v>
      </c>
      <c r="B466" s="13">
        <v>0.99728892225235333</v>
      </c>
      <c r="C466" s="13">
        <v>4.2481622300186752E-4</v>
      </c>
      <c r="D466" s="1"/>
      <c r="E466" s="1"/>
      <c r="F466" s="1"/>
      <c r="G466" s="1"/>
      <c r="H466" s="1"/>
    </row>
    <row r="467" spans="1:8" ht="22.05" customHeight="1">
      <c r="A467" s="1">
        <v>373</v>
      </c>
      <c r="B467" s="13">
        <v>0.99769713469429766</v>
      </c>
      <c r="C467" s="13">
        <v>3.9160411929540259E-4</v>
      </c>
      <c r="D467" s="1"/>
      <c r="E467" s="1"/>
      <c r="F467" s="1"/>
      <c r="G467" s="1"/>
      <c r="H467" s="1"/>
    </row>
    <row r="468" spans="1:8" ht="22.05" customHeight="1">
      <c r="A468" s="1">
        <v>374</v>
      </c>
      <c r="B468" s="13">
        <v>0.99807212177755433</v>
      </c>
      <c r="C468" s="13">
        <v>3.5836587549676951E-4</v>
      </c>
      <c r="D468" s="1"/>
      <c r="E468" s="1"/>
      <c r="F468" s="1"/>
      <c r="G468" s="1"/>
      <c r="H468" s="1"/>
    </row>
    <row r="469" spans="1:8" ht="22.05" customHeight="1">
      <c r="A469" s="1">
        <v>375</v>
      </c>
      <c r="B469" s="13">
        <v>0.99841385847204567</v>
      </c>
      <c r="C469" s="13">
        <v>3.2510371204802138E-4</v>
      </c>
      <c r="D469" s="1"/>
      <c r="E469" s="1"/>
      <c r="F469" s="1"/>
      <c r="G469" s="1"/>
      <c r="H469" s="1"/>
    </row>
    <row r="470" spans="1:8" ht="22.05" customHeight="1">
      <c r="A470" s="1">
        <v>376</v>
      </c>
      <c r="B470" s="13">
        <v>0.99872232196945543</v>
      </c>
      <c r="C470" s="13">
        <v>2.918198521325239E-4</v>
      </c>
      <c r="D470" s="1"/>
      <c r="E470" s="1"/>
      <c r="F470" s="1"/>
      <c r="G470" s="1"/>
      <c r="H470" s="1"/>
    </row>
    <row r="471" spans="1:8" ht="22.05" customHeight="1">
      <c r="A471" s="1">
        <v>377</v>
      </c>
      <c r="B471" s="13">
        <v>0.99899749168639684</v>
      </c>
      <c r="C471" s="13">
        <v>2.5851652267457222E-4</v>
      </c>
      <c r="D471" s="1"/>
      <c r="E471" s="1"/>
      <c r="F471" s="1"/>
      <c r="G471" s="1"/>
      <c r="H471" s="1"/>
    </row>
    <row r="472" spans="1:8" ht="22.05" customHeight="1">
      <c r="A472" s="1">
        <v>378</v>
      </c>
      <c r="B472" s="13">
        <v>0.99923934926922953</v>
      </c>
      <c r="C472" s="13">
        <v>2.2519595688633441E-4</v>
      </c>
      <c r="D472" s="1"/>
      <c r="E472" s="1"/>
      <c r="F472" s="1"/>
      <c r="G472" s="1"/>
      <c r="H472" s="1"/>
    </row>
    <row r="473" spans="1:8" ht="22.05" customHeight="1">
      <c r="A473" s="1">
        <v>379</v>
      </c>
      <c r="B473" s="13">
        <v>0.99944787860316286</v>
      </c>
      <c r="C473" s="13">
        <v>1.9186040104664516E-4</v>
      </c>
      <c r="D473" s="1"/>
      <c r="E473" s="1"/>
      <c r="F473" s="1"/>
      <c r="G473" s="1"/>
      <c r="H473" s="1"/>
    </row>
    <row r="474" spans="1:8" ht="22.05" customHeight="1">
      <c r="A474" s="1">
        <v>380</v>
      </c>
      <c r="B474" s="13">
        <v>0.99962306583359228</v>
      </c>
      <c r="C474" s="13">
        <v>1.585121349076745E-4</v>
      </c>
      <c r="D474" s="1"/>
      <c r="E474" s="1"/>
      <c r="F474" s="1"/>
      <c r="G474" s="1"/>
      <c r="H474" s="1"/>
    </row>
    <row r="475" spans="1:8" ht="22.05" customHeight="1">
      <c r="A475" s="1">
        <v>381</v>
      </c>
      <c r="B475" s="13">
        <v>0.99976489942794289</v>
      </c>
      <c r="C475" s="13">
        <v>1.251535445433506E-4</v>
      </c>
      <c r="D475" s="1"/>
      <c r="E475" s="1"/>
      <c r="F475" s="1"/>
      <c r="G475" s="1"/>
      <c r="H475" s="1"/>
    </row>
    <row r="476" spans="1:8" ht="22.05" customHeight="1">
      <c r="A476" s="1">
        <v>382</v>
      </c>
      <c r="B476" s="13">
        <v>0.99987337040567614</v>
      </c>
      <c r="C476" s="13">
        <v>9.1787459676077822E-5</v>
      </c>
      <c r="D476" s="1"/>
      <c r="E476" s="1"/>
      <c r="F476" s="1"/>
      <c r="G476" s="1"/>
      <c r="H476" s="1"/>
    </row>
    <row r="477" spans="1:8" ht="22.05" customHeight="1">
      <c r="A477" s="1">
        <v>383</v>
      </c>
      <c r="B477" s="13">
        <v>0.9999484735689298</v>
      </c>
      <c r="C477" s="13">
        <v>5.8419533286588016E-5</v>
      </c>
      <c r="D477" s="1"/>
      <c r="E477" s="1"/>
      <c r="F477" s="1"/>
      <c r="G477" s="1"/>
      <c r="H477" s="1"/>
    </row>
    <row r="478" spans="1:8" ht="22.05" customHeight="1">
      <c r="A478" s="1">
        <v>384</v>
      </c>
      <c r="B478" s="13">
        <v>0.9999902205863237</v>
      </c>
      <c r="C478" s="13">
        <v>2.509705173370926E-5</v>
      </c>
      <c r="D478" s="1"/>
      <c r="E478" s="1"/>
      <c r="F478" s="1"/>
      <c r="G478" s="1"/>
      <c r="H478" s="1"/>
    </row>
    <row r="479" spans="1:8" ht="22.05" customHeight="1">
      <c r="A479" s="1"/>
      <c r="B479" s="1"/>
      <c r="C479" s="1"/>
      <c r="D479" s="1"/>
      <c r="E479" s="1"/>
      <c r="F479" s="1"/>
      <c r="G479" s="1"/>
      <c r="H479" s="1"/>
    </row>
    <row r="480" spans="1:8" ht="22.05" customHeight="1">
      <c r="A480" s="1"/>
      <c r="B480" s="1"/>
      <c r="C480" s="1"/>
      <c r="D480" s="1"/>
      <c r="E480" s="1"/>
      <c r="F480" s="1"/>
      <c r="G480" s="1"/>
      <c r="H480" s="1"/>
    </row>
  </sheetData>
  <mergeCells count="4">
    <mergeCell ref="A1:D1"/>
    <mergeCell ref="A2:D3"/>
    <mergeCell ref="A24:D25"/>
    <mergeCell ref="A88:D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7D9A"/>
  </sheetPr>
  <dimension ref="A1:H23"/>
  <sheetViews>
    <sheetView showGridLines="0" workbookViewId="0">
      <selection sqref="A1:G1"/>
    </sheetView>
  </sheetViews>
  <sheetFormatPr defaultRowHeight="13.8"/>
  <cols>
    <col min="1" max="7" width="19" customWidth="1"/>
    <col min="8" max="8" width="15" customWidth="1"/>
  </cols>
  <sheetData>
    <row r="1" spans="1:8" ht="31.05" customHeight="1">
      <c r="A1" s="31" t="s">
        <v>52</v>
      </c>
      <c r="B1" s="31"/>
      <c r="C1" s="31"/>
      <c r="D1" s="31"/>
      <c r="E1" s="31"/>
      <c r="F1" s="31"/>
      <c r="G1" s="31"/>
      <c r="H1" s="2"/>
    </row>
    <row r="2" spans="1:8" ht="22.95" customHeight="1">
      <c r="A2" s="32" t="s">
        <v>53</v>
      </c>
      <c r="B2" s="32"/>
      <c r="C2" s="32"/>
      <c r="D2" s="32"/>
      <c r="E2" s="32"/>
      <c r="F2" s="32"/>
      <c r="G2" s="32"/>
      <c r="H2" s="3"/>
    </row>
    <row r="3" spans="1:8" ht="22.95" customHeight="1">
      <c r="A3" s="32"/>
      <c r="B3" s="32"/>
      <c r="C3" s="32"/>
      <c r="D3" s="32"/>
      <c r="E3" s="32"/>
      <c r="F3" s="32"/>
      <c r="G3" s="32"/>
      <c r="H3" s="3"/>
    </row>
    <row r="4" spans="1:8" ht="22.05" customHeight="1">
      <c r="A4" s="1"/>
      <c r="B4" s="1"/>
      <c r="C4" s="1"/>
      <c r="D4" s="1"/>
      <c r="E4" s="1"/>
      <c r="F4" s="1"/>
      <c r="G4" s="1"/>
      <c r="H4" s="1"/>
    </row>
    <row r="5" spans="1:8" ht="22.05" customHeight="1">
      <c r="A5" s="1"/>
      <c r="B5" s="1"/>
      <c r="C5" s="1"/>
      <c r="D5" s="1"/>
      <c r="E5" s="1"/>
      <c r="F5" s="1"/>
      <c r="G5" s="1"/>
      <c r="H5" s="1"/>
    </row>
    <row r="6" spans="1:8" ht="55.95" customHeight="1">
      <c r="A6" s="4" t="s">
        <v>54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  <c r="G6" s="4" t="s">
        <v>60</v>
      </c>
      <c r="H6" s="1"/>
    </row>
    <row r="7" spans="1:8" ht="22.05" customHeight="1">
      <c r="A7" s="14">
        <v>0</v>
      </c>
      <c r="B7" s="14">
        <v>25</v>
      </c>
      <c r="C7" s="5">
        <v>0</v>
      </c>
      <c r="D7" s="5">
        <v>6931.8463213424902</v>
      </c>
      <c r="E7" s="5">
        <v>4.0758788464844926</v>
      </c>
      <c r="F7" s="5">
        <v>62.680628166186985</v>
      </c>
      <c r="G7" s="5">
        <v>2.7514068118353263</v>
      </c>
      <c r="H7" s="1"/>
    </row>
    <row r="8" spans="1:8" ht="22.05" customHeight="1">
      <c r="A8" s="14">
        <v>25</v>
      </c>
      <c r="B8" s="14">
        <v>33.457591151724152</v>
      </c>
      <c r="C8" s="5">
        <v>1.8165725026167754</v>
      </c>
      <c r="D8" s="5">
        <v>7854.4376436942921</v>
      </c>
      <c r="E8" s="5">
        <v>6.0728066686336852</v>
      </c>
      <c r="F8" s="5">
        <v>70.349021642583381</v>
      </c>
      <c r="G8" s="5">
        <v>3.0627467972070308</v>
      </c>
      <c r="H8" s="1"/>
    </row>
    <row r="9" spans="1:8" ht="22.05" customHeight="1">
      <c r="A9" s="14">
        <v>33.457591151724152</v>
      </c>
      <c r="B9" s="14">
        <v>47.329249547701522</v>
      </c>
      <c r="C9" s="5">
        <v>3.0000000000000009</v>
      </c>
      <c r="D9" s="5">
        <v>9725.5949630613486</v>
      </c>
      <c r="E9" s="5">
        <v>9.2521191106683567</v>
      </c>
      <c r="F9" s="5">
        <v>91.70580434039428</v>
      </c>
      <c r="G9" s="5">
        <v>3.6129593672116069</v>
      </c>
      <c r="H9" s="1"/>
    </row>
    <row r="10" spans="1:8" ht="22.05" customHeight="1">
      <c r="A10" s="14">
        <v>47.329249547701522</v>
      </c>
      <c r="B10" s="14">
        <v>50</v>
      </c>
      <c r="C10" s="5">
        <v>6.0000000000000018</v>
      </c>
      <c r="D10" s="5">
        <v>12537.329389053953</v>
      </c>
      <c r="E10" s="5">
        <v>15.864045153632283</v>
      </c>
      <c r="F10" s="5">
        <v>136.02153223377903</v>
      </c>
      <c r="G10" s="5">
        <v>4.8429827864262895</v>
      </c>
      <c r="H10" s="1"/>
    </row>
    <row r="11" spans="1:8" ht="22.05" customHeight="1">
      <c r="A11" s="14">
        <v>50</v>
      </c>
      <c r="B11" s="14">
        <v>64.140064675495168</v>
      </c>
      <c r="C11" s="5">
        <v>6.7615245198693392</v>
      </c>
      <c r="D11" s="5">
        <v>15845.527995946721</v>
      </c>
      <c r="E11" s="5">
        <v>20.885654518874212</v>
      </c>
      <c r="F11" s="5">
        <v>98.655405882152721</v>
      </c>
      <c r="G11" s="5">
        <v>4.4998305826136002</v>
      </c>
      <c r="H11" s="1"/>
    </row>
    <row r="12" spans="1:8" ht="22.05" customHeight="1">
      <c r="A12" s="14">
        <v>64.140064675495168</v>
      </c>
      <c r="B12" s="14">
        <v>75.630658480089863</v>
      </c>
      <c r="C12" s="5">
        <v>12.000000000000005</v>
      </c>
      <c r="D12" s="5">
        <v>20615.635195313702</v>
      </c>
      <c r="E12" s="5">
        <v>30.344373182827162</v>
      </c>
      <c r="F12" s="5">
        <v>135.13776314017983</v>
      </c>
      <c r="G12" s="5">
        <v>5.4702300406244557</v>
      </c>
      <c r="H12" s="1"/>
    </row>
    <row r="13" spans="1:8" ht="22.05" customHeight="1">
      <c r="A13" s="14">
        <v>75.630658480089863</v>
      </c>
      <c r="B13" s="14">
        <v>84.656535230273803</v>
      </c>
      <c r="C13" s="5">
        <v>18.000000000000007</v>
      </c>
      <c r="D13" s="5">
        <v>26856.070663207607</v>
      </c>
      <c r="E13" s="5">
        <v>45.165407076217761</v>
      </c>
      <c r="F13" s="5">
        <v>357.36036065672232</v>
      </c>
      <c r="G13" s="5">
        <v>10.447322725153064</v>
      </c>
      <c r="H13" s="1"/>
    </row>
    <row r="14" spans="1:8" ht="22.05" customHeight="1">
      <c r="A14" s="14">
        <v>84.656535230273803</v>
      </c>
      <c r="B14" s="14">
        <v>92.214455702149223</v>
      </c>
      <c r="C14" s="5">
        <v>24.000000000000007</v>
      </c>
      <c r="D14" s="5">
        <v>35744.609759613864</v>
      </c>
      <c r="E14" s="5">
        <v>64.064568177120705</v>
      </c>
      <c r="F14" s="5">
        <v>478.8467334199633</v>
      </c>
      <c r="G14" s="5">
        <v>15.307287617650479</v>
      </c>
      <c r="H14" s="1"/>
    </row>
    <row r="15" spans="1:8" ht="22.05" customHeight="1">
      <c r="A15" s="14">
        <v>92.214455702149223</v>
      </c>
      <c r="B15" s="14" t="s">
        <v>61</v>
      </c>
      <c r="C15" s="5">
        <v>30.000000000000004</v>
      </c>
      <c r="D15" s="5">
        <v>45530.430088162226</v>
      </c>
      <c r="E15" s="5">
        <v>80.068620280053352</v>
      </c>
      <c r="F15" s="5">
        <v>1233.9239675387862</v>
      </c>
      <c r="G15" s="5">
        <v>21.085012014812662</v>
      </c>
      <c r="H15" s="1"/>
    </row>
    <row r="16" spans="1:8" ht="22.05" customHeight="1">
      <c r="A16" s="1"/>
      <c r="B16" s="1"/>
      <c r="C16" s="1"/>
      <c r="D16" s="1"/>
      <c r="E16" s="1"/>
      <c r="F16" s="1"/>
      <c r="G16" s="1"/>
      <c r="H16" s="1"/>
    </row>
    <row r="17" spans="1:8" ht="22.05" customHeight="1">
      <c r="A17" s="1"/>
      <c r="B17" s="1"/>
      <c r="C17" s="1"/>
      <c r="D17" s="1"/>
      <c r="E17" s="1"/>
      <c r="F17" s="1"/>
      <c r="G17" s="1"/>
      <c r="H17" s="1"/>
    </row>
    <row r="18" spans="1:8" ht="22.05" customHeight="1">
      <c r="A18" s="32" t="s">
        <v>62</v>
      </c>
      <c r="B18" s="32"/>
      <c r="C18" s="32"/>
      <c r="D18" s="32"/>
      <c r="E18" s="32"/>
      <c r="F18" s="32"/>
      <c r="G18" s="32"/>
      <c r="H18" s="1"/>
    </row>
    <row r="19" spans="1:8" ht="22.05" customHeight="1">
      <c r="A19" s="32"/>
      <c r="B19" s="32"/>
      <c r="C19" s="32"/>
      <c r="D19" s="32"/>
      <c r="E19" s="32"/>
      <c r="F19" s="32"/>
      <c r="G19" s="32"/>
      <c r="H19" s="1"/>
    </row>
    <row r="20" spans="1:8" ht="22.05" customHeight="1">
      <c r="A20" s="32"/>
      <c r="B20" s="32"/>
      <c r="C20" s="32"/>
      <c r="D20" s="32"/>
      <c r="E20" s="32"/>
      <c r="F20" s="32"/>
      <c r="G20" s="32"/>
      <c r="H20" s="1"/>
    </row>
    <row r="21" spans="1:8" ht="22.05" customHeight="1">
      <c r="A21" s="1"/>
      <c r="B21" s="1"/>
      <c r="C21" s="1"/>
      <c r="D21" s="1"/>
      <c r="E21" s="1"/>
      <c r="F21" s="1"/>
      <c r="G21" s="1"/>
      <c r="H21" s="1"/>
    </row>
    <row r="22" spans="1:8" ht="22.05" customHeight="1">
      <c r="A22" s="1"/>
      <c r="B22" s="1"/>
      <c r="C22" s="1"/>
      <c r="D22" s="1"/>
      <c r="E22" s="1"/>
      <c r="F22" s="1"/>
      <c r="G22" s="1"/>
      <c r="H22" s="1"/>
    </row>
    <row r="23" spans="1:8" ht="22.05" customHeight="1">
      <c r="A23" s="1"/>
      <c r="B23" s="1"/>
      <c r="C23" s="1"/>
      <c r="D23" s="1"/>
      <c r="E23" s="1"/>
      <c r="F23" s="1"/>
      <c r="G23" s="1"/>
      <c r="H23" s="1"/>
    </row>
  </sheetData>
  <mergeCells count="3">
    <mergeCell ref="A18:G20"/>
    <mergeCell ref="A1:G1"/>
    <mergeCell ref="A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N73"/>
  <sheetViews>
    <sheetView showGridLines="0" workbookViewId="0">
      <selection activeCell="B14" sqref="B14"/>
    </sheetView>
  </sheetViews>
  <sheetFormatPr defaultRowHeight="13.8"/>
  <cols>
    <col min="1" max="14" width="15" customWidth="1"/>
  </cols>
  <sheetData>
    <row r="1" spans="1:14" ht="31.05" customHeight="1">
      <c r="A1" s="31" t="s">
        <v>63</v>
      </c>
      <c r="B1" s="31"/>
      <c r="C1" s="31"/>
      <c r="D1" s="31"/>
      <c r="E1" s="31"/>
      <c r="F1" s="31"/>
      <c r="G1" s="31"/>
      <c r="H1" s="31"/>
      <c r="I1" s="1"/>
      <c r="J1" s="1"/>
      <c r="K1" s="1"/>
      <c r="L1" s="1"/>
      <c r="M1" s="1"/>
      <c r="N1" s="1"/>
    </row>
    <row r="2" spans="1:14" ht="22.95" customHeight="1">
      <c r="A2" s="32" t="s">
        <v>64</v>
      </c>
      <c r="B2" s="32"/>
      <c r="C2" s="32"/>
      <c r="D2" s="32"/>
      <c r="E2" s="32"/>
      <c r="F2" s="32"/>
      <c r="G2" s="32"/>
      <c r="H2" s="32"/>
      <c r="I2" s="1"/>
      <c r="J2" s="1"/>
      <c r="K2" s="1"/>
      <c r="L2" s="1"/>
      <c r="M2" s="1"/>
      <c r="N2" s="1"/>
    </row>
    <row r="3" spans="1:14" ht="22.95" customHeight="1">
      <c r="A3" s="32"/>
      <c r="B3" s="32"/>
      <c r="C3" s="32"/>
      <c r="D3" s="32"/>
      <c r="E3" s="32"/>
      <c r="F3" s="32"/>
      <c r="G3" s="32"/>
      <c r="H3" s="32"/>
      <c r="I3" s="1"/>
      <c r="J3" s="1"/>
      <c r="K3" s="1"/>
      <c r="L3" s="1"/>
      <c r="M3" s="1"/>
      <c r="N3" s="1"/>
    </row>
    <row r="4" spans="1:14" ht="22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.05" customHeight="1">
      <c r="A6" s="32" t="s">
        <v>65</v>
      </c>
      <c r="B6" s="32"/>
      <c r="C6" s="32"/>
      <c r="D6" s="32"/>
      <c r="E6" s="32"/>
      <c r="F6" s="32"/>
      <c r="G6" s="32"/>
      <c r="H6" s="32"/>
      <c r="I6" s="1"/>
      <c r="J6" s="1"/>
      <c r="K6" s="1"/>
      <c r="L6" s="1"/>
      <c r="M6" s="1"/>
      <c r="N6" s="1"/>
    </row>
    <row r="7" spans="1:14" ht="22.05" customHeight="1">
      <c r="A7" s="32"/>
      <c r="B7" s="32"/>
      <c r="C7" s="32"/>
      <c r="D7" s="32"/>
      <c r="E7" s="32"/>
      <c r="F7" s="32"/>
      <c r="G7" s="32"/>
      <c r="H7" s="32"/>
      <c r="I7" s="1"/>
      <c r="J7" s="1"/>
      <c r="K7" s="1"/>
      <c r="L7" s="1"/>
      <c r="M7" s="1"/>
      <c r="N7" s="1"/>
    </row>
    <row r="8" spans="1:14" ht="22.05" customHeight="1">
      <c r="A8" s="32" t="s">
        <v>66</v>
      </c>
      <c r="B8" s="32"/>
      <c r="C8" s="32"/>
      <c r="D8" s="32"/>
      <c r="E8" s="32"/>
      <c r="F8" s="32"/>
      <c r="G8" s="32"/>
      <c r="H8" s="32"/>
      <c r="I8" s="1"/>
      <c r="J8" s="1"/>
      <c r="K8" s="1"/>
      <c r="L8" s="1"/>
      <c r="M8" s="1"/>
      <c r="N8" s="1"/>
    </row>
    <row r="9" spans="1:14" ht="22.05" customHeight="1">
      <c r="A9" s="32"/>
      <c r="B9" s="32"/>
      <c r="C9" s="32"/>
      <c r="D9" s="32"/>
      <c r="E9" s="32"/>
      <c r="F9" s="32"/>
      <c r="G9" s="32"/>
      <c r="H9" s="32"/>
      <c r="I9" s="1"/>
      <c r="J9" s="1"/>
      <c r="K9" s="1"/>
      <c r="L9" s="1"/>
      <c r="M9" s="1"/>
      <c r="N9" s="1"/>
    </row>
    <row r="10" spans="1:14" ht="54" customHeight="1">
      <c r="A10" s="4" t="s">
        <v>45</v>
      </c>
      <c r="B10" s="4" t="s">
        <v>46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4" t="s">
        <v>75</v>
      </c>
      <c r="L10" s="4" t="s">
        <v>76</v>
      </c>
      <c r="M10" s="4" t="s">
        <v>77</v>
      </c>
      <c r="N10" s="1"/>
    </row>
    <row r="11" spans="1:14" ht="22.05" customHeight="1">
      <c r="A11" s="18">
        <f>'01 Traffic inputs'!A29</f>
        <v>0.61458333333333337</v>
      </c>
      <c r="B11" s="15">
        <f>'01 Traffic inputs'!B29*'01 Traffic inputs'!$B$20</f>
        <v>125.54166666666664</v>
      </c>
      <c r="C11" s="15">
        <f>'01 Traffic inputs'!$B$8/D11*60</f>
        <v>1.2087319292882195</v>
      </c>
      <c r="D11" s="15">
        <f>'01 Traffic inputs'!C29</f>
        <v>51.624349856255087</v>
      </c>
      <c r="E11" s="26">
        <f t="shared" ref="E11:E42" si="0">B11*C11/60</f>
        <v>2.5291036826009754</v>
      </c>
      <c r="F11" s="26">
        <f>IF(D11&gt;0,INDEX('02 Emission rates'!$D$7:$D$15,MATCH(D11,'02 Emission rates'!$A$7:$A$15,1)),NA())</f>
        <v>15845.527995946721</v>
      </c>
      <c r="G11" s="26">
        <f t="shared" ref="G11:G42" si="1">E11*F11</f>
        <v>40074.983207305704</v>
      </c>
      <c r="H11" s="26">
        <f>IF(D11&gt;0,INDEX('02 Emission rates'!$E$7:$E$15,MATCH(D11,'02 Emission rates'!$A$7:$A$15,1)),NA())</f>
        <v>20.885654518874212</v>
      </c>
      <c r="I11" s="26">
        <f t="shared" ref="I11:I42" si="2">E11*H11</f>
        <v>52.821985757216474</v>
      </c>
      <c r="J11" s="26">
        <f>IF(D11&gt;0,INDEX('02 Emission rates'!$F$7:$F$15,MATCH(D11,'02 Emission rates'!$A$7:$A$15,1)),NA())</f>
        <v>98.655405882152721</v>
      </c>
      <c r="K11" s="26">
        <f t="shared" ref="K11:K42" si="3">E11*J11</f>
        <v>249.50975032504638</v>
      </c>
      <c r="L11" s="26">
        <f>IF(D11&gt;0,INDEX('02 Emission rates'!$G$7:$G$15,MATCH(D11,'02 Emission rates'!$A$7:$A$15,1)),NA())</f>
        <v>4.4998305826136002</v>
      </c>
      <c r="M11" s="26">
        <f t="shared" ref="M11:M42" si="4">E11*L11</f>
        <v>11.380538097568548</v>
      </c>
      <c r="N11" s="1"/>
    </row>
    <row r="12" spans="1:14" ht="22.05" customHeight="1">
      <c r="A12" s="19">
        <f>'01 Traffic inputs'!A30</f>
        <v>0.61805555555555558</v>
      </c>
      <c r="B12" s="16">
        <f>'01 Traffic inputs'!B30*'01 Traffic inputs'!$B$20</f>
        <v>120.22916666666664</v>
      </c>
      <c r="C12" s="16">
        <f>'01 Traffic inputs'!$B$8/D12*60</f>
        <v>1.2657360475309223</v>
      </c>
      <c r="D12" s="16">
        <f>'01 Traffic inputs'!C30</f>
        <v>49.299378114201005</v>
      </c>
      <c r="E12" s="27">
        <f t="shared" si="0"/>
        <v>2.5363065035767192</v>
      </c>
      <c r="F12" s="27">
        <f>IF(D12&gt;0,INDEX('02 Emission rates'!$D$7:$D$15,MATCH(D12,'02 Emission rates'!$A$7:$A$15,1)),NA())</f>
        <v>12537.329389053953</v>
      </c>
      <c r="G12" s="27">
        <f t="shared" si="1"/>
        <v>31798.510066941079</v>
      </c>
      <c r="H12" s="27">
        <f>IF(D12&gt;0,INDEX('02 Emission rates'!$E$7:$E$15,MATCH(D12,'02 Emission rates'!$A$7:$A$15,1)),NA())</f>
        <v>15.864045153632283</v>
      </c>
      <c r="I12" s="27">
        <f t="shared" si="2"/>
        <v>40.236080896192291</v>
      </c>
      <c r="J12" s="27">
        <f>IF(D12&gt;0,INDEX('02 Emission rates'!$F$7:$F$15,MATCH(D12,'02 Emission rates'!$A$7:$A$15,1)),NA())</f>
        <v>136.02153223377903</v>
      </c>
      <c r="K12" s="27">
        <f t="shared" si="3"/>
        <v>344.99229683100407</v>
      </c>
      <c r="L12" s="27">
        <f>IF(D12&gt;0,INDEX('02 Emission rates'!$G$7:$G$15,MATCH(D12,'02 Emission rates'!$A$7:$A$15,1)),NA())</f>
        <v>4.8429827864262895</v>
      </c>
      <c r="M12" s="27">
        <f t="shared" si="4"/>
        <v>12.283288737923099</v>
      </c>
      <c r="N12" s="1"/>
    </row>
    <row r="13" spans="1:14" ht="22.05" customHeight="1">
      <c r="A13" s="19">
        <f>'01 Traffic inputs'!A31</f>
        <v>0.62152777777777779</v>
      </c>
      <c r="B13" s="16">
        <f>'01 Traffic inputs'!B31*'01 Traffic inputs'!$B$20</f>
        <v>116.20833333333346</v>
      </c>
      <c r="C13" s="16">
        <f>'01 Traffic inputs'!$B$8/D13*60</f>
        <v>1.2875599194665608</v>
      </c>
      <c r="D13" s="16">
        <f>'01 Traffic inputs'!C31</f>
        <v>48.463763943392784</v>
      </c>
      <c r="E13" s="27">
        <f t="shared" si="0"/>
        <v>2.4937532051335012</v>
      </c>
      <c r="F13" s="27">
        <f>IF(D13&gt;0,INDEX('02 Emission rates'!$D$7:$D$15,MATCH(D13,'02 Emission rates'!$A$7:$A$15,1)),NA())</f>
        <v>12537.329389053953</v>
      </c>
      <c r="G13" s="27">
        <f t="shared" si="1"/>
        <v>31265.005347767736</v>
      </c>
      <c r="H13" s="27">
        <f>IF(D13&gt;0,INDEX('02 Emission rates'!$E$7:$E$15,MATCH(D13,'02 Emission rates'!$A$7:$A$15,1)),NA())</f>
        <v>15.864045153632283</v>
      </c>
      <c r="I13" s="27">
        <f t="shared" si="2"/>
        <v>39.561013448253092</v>
      </c>
      <c r="J13" s="27">
        <f>IF(D13&gt;0,INDEX('02 Emission rates'!$F$7:$F$15,MATCH(D13,'02 Emission rates'!$A$7:$A$15,1)),NA())</f>
        <v>136.02153223377903</v>
      </c>
      <c r="K13" s="27">
        <f t="shared" si="3"/>
        <v>339.20413197515632</v>
      </c>
      <c r="L13" s="27">
        <f>IF(D13&gt;0,INDEX('02 Emission rates'!$G$7:$G$15,MATCH(D13,'02 Emission rates'!$A$7:$A$15,1)),NA())</f>
        <v>4.8429827864262895</v>
      </c>
      <c r="M13" s="27">
        <f t="shared" si="4"/>
        <v>12.077203846056934</v>
      </c>
      <c r="N13" s="1"/>
    </row>
    <row r="14" spans="1:14" ht="22.05" customHeight="1">
      <c r="A14" s="19">
        <f>'01 Traffic inputs'!A32</f>
        <v>0.625</v>
      </c>
      <c r="B14" s="16">
        <f>'01 Traffic inputs'!B32*'01 Traffic inputs'!$B$20</f>
        <v>109.89583333333329</v>
      </c>
      <c r="C14" s="16">
        <f>'01 Traffic inputs'!$B$8/D14*60</f>
        <v>1.2870835455387644</v>
      </c>
      <c r="D14" s="16">
        <f>'01 Traffic inputs'!C32</f>
        <v>48.481701297704817</v>
      </c>
      <c r="E14" s="27">
        <f t="shared" si="0"/>
        <v>2.3574186467767291</v>
      </c>
      <c r="F14" s="27">
        <f>IF(D14&gt;0,INDEX('02 Emission rates'!$D$7:$D$15,MATCH(D14,'02 Emission rates'!$A$7:$A$15,1)),NA())</f>
        <v>12537.329389053953</v>
      </c>
      <c r="G14" s="27">
        <f t="shared" si="1"/>
        <v>29555.734082537685</v>
      </c>
      <c r="H14" s="27">
        <f>IF(D14&gt;0,INDEX('02 Emission rates'!$E$7:$E$15,MATCH(D14,'02 Emission rates'!$A$7:$A$15,1)),NA())</f>
        <v>15.864045153632283</v>
      </c>
      <c r="I14" s="27">
        <f t="shared" si="2"/>
        <v>37.39819585848074</v>
      </c>
      <c r="J14" s="27">
        <f>IF(D14&gt;0,INDEX('02 Emission rates'!$F$7:$F$15,MATCH(D14,'02 Emission rates'!$A$7:$A$15,1)),NA())</f>
        <v>136.02153223377903</v>
      </c>
      <c r="K14" s="27">
        <f t="shared" si="3"/>
        <v>320.65969645105258</v>
      </c>
      <c r="L14" s="27">
        <f>IF(D14&gt;0,INDEX('02 Emission rates'!$G$7:$G$15,MATCH(D14,'02 Emission rates'!$A$7:$A$15,1)),NA())</f>
        <v>4.8429827864262895</v>
      </c>
      <c r="M14" s="27">
        <f t="shared" si="4"/>
        <v>11.416937926740056</v>
      </c>
      <c r="N14" s="1"/>
    </row>
    <row r="15" spans="1:14" ht="22.05" customHeight="1">
      <c r="A15" s="19">
        <f>'01 Traffic inputs'!A33</f>
        <v>0.62847222222222221</v>
      </c>
      <c r="B15" s="16">
        <f>'01 Traffic inputs'!B33*'01 Traffic inputs'!$B$20</f>
        <v>106.89583333333329</v>
      </c>
      <c r="C15" s="16">
        <f>'01 Traffic inputs'!$B$8/D15*60</f>
        <v>1.3230705057332861</v>
      </c>
      <c r="D15" s="16">
        <f>'01 Traffic inputs'!C33</f>
        <v>47.163019453311179</v>
      </c>
      <c r="E15" s="27">
        <f t="shared" si="0"/>
        <v>2.3571787378185722</v>
      </c>
      <c r="F15" s="27">
        <f>IF(D15&gt;0,INDEX('02 Emission rates'!$D$7:$D$15,MATCH(D15,'02 Emission rates'!$A$7:$A$15,1)),NA())</f>
        <v>9725.5949630613486</v>
      </c>
      <c r="G15" s="27">
        <f t="shared" si="1"/>
        <v>22924.965659563612</v>
      </c>
      <c r="H15" s="27">
        <f>IF(D15&gt;0,INDEX('02 Emission rates'!$E$7:$E$15,MATCH(D15,'02 Emission rates'!$A$7:$A$15,1)),NA())</f>
        <v>9.2521191106683567</v>
      </c>
      <c r="I15" s="27">
        <f t="shared" si="2"/>
        <v>21.808898447432327</v>
      </c>
      <c r="J15" s="27">
        <f>IF(D15&gt;0,INDEX('02 Emission rates'!$F$7:$F$15,MATCH(D15,'02 Emission rates'!$A$7:$A$15,1)),NA())</f>
        <v>91.70580434039428</v>
      </c>
      <c r="K15" s="27">
        <f t="shared" si="3"/>
        <v>216.16697212572754</v>
      </c>
      <c r="L15" s="27">
        <f>IF(D15&gt;0,INDEX('02 Emission rates'!$G$7:$G$15,MATCH(D15,'02 Emission rates'!$A$7:$A$15,1)),NA())</f>
        <v>3.6129593672116069</v>
      </c>
      <c r="M15" s="27">
        <f t="shared" si="4"/>
        <v>8.516391000993643</v>
      </c>
      <c r="N15" s="1"/>
    </row>
    <row r="16" spans="1:14" ht="22.05" customHeight="1">
      <c r="A16" s="19">
        <f>'01 Traffic inputs'!A34</f>
        <v>0.63194444444444442</v>
      </c>
      <c r="B16" s="16">
        <f>'01 Traffic inputs'!B34*'01 Traffic inputs'!$B$20</f>
        <v>104.5208333333334</v>
      </c>
      <c r="C16" s="16">
        <f>'01 Traffic inputs'!$B$8/D16*60</f>
        <v>1.3634718316414207</v>
      </c>
      <c r="D16" s="16">
        <f>'01 Traffic inputs'!C34</f>
        <v>45.765521921256529</v>
      </c>
      <c r="E16" s="27">
        <f t="shared" si="0"/>
        <v>2.3751868678281292</v>
      </c>
      <c r="F16" s="27">
        <f>IF(D16&gt;0,INDEX('02 Emission rates'!$D$7:$D$15,MATCH(D16,'02 Emission rates'!$A$7:$A$15,1)),NA())</f>
        <v>9725.5949630613486</v>
      </c>
      <c r="G16" s="27">
        <f t="shared" si="1"/>
        <v>23100.105438078714</v>
      </c>
      <c r="H16" s="27">
        <f>IF(D16&gt;0,INDEX('02 Emission rates'!$E$7:$E$15,MATCH(D16,'02 Emission rates'!$A$7:$A$15,1)),NA())</f>
        <v>9.2521191106683567</v>
      </c>
      <c r="I16" s="27">
        <f t="shared" si="2"/>
        <v>21.975511811241152</v>
      </c>
      <c r="J16" s="27">
        <f>IF(D16&gt;0,INDEX('02 Emission rates'!$F$7:$F$15,MATCH(D16,'02 Emission rates'!$A$7:$A$15,1)),NA())</f>
        <v>91.70580434039428</v>
      </c>
      <c r="K16" s="27">
        <f t="shared" si="3"/>
        <v>217.81842217292035</v>
      </c>
      <c r="L16" s="27">
        <f>IF(D16&gt;0,INDEX('02 Emission rates'!$G$7:$G$15,MATCH(D16,'02 Emission rates'!$A$7:$A$15,1)),NA())</f>
        <v>3.6129593672116069</v>
      </c>
      <c r="M16" s="27">
        <f t="shared" si="4"/>
        <v>8.5814536429976354</v>
      </c>
      <c r="N16" s="1"/>
    </row>
    <row r="17" spans="1:14" ht="22.05" customHeight="1">
      <c r="A17" s="19">
        <f>'01 Traffic inputs'!A35</f>
        <v>0.63541666666666663</v>
      </c>
      <c r="B17" s="16">
        <f>'01 Traffic inputs'!B35*'01 Traffic inputs'!$B$20</f>
        <v>102.27083333333336</v>
      </c>
      <c r="C17" s="16">
        <f>'01 Traffic inputs'!$B$8/D17*60</f>
        <v>1.4262354465213833</v>
      </c>
      <c r="D17" s="16">
        <f>'01 Traffic inputs'!C35</f>
        <v>43.751541971696241</v>
      </c>
      <c r="E17" s="27">
        <f t="shared" si="0"/>
        <v>2.4310381274213446</v>
      </c>
      <c r="F17" s="27">
        <f>IF(D17&gt;0,INDEX('02 Emission rates'!$D$7:$D$15,MATCH(D17,'02 Emission rates'!$A$7:$A$15,1)),NA())</f>
        <v>9725.5949630613486</v>
      </c>
      <c r="G17" s="27">
        <f t="shared" si="1"/>
        <v>23643.29216705912</v>
      </c>
      <c r="H17" s="27">
        <f>IF(D17&gt;0,INDEX('02 Emission rates'!$E$7:$E$15,MATCH(D17,'02 Emission rates'!$A$7:$A$15,1)),NA())</f>
        <v>9.2521191106683567</v>
      </c>
      <c r="I17" s="27">
        <f t="shared" si="2"/>
        <v>22.492254317478437</v>
      </c>
      <c r="J17" s="27">
        <f>IF(D17&gt;0,INDEX('02 Emission rates'!$F$7:$F$15,MATCH(D17,'02 Emission rates'!$A$7:$A$15,1)),NA())</f>
        <v>91.70580434039428</v>
      </c>
      <c r="K17" s="27">
        <f t="shared" si="3"/>
        <v>222.94030685734032</v>
      </c>
      <c r="L17" s="27">
        <f>IF(D17&gt;0,INDEX('02 Emission rates'!$G$7:$G$15,MATCH(D17,'02 Emission rates'!$A$7:$A$15,1)),NA())</f>
        <v>3.6129593672116069</v>
      </c>
      <c r="M17" s="27">
        <f t="shared" si="4"/>
        <v>8.7832419745155104</v>
      </c>
      <c r="N17" s="1"/>
    </row>
    <row r="18" spans="1:14" ht="22.05" customHeight="1">
      <c r="A18" s="19">
        <f>'01 Traffic inputs'!A36</f>
        <v>0.63888888888888895</v>
      </c>
      <c r="B18" s="16">
        <f>'01 Traffic inputs'!B36*'01 Traffic inputs'!$B$20</f>
        <v>102.87499999999991</v>
      </c>
      <c r="C18" s="16">
        <f>'01 Traffic inputs'!$B$8/D18*60</f>
        <v>1.4431776251593118</v>
      </c>
      <c r="D18" s="16">
        <f>'01 Traffic inputs'!C36</f>
        <v>43.237920899108254</v>
      </c>
      <c r="E18" s="27">
        <f t="shared" si="0"/>
        <v>2.4744483031377347</v>
      </c>
      <c r="F18" s="27">
        <f>IF(D18&gt;0,INDEX('02 Emission rates'!$D$7:$D$15,MATCH(D18,'02 Emission rates'!$A$7:$A$15,1)),NA())</f>
        <v>9725.5949630613486</v>
      </c>
      <c r="G18" s="27">
        <f t="shared" si="1"/>
        <v>24065.481953352053</v>
      </c>
      <c r="H18" s="27">
        <f>IF(D18&gt;0,INDEX('02 Emission rates'!$E$7:$E$15,MATCH(D18,'02 Emission rates'!$A$7:$A$15,1)),NA())</f>
        <v>9.2521191106683567</v>
      </c>
      <c r="I18" s="27">
        <f t="shared" si="2"/>
        <v>22.893890433821522</v>
      </c>
      <c r="J18" s="27">
        <f>IF(D18&gt;0,INDEX('02 Emission rates'!$F$7:$F$15,MATCH(D18,'02 Emission rates'!$A$7:$A$15,1)),NA())</f>
        <v>91.70580434039428</v>
      </c>
      <c r="K18" s="27">
        <f t="shared" si="3"/>
        <v>226.92127193796972</v>
      </c>
      <c r="L18" s="27">
        <f>IF(D18&gt;0,INDEX('02 Emission rates'!$G$7:$G$15,MATCH(D18,'02 Emission rates'!$A$7:$A$15,1)),NA())</f>
        <v>3.6129593672116069</v>
      </c>
      <c r="M18" s="27">
        <f t="shared" si="4"/>
        <v>8.9400811755023444</v>
      </c>
      <c r="N18" s="1"/>
    </row>
    <row r="19" spans="1:14" ht="22.05" customHeight="1">
      <c r="A19" s="19">
        <f>'01 Traffic inputs'!A37</f>
        <v>0.64236111111111105</v>
      </c>
      <c r="B19" s="16">
        <f>'01 Traffic inputs'!B37*'01 Traffic inputs'!$B$20</f>
        <v>99.374999999999957</v>
      </c>
      <c r="C19" s="16">
        <f>'01 Traffic inputs'!$B$8/D19*60</f>
        <v>1.4714459580061476</v>
      </c>
      <c r="D19" s="16">
        <f>'01 Traffic inputs'!C37</f>
        <v>42.407265900920379</v>
      </c>
      <c r="E19" s="27">
        <f t="shared" si="0"/>
        <v>2.437082367947681</v>
      </c>
      <c r="F19" s="27">
        <f>IF(D19&gt;0,INDEX('02 Emission rates'!$D$7:$D$15,MATCH(D19,'02 Emission rates'!$A$7:$A$15,1)),NA())</f>
        <v>9725.5949630613486</v>
      </c>
      <c r="G19" s="27">
        <f t="shared" si="1"/>
        <v>23702.07600227759</v>
      </c>
      <c r="H19" s="27">
        <f>IF(D19&gt;0,INDEX('02 Emission rates'!$E$7:$E$15,MATCH(D19,'02 Emission rates'!$A$7:$A$15,1)),NA())</f>
        <v>9.2521191106683567</v>
      </c>
      <c r="I19" s="27">
        <f t="shared" si="2"/>
        <v>22.548176350761629</v>
      </c>
      <c r="J19" s="27">
        <f>IF(D19&gt;0,INDEX('02 Emission rates'!$F$7:$F$15,MATCH(D19,'02 Emission rates'!$A$7:$A$15,1)),NA())</f>
        <v>91.70580434039428</v>
      </c>
      <c r="K19" s="27">
        <f t="shared" si="3"/>
        <v>223.49459879643481</v>
      </c>
      <c r="L19" s="27">
        <f>IF(D19&gt;0,INDEX('02 Emission rates'!$G$7:$G$15,MATCH(D19,'02 Emission rates'!$A$7:$A$15,1)),NA())</f>
        <v>3.6129593672116069</v>
      </c>
      <c r="M19" s="27">
        <f t="shared" si="4"/>
        <v>8.8050795699428175</v>
      </c>
      <c r="N19" s="1"/>
    </row>
    <row r="20" spans="1:14" ht="22.05" customHeight="1">
      <c r="A20" s="19">
        <f>'01 Traffic inputs'!A38</f>
        <v>0.64583333333333337</v>
      </c>
      <c r="B20" s="16">
        <f>'01 Traffic inputs'!B38*'01 Traffic inputs'!$B$20</f>
        <v>99.312499999999943</v>
      </c>
      <c r="C20" s="16">
        <f>'01 Traffic inputs'!$B$8/D20*60</f>
        <v>1.513135674885502</v>
      </c>
      <c r="D20" s="16">
        <f>'01 Traffic inputs'!C38</f>
        <v>41.238866438545237</v>
      </c>
      <c r="E20" s="27">
        <f t="shared" si="0"/>
        <v>2.5045547785344389</v>
      </c>
      <c r="F20" s="27">
        <f>IF(D20&gt;0,INDEX('02 Emission rates'!$D$7:$D$15,MATCH(D20,'02 Emission rates'!$A$7:$A$15,1)),NA())</f>
        <v>9725.5949630613486</v>
      </c>
      <c r="G20" s="27">
        <f t="shared" si="1"/>
        <v>24358.285338825772</v>
      </c>
      <c r="H20" s="27">
        <f>IF(D20&gt;0,INDEX('02 Emission rates'!$E$7:$E$15,MATCH(D20,'02 Emission rates'!$A$7:$A$15,1)),NA())</f>
        <v>9.2521191106683567</v>
      </c>
      <c r="I20" s="27">
        <f t="shared" si="2"/>
        <v>23.172439130194235</v>
      </c>
      <c r="J20" s="27">
        <f>IF(D20&gt;0,INDEX('02 Emission rates'!$F$7:$F$15,MATCH(D20,'02 Emission rates'!$A$7:$A$15,1)),NA())</f>
        <v>91.70580434039428</v>
      </c>
      <c r="K20" s="27">
        <f t="shared" si="3"/>
        <v>229.68221048007877</v>
      </c>
      <c r="L20" s="27">
        <f>IF(D20&gt;0,INDEX('02 Emission rates'!$G$7:$G$15,MATCH(D20,'02 Emission rates'!$A$7:$A$15,1)),NA())</f>
        <v>3.6129593672116069</v>
      </c>
      <c r="M20" s="27">
        <f t="shared" si="4"/>
        <v>9.0488546478005922</v>
      </c>
      <c r="N20" s="1"/>
    </row>
    <row r="21" spans="1:14" ht="22.05" customHeight="1">
      <c r="A21" s="19">
        <f>'01 Traffic inputs'!A39</f>
        <v>0.64930555555555558</v>
      </c>
      <c r="B21" s="16">
        <f>'01 Traffic inputs'!B39*'01 Traffic inputs'!$B$20</f>
        <v>94.520833333333343</v>
      </c>
      <c r="C21" s="16">
        <f>'01 Traffic inputs'!$B$8/D21*60</f>
        <v>1.6289391595074583</v>
      </c>
      <c r="D21" s="16">
        <f>'01 Traffic inputs'!C39</f>
        <v>38.307139733118753</v>
      </c>
      <c r="E21" s="27">
        <f t="shared" si="0"/>
        <v>2.566144780099076</v>
      </c>
      <c r="F21" s="27">
        <f>IF(D21&gt;0,INDEX('02 Emission rates'!$D$7:$D$15,MATCH(D21,'02 Emission rates'!$A$7:$A$15,1)),NA())</f>
        <v>9725.5949630613486</v>
      </c>
      <c r="G21" s="27">
        <f t="shared" si="1"/>
        <v>24957.284747817746</v>
      </c>
      <c r="H21" s="27">
        <f>IF(D21&gt;0,INDEX('02 Emission rates'!$E$7:$E$15,MATCH(D21,'02 Emission rates'!$A$7:$A$15,1)),NA())</f>
        <v>9.2521191106683567</v>
      </c>
      <c r="I21" s="27">
        <f t="shared" si="2"/>
        <v>23.74227716069651</v>
      </c>
      <c r="J21" s="27">
        <f>IF(D21&gt;0,INDEX('02 Emission rates'!$F$7:$F$15,MATCH(D21,'02 Emission rates'!$A$7:$A$15,1)),NA())</f>
        <v>91.70580434039428</v>
      </c>
      <c r="K21" s="27">
        <f t="shared" si="3"/>
        <v>235.33037111288996</v>
      </c>
      <c r="L21" s="27">
        <f>IF(D21&gt;0,INDEX('02 Emission rates'!$G$7:$G$15,MATCH(D21,'02 Emission rates'!$A$7:$A$15,1)),NA())</f>
        <v>3.6129593672116069</v>
      </c>
      <c r="M21" s="27">
        <f t="shared" si="4"/>
        <v>9.2713768208801266</v>
      </c>
      <c r="N21" s="1"/>
    </row>
    <row r="22" spans="1:14" ht="22.05" customHeight="1">
      <c r="A22" s="19">
        <f>'01 Traffic inputs'!A40</f>
        <v>0.65277777777777779</v>
      </c>
      <c r="B22" s="16">
        <f>'01 Traffic inputs'!B40*'01 Traffic inputs'!$B$20</f>
        <v>91.562500000000057</v>
      </c>
      <c r="C22" s="16">
        <f>'01 Traffic inputs'!$B$8/D22*60</f>
        <v>1.8454393558922531</v>
      </c>
      <c r="D22" s="16">
        <f>'01 Traffic inputs'!C40</f>
        <v>33.813086190432628</v>
      </c>
      <c r="E22" s="27">
        <f t="shared" si="0"/>
        <v>2.8162173503980754</v>
      </c>
      <c r="F22" s="27">
        <f>IF(D22&gt;0,INDEX('02 Emission rates'!$D$7:$D$15,MATCH(D22,'02 Emission rates'!$A$7:$A$15,1)),NA())</f>
        <v>9725.5949630613486</v>
      </c>
      <c r="G22" s="27">
        <f t="shared" si="1"/>
        <v>27389.3892779175</v>
      </c>
      <c r="H22" s="27">
        <f>IF(D22&gt;0,INDEX('02 Emission rates'!$E$7:$E$15,MATCH(D22,'02 Emission rates'!$A$7:$A$15,1)),NA())</f>
        <v>9.2521191106683567</v>
      </c>
      <c r="I22" s="27">
        <f t="shared" si="2"/>
        <v>26.055978367413836</v>
      </c>
      <c r="J22" s="27">
        <f>IF(D22&gt;0,INDEX('02 Emission rates'!$F$7:$F$15,MATCH(D22,'02 Emission rates'!$A$7:$A$15,1)),NA())</f>
        <v>91.70580434039428</v>
      </c>
      <c r="K22" s="27">
        <f t="shared" si="3"/>
        <v>258.26347731562953</v>
      </c>
      <c r="L22" s="27">
        <f>IF(D22&gt;0,INDEX('02 Emission rates'!$G$7:$G$15,MATCH(D22,'02 Emission rates'!$A$7:$A$15,1)),NA())</f>
        <v>3.6129593672116069</v>
      </c>
      <c r="M22" s="27">
        <f t="shared" si="4"/>
        <v>10.174878856224579</v>
      </c>
      <c r="N22" s="1"/>
    </row>
    <row r="23" spans="1:14" ht="22.05" customHeight="1">
      <c r="A23" s="19">
        <f>'01 Traffic inputs'!A41</f>
        <v>0.65625</v>
      </c>
      <c r="B23" s="16">
        <f>'01 Traffic inputs'!B41*'01 Traffic inputs'!$B$20</f>
        <v>89.708333333333385</v>
      </c>
      <c r="C23" s="16">
        <f>'01 Traffic inputs'!$B$8/D23*60</f>
        <v>2.0763553520902183</v>
      </c>
      <c r="D23" s="16">
        <f>'01 Traffic inputs'!C41</f>
        <v>30.052659308622012</v>
      </c>
      <c r="E23" s="27">
        <f t="shared" si="0"/>
        <v>3.1044396340626688</v>
      </c>
      <c r="F23" s="27">
        <f>IF(D23&gt;0,INDEX('02 Emission rates'!$D$7:$D$15,MATCH(D23,'02 Emission rates'!$A$7:$A$15,1)),NA())</f>
        <v>7854.4376436942921</v>
      </c>
      <c r="G23" s="27">
        <f t="shared" si="1"/>
        <v>24383.627524358359</v>
      </c>
      <c r="H23" s="27">
        <f>IF(D23&gt;0,INDEX('02 Emission rates'!$E$7:$E$15,MATCH(D23,'02 Emission rates'!$A$7:$A$15,1)),NA())</f>
        <v>6.0728066686336852</v>
      </c>
      <c r="I23" s="27">
        <f t="shared" si="2"/>
        <v>18.852661712106492</v>
      </c>
      <c r="J23" s="27">
        <f>IF(D23&gt;0,INDEX('02 Emission rates'!$F$7:$F$15,MATCH(D23,'02 Emission rates'!$A$7:$A$15,1)),NA())</f>
        <v>70.349021642583381</v>
      </c>
      <c r="K23" s="27">
        <f t="shared" si="3"/>
        <v>218.39429100476832</v>
      </c>
      <c r="L23" s="27">
        <f>IF(D23&gt;0,INDEX('02 Emission rates'!$G$7:$G$15,MATCH(D23,'02 Emission rates'!$A$7:$A$15,1)),NA())</f>
        <v>3.0627467972070308</v>
      </c>
      <c r="M23" s="27">
        <f t="shared" si="4"/>
        <v>9.5081125463480056</v>
      </c>
      <c r="N23" s="1"/>
    </row>
    <row r="24" spans="1:14" ht="22.05" customHeight="1">
      <c r="A24" s="19">
        <f>'01 Traffic inputs'!A42</f>
        <v>0.65972222222222221</v>
      </c>
      <c r="B24" s="16">
        <f>'01 Traffic inputs'!B42*'01 Traffic inputs'!$B$20</f>
        <v>90.104166666666686</v>
      </c>
      <c r="C24" s="16">
        <f>'01 Traffic inputs'!$B$8/D24*60</f>
        <v>2.2329318555099782</v>
      </c>
      <c r="D24" s="16">
        <f>'01 Traffic inputs'!C42</f>
        <v>27.945322131538905</v>
      </c>
      <c r="E24" s="27">
        <f t="shared" si="0"/>
        <v>3.3532744010696729</v>
      </c>
      <c r="F24" s="27">
        <f>IF(D24&gt;0,INDEX('02 Emission rates'!$D$7:$D$15,MATCH(D24,'02 Emission rates'!$A$7:$A$15,1)),NA())</f>
        <v>7854.4376436942921</v>
      </c>
      <c r="G24" s="27">
        <f t="shared" si="1"/>
        <v>26338.084685398069</v>
      </c>
      <c r="H24" s="27">
        <f>IF(D24&gt;0,INDEX('02 Emission rates'!$E$7:$E$15,MATCH(D24,'02 Emission rates'!$A$7:$A$15,1)),NA())</f>
        <v>6.0728066686336852</v>
      </c>
      <c r="I24" s="27">
        <f t="shared" si="2"/>
        <v>20.363787144574538</v>
      </c>
      <c r="J24" s="27">
        <f>IF(D24&gt;0,INDEX('02 Emission rates'!$F$7:$F$15,MATCH(D24,'02 Emission rates'!$A$7:$A$15,1)),NA())</f>
        <v>70.349021642583381</v>
      </c>
      <c r="K24" s="27">
        <f t="shared" si="3"/>
        <v>235.89957341437125</v>
      </c>
      <c r="L24" s="27">
        <f>IF(D24&gt;0,INDEX('02 Emission rates'!$G$7:$G$15,MATCH(D24,'02 Emission rates'!$A$7:$A$15,1)),NA())</f>
        <v>3.0627467972070308</v>
      </c>
      <c r="M24" s="27">
        <f t="shared" si="4"/>
        <v>10.270230432032465</v>
      </c>
      <c r="N24" s="1"/>
    </row>
    <row r="25" spans="1:14" ht="22.05" customHeight="1">
      <c r="A25" s="19">
        <f>'01 Traffic inputs'!A43</f>
        <v>0.66319444444444442</v>
      </c>
      <c r="B25" s="16">
        <f>'01 Traffic inputs'!B43*'01 Traffic inputs'!$B$20</f>
        <v>89.854166666666686</v>
      </c>
      <c r="C25" s="16">
        <f>'01 Traffic inputs'!$B$8/D25*60</f>
        <v>2.3009952611654612</v>
      </c>
      <c r="D25" s="16">
        <f>'01 Traffic inputs'!C43</f>
        <v>27.11869991787616</v>
      </c>
      <c r="E25" s="27">
        <f t="shared" si="0"/>
        <v>3.44590019493286</v>
      </c>
      <c r="F25" s="27">
        <f>IF(D25&gt;0,INDEX('02 Emission rates'!$D$7:$D$15,MATCH(D25,'02 Emission rates'!$A$7:$A$15,1)),NA())</f>
        <v>7854.4376436942921</v>
      </c>
      <c r="G25" s="27">
        <f t="shared" si="1"/>
        <v>27065.608207494155</v>
      </c>
      <c r="H25" s="27">
        <f>IF(D25&gt;0,INDEX('02 Emission rates'!$E$7:$E$15,MATCH(D25,'02 Emission rates'!$A$7:$A$15,1)),NA())</f>
        <v>6.0728066686336852</v>
      </c>
      <c r="I25" s="27">
        <f t="shared" si="2"/>
        <v>20.92628568323439</v>
      </c>
      <c r="J25" s="27">
        <f>IF(D25&gt;0,INDEX('02 Emission rates'!$F$7:$F$15,MATCH(D25,'02 Emission rates'!$A$7:$A$15,1)),NA())</f>
        <v>70.349021642583381</v>
      </c>
      <c r="K25" s="27">
        <f t="shared" si="3"/>
        <v>242.41570739151408</v>
      </c>
      <c r="L25" s="27">
        <f>IF(D25&gt;0,INDEX('02 Emission rates'!$G$7:$G$15,MATCH(D25,'02 Emission rates'!$A$7:$A$15,1)),NA())</f>
        <v>3.0627467972070308</v>
      </c>
      <c r="M25" s="27">
        <f t="shared" si="4"/>
        <v>10.5539197855257</v>
      </c>
      <c r="N25" s="1"/>
    </row>
    <row r="26" spans="1:14" ht="22.05" customHeight="1">
      <c r="A26" s="19">
        <f>'01 Traffic inputs'!A44</f>
        <v>0.66666666666666663</v>
      </c>
      <c r="B26" s="16">
        <f>'01 Traffic inputs'!B44*'01 Traffic inputs'!$B$20</f>
        <v>85.437500000000014</v>
      </c>
      <c r="C26" s="16">
        <f>'01 Traffic inputs'!$B$8/D26*60</f>
        <v>2.4002365106958683</v>
      </c>
      <c r="D26" s="16">
        <f>'01 Traffic inputs'!C44</f>
        <v>25.997438053265189</v>
      </c>
      <c r="E26" s="27">
        <f t="shared" si="0"/>
        <v>3.4178367813763044</v>
      </c>
      <c r="F26" s="27">
        <f>IF(D26&gt;0,INDEX('02 Emission rates'!$D$7:$D$15,MATCH(D26,'02 Emission rates'!$A$7:$A$15,1)),NA())</f>
        <v>7854.4376436942921</v>
      </c>
      <c r="G26" s="27">
        <f t="shared" si="1"/>
        <v>26845.185875644984</v>
      </c>
      <c r="H26" s="27">
        <f>IF(D26&gt;0,INDEX('02 Emission rates'!$E$7:$E$15,MATCH(D26,'02 Emission rates'!$A$7:$A$15,1)),NA())</f>
        <v>6.0728066686336852</v>
      </c>
      <c r="I26" s="27">
        <f t="shared" si="2"/>
        <v>20.755861998243514</v>
      </c>
      <c r="J26" s="27">
        <f>IF(D26&gt;0,INDEX('02 Emission rates'!$F$7:$F$15,MATCH(D26,'02 Emission rates'!$A$7:$A$15,1)),NA())</f>
        <v>70.349021642583381</v>
      </c>
      <c r="K26" s="27">
        <f t="shared" si="3"/>
        <v>240.44147370385917</v>
      </c>
      <c r="L26" s="27">
        <f>IF(D26&gt;0,INDEX('02 Emission rates'!$G$7:$G$15,MATCH(D26,'02 Emission rates'!$A$7:$A$15,1)),NA())</f>
        <v>3.0627467972070308</v>
      </c>
      <c r="M26" s="27">
        <f t="shared" si="4"/>
        <v>10.467968655536662</v>
      </c>
      <c r="N26" s="1"/>
    </row>
    <row r="27" spans="1:14" ht="22.05" customHeight="1">
      <c r="A27" s="19">
        <f>'01 Traffic inputs'!A45</f>
        <v>0.67013888888888884</v>
      </c>
      <c r="B27" s="16">
        <f>'01 Traffic inputs'!B45*'01 Traffic inputs'!$B$20</f>
        <v>79.791666666666671</v>
      </c>
      <c r="C27" s="16">
        <f>'01 Traffic inputs'!$B$8/D27*60</f>
        <v>2.7641904079180977</v>
      </c>
      <c r="D27" s="16">
        <f>'01 Traffic inputs'!C45</f>
        <v>22.57442172625111</v>
      </c>
      <c r="E27" s="27">
        <f t="shared" si="0"/>
        <v>3.6759893271966373</v>
      </c>
      <c r="F27" s="27">
        <f>IF(D27&gt;0,INDEX('02 Emission rates'!$D$7:$D$15,MATCH(D27,'02 Emission rates'!$A$7:$A$15,1)),NA())</f>
        <v>6931.8463213424902</v>
      </c>
      <c r="G27" s="27">
        <f t="shared" si="1"/>
        <v>25481.393095022268</v>
      </c>
      <c r="H27" s="27">
        <f>IF(D27&gt;0,INDEX('02 Emission rates'!$E$7:$E$15,MATCH(D27,'02 Emission rates'!$A$7:$A$15,1)),NA())</f>
        <v>4.0758788464844926</v>
      </c>
      <c r="I27" s="27">
        <f t="shared" si="2"/>
        <v>14.982887138623536</v>
      </c>
      <c r="J27" s="27">
        <f>IF(D27&gt;0,INDEX('02 Emission rates'!$F$7:$F$15,MATCH(D27,'02 Emission rates'!$A$7:$A$15,1)),NA())</f>
        <v>62.680628166186985</v>
      </c>
      <c r="K27" s="27">
        <f t="shared" si="3"/>
        <v>230.4133201608843</v>
      </c>
      <c r="L27" s="27">
        <f>IF(D27&gt;0,INDEX('02 Emission rates'!$G$7:$G$15,MATCH(D27,'02 Emission rates'!$A$7:$A$15,1)),NA())</f>
        <v>2.7514068118353263</v>
      </c>
      <c r="M27" s="27">
        <f t="shared" si="4"/>
        <v>10.114142075082786</v>
      </c>
      <c r="N27" s="1"/>
    </row>
    <row r="28" spans="1:14" ht="22.05" customHeight="1">
      <c r="A28" s="19">
        <f>'01 Traffic inputs'!A46</f>
        <v>0.67361111111111116</v>
      </c>
      <c r="B28" s="16">
        <f>'01 Traffic inputs'!B46*'01 Traffic inputs'!$B$20</f>
        <v>74.333333333333343</v>
      </c>
      <c r="C28" s="16">
        <f>'01 Traffic inputs'!$B$8/D28*60</f>
        <v>3.2734219323731009</v>
      </c>
      <c r="D28" s="16">
        <f>'01 Traffic inputs'!C46</f>
        <v>19.062620489856531</v>
      </c>
      <c r="E28" s="27">
        <f t="shared" si="0"/>
        <v>4.0554060606622313</v>
      </c>
      <c r="F28" s="27">
        <f>IF(D28&gt;0,INDEX('02 Emission rates'!$D$7:$D$15,MATCH(D28,'02 Emission rates'!$A$7:$A$15,1)),NA())</f>
        <v>6931.8463213424902</v>
      </c>
      <c r="G28" s="27">
        <f t="shared" si="1"/>
        <v>28111.451583151527</v>
      </c>
      <c r="H28" s="27">
        <f>IF(D28&gt;0,INDEX('02 Emission rates'!$E$7:$E$15,MATCH(D28,'02 Emission rates'!$A$7:$A$15,1)),NA())</f>
        <v>4.0758788464844926</v>
      </c>
      <c r="I28" s="27">
        <f t="shared" si="2"/>
        <v>16.529343776558196</v>
      </c>
      <c r="J28" s="27">
        <f>IF(D28&gt;0,INDEX('02 Emission rates'!$F$7:$F$15,MATCH(D28,'02 Emission rates'!$A$7:$A$15,1)),NA())</f>
        <v>62.680628166186985</v>
      </c>
      <c r="K28" s="27">
        <f t="shared" si="3"/>
        <v>254.19539935127045</v>
      </c>
      <c r="L28" s="27">
        <f>IF(D28&gt;0,INDEX('02 Emission rates'!$G$7:$G$15,MATCH(D28,'02 Emission rates'!$A$7:$A$15,1)),NA())</f>
        <v>2.7514068118353263</v>
      </c>
      <c r="M28" s="27">
        <f t="shared" si="4"/>
        <v>11.15807186006433</v>
      </c>
      <c r="N28" s="1"/>
    </row>
    <row r="29" spans="1:14" ht="22.05" customHeight="1">
      <c r="A29" s="19">
        <f>'01 Traffic inputs'!A47</f>
        <v>0.67708333333333337</v>
      </c>
      <c r="B29" s="16">
        <f>'01 Traffic inputs'!B47*'01 Traffic inputs'!$B$20</f>
        <v>71.145833333333329</v>
      </c>
      <c r="C29" s="16">
        <f>'01 Traffic inputs'!$B$8/D29*60</f>
        <v>3.6739935429281894</v>
      </c>
      <c r="D29" s="16">
        <f>'01 Traffic inputs'!C47</f>
        <v>16.984243241284563</v>
      </c>
      <c r="E29" s="27">
        <f t="shared" si="0"/>
        <v>4.3564888712151966</v>
      </c>
      <c r="F29" s="27">
        <f>IF(D29&gt;0,INDEX('02 Emission rates'!$D$7:$D$15,MATCH(D29,'02 Emission rates'!$A$7:$A$15,1)),NA())</f>
        <v>6931.8463213424902</v>
      </c>
      <c r="G29" s="27">
        <f t="shared" si="1"/>
        <v>30198.511355902559</v>
      </c>
      <c r="H29" s="27">
        <f>IF(D29&gt;0,INDEX('02 Emission rates'!$E$7:$E$15,MATCH(D29,'02 Emission rates'!$A$7:$A$15,1)),NA())</f>
        <v>4.0758788464844926</v>
      </c>
      <c r="I29" s="27">
        <f t="shared" si="2"/>
        <v>17.756520835131123</v>
      </c>
      <c r="J29" s="27">
        <f>IF(D29&gt;0,INDEX('02 Emission rates'!$F$7:$F$15,MATCH(D29,'02 Emission rates'!$A$7:$A$15,1)),NA())</f>
        <v>62.680628166186985</v>
      </c>
      <c r="K29" s="27">
        <f t="shared" si="3"/>
        <v>273.06745904677138</v>
      </c>
      <c r="L29" s="27">
        <f>IF(D29&gt;0,INDEX('02 Emission rates'!$G$7:$G$15,MATCH(D29,'02 Emission rates'!$A$7:$A$15,1)),NA())</f>
        <v>2.7514068118353263</v>
      </c>
      <c r="M29" s="27">
        <f t="shared" si="4"/>
        <v>11.986473155946284</v>
      </c>
      <c r="N29" s="1"/>
    </row>
    <row r="30" spans="1:14" ht="22.05" customHeight="1">
      <c r="A30" s="19">
        <f>'01 Traffic inputs'!A48</f>
        <v>0.68055555555555547</v>
      </c>
      <c r="B30" s="16">
        <f>'01 Traffic inputs'!B48*'01 Traffic inputs'!$B$20</f>
        <v>70.374999999999972</v>
      </c>
      <c r="C30" s="16">
        <f>'01 Traffic inputs'!$B$8/D30*60</f>
        <v>4.1834651536031622</v>
      </c>
      <c r="D30" s="16">
        <f>'01 Traffic inputs'!C48</f>
        <v>14.915864650206766</v>
      </c>
      <c r="E30" s="27">
        <f t="shared" si="0"/>
        <v>4.9068560030803736</v>
      </c>
      <c r="F30" s="27">
        <f>IF(D30&gt;0,INDEX('02 Emission rates'!$D$7:$D$15,MATCH(D30,'02 Emission rates'!$A$7:$A$15,1)),NA())</f>
        <v>6931.8463213424902</v>
      </c>
      <c r="G30" s="27">
        <f t="shared" si="1"/>
        <v>34013.571734310004</v>
      </c>
      <c r="H30" s="27">
        <f>IF(D30&gt;0,INDEX('02 Emission rates'!$E$7:$E$15,MATCH(D30,'02 Emission rates'!$A$7:$A$15,1)),NA())</f>
        <v>4.0758788464844926</v>
      </c>
      <c r="I30" s="27">
        <f t="shared" si="2"/>
        <v>19.999750585700742</v>
      </c>
      <c r="J30" s="27">
        <f>IF(D30&gt;0,INDEX('02 Emission rates'!$F$7:$F$15,MATCH(D30,'02 Emission rates'!$A$7:$A$15,1)),NA())</f>
        <v>62.680628166186985</v>
      </c>
      <c r="K30" s="27">
        <f t="shared" si="3"/>
        <v>307.56481659410338</v>
      </c>
      <c r="L30" s="27">
        <f>IF(D30&gt;0,INDEX('02 Emission rates'!$G$7:$G$15,MATCH(D30,'02 Emission rates'!$A$7:$A$15,1)),NA())</f>
        <v>2.7514068118353263</v>
      </c>
      <c r="M30" s="27">
        <f t="shared" si="4"/>
        <v>13.500757031570403</v>
      </c>
      <c r="N30" s="1"/>
    </row>
    <row r="31" spans="1:14" ht="22.05" customHeight="1">
      <c r="A31" s="19">
        <f>'01 Traffic inputs'!A49</f>
        <v>0.68402777777777779</v>
      </c>
      <c r="B31" s="16">
        <f>'01 Traffic inputs'!B49*'01 Traffic inputs'!$B$20</f>
        <v>72.166666666666643</v>
      </c>
      <c r="C31" s="16">
        <f>'01 Traffic inputs'!$B$8/D31*60</f>
        <v>4.3455643151019965</v>
      </c>
      <c r="D31" s="16">
        <f>'01 Traffic inputs'!C49</f>
        <v>14.359469904321646</v>
      </c>
      <c r="E31" s="27">
        <f t="shared" si="0"/>
        <v>5.2267481901087889</v>
      </c>
      <c r="F31" s="27">
        <f>IF(D31&gt;0,INDEX('02 Emission rates'!$D$7:$D$15,MATCH(D31,'02 Emission rates'!$A$7:$A$15,1)),NA())</f>
        <v>6931.8463213424902</v>
      </c>
      <c r="G31" s="27">
        <f t="shared" si="1"/>
        <v>36231.01521418913</v>
      </c>
      <c r="H31" s="27">
        <f>IF(D31&gt;0,INDEX('02 Emission rates'!$E$7:$E$15,MATCH(D31,'02 Emission rates'!$A$7:$A$15,1)),NA())</f>
        <v>4.0758788464844926</v>
      </c>
      <c r="I31" s="27">
        <f t="shared" si="2"/>
        <v>21.303592383965519</v>
      </c>
      <c r="J31" s="27">
        <f>IF(D31&gt;0,INDEX('02 Emission rates'!$F$7:$F$15,MATCH(D31,'02 Emission rates'!$A$7:$A$15,1)),NA())</f>
        <v>62.680628166186985</v>
      </c>
      <c r="K31" s="27">
        <f t="shared" si="3"/>
        <v>327.61585982249977</v>
      </c>
      <c r="L31" s="27">
        <f>IF(D31&gt;0,INDEX('02 Emission rates'!$G$7:$G$15,MATCH(D31,'02 Emission rates'!$A$7:$A$15,1)),NA())</f>
        <v>2.7514068118353263</v>
      </c>
      <c r="M31" s="27">
        <f t="shared" si="4"/>
        <v>14.380910574013285</v>
      </c>
      <c r="N31" s="1"/>
    </row>
    <row r="32" spans="1:14" ht="22.05" customHeight="1">
      <c r="A32" s="19">
        <f>'01 Traffic inputs'!A50</f>
        <v>0.6875</v>
      </c>
      <c r="B32" s="16">
        <f>'01 Traffic inputs'!B50*'01 Traffic inputs'!$B$20</f>
        <v>71.500000000000014</v>
      </c>
      <c r="C32" s="16">
        <f>'01 Traffic inputs'!$B$8/D32*60</f>
        <v>4.2493105704741705</v>
      </c>
      <c r="D32" s="16">
        <f>'01 Traffic inputs'!C50</f>
        <v>14.684735079986906</v>
      </c>
      <c r="E32" s="27">
        <f t="shared" si="0"/>
        <v>5.0637617631483876</v>
      </c>
      <c r="F32" s="27">
        <f>IF(D32&gt;0,INDEX('02 Emission rates'!$D$7:$D$15,MATCH(D32,'02 Emission rates'!$A$7:$A$15,1)),NA())</f>
        <v>6931.8463213424902</v>
      </c>
      <c r="G32" s="27">
        <f t="shared" si="1"/>
        <v>35101.218350034913</v>
      </c>
      <c r="H32" s="27">
        <f>IF(D32&gt;0,INDEX('02 Emission rates'!$E$7:$E$15,MATCH(D32,'02 Emission rates'!$A$7:$A$15,1)),NA())</f>
        <v>4.0758788464844926</v>
      </c>
      <c r="I32" s="27">
        <f t="shared" si="2"/>
        <v>20.639279454053529</v>
      </c>
      <c r="J32" s="27">
        <f>IF(D32&gt;0,INDEX('02 Emission rates'!$F$7:$F$15,MATCH(D32,'02 Emission rates'!$A$7:$A$15,1)),NA())</f>
        <v>62.680628166186985</v>
      </c>
      <c r="K32" s="27">
        <f t="shared" si="3"/>
        <v>317.39976819805946</v>
      </c>
      <c r="L32" s="27">
        <f>IF(D32&gt;0,INDEX('02 Emission rates'!$G$7:$G$15,MATCH(D32,'02 Emission rates'!$A$7:$A$15,1)),NA())</f>
        <v>2.7514068118353263</v>
      </c>
      <c r="M32" s="27">
        <f t="shared" si="4"/>
        <v>13.932468608637736</v>
      </c>
      <c r="N32" s="1"/>
    </row>
    <row r="33" spans="1:14" ht="22.05" customHeight="1">
      <c r="A33" s="19">
        <f>'01 Traffic inputs'!A51</f>
        <v>0.69097222222222221</v>
      </c>
      <c r="B33" s="16">
        <f>'01 Traffic inputs'!B51*'01 Traffic inputs'!$B$20</f>
        <v>67.041666666666657</v>
      </c>
      <c r="C33" s="16">
        <f>'01 Traffic inputs'!$B$8/D33*60</f>
        <v>4.3350658858083744</v>
      </c>
      <c r="D33" s="16">
        <f>'01 Traffic inputs'!C51</f>
        <v>14.394244895857051</v>
      </c>
      <c r="E33" s="27">
        <f t="shared" si="0"/>
        <v>4.8438340349067177</v>
      </c>
      <c r="F33" s="27">
        <f>IF(D33&gt;0,INDEX('02 Emission rates'!$D$7:$D$15,MATCH(D33,'02 Emission rates'!$A$7:$A$15,1)),NA())</f>
        <v>6931.8463213424902</v>
      </c>
      <c r="G33" s="27">
        <f t="shared" si="1"/>
        <v>33576.713136061684</v>
      </c>
      <c r="H33" s="27">
        <f>IF(D33&gt;0,INDEX('02 Emission rates'!$E$7:$E$15,MATCH(D33,'02 Emission rates'!$A$7:$A$15,1)),NA())</f>
        <v>4.0758788464844926</v>
      </c>
      <c r="I33" s="27">
        <f t="shared" si="2"/>
        <v>19.742880678757917</v>
      </c>
      <c r="J33" s="27">
        <f>IF(D33&gt;0,INDEX('02 Emission rates'!$F$7:$F$15,MATCH(D33,'02 Emission rates'!$A$7:$A$15,1)),NA())</f>
        <v>62.680628166186985</v>
      </c>
      <c r="K33" s="27">
        <f t="shared" si="3"/>
        <v>303.61456004070914</v>
      </c>
      <c r="L33" s="27">
        <f>IF(D33&gt;0,INDEX('02 Emission rates'!$G$7:$G$15,MATCH(D33,'02 Emission rates'!$A$7:$A$15,1)),NA())</f>
        <v>2.7514068118353263</v>
      </c>
      <c r="M33" s="27">
        <f t="shared" si="4"/>
        <v>13.327357959042137</v>
      </c>
      <c r="N33" s="1"/>
    </row>
    <row r="34" spans="1:14" ht="22.05" customHeight="1">
      <c r="A34" s="19">
        <f>'01 Traffic inputs'!A52</f>
        <v>0.69444444444444453</v>
      </c>
      <c r="B34" s="16">
        <f>'01 Traffic inputs'!B52*'01 Traffic inputs'!$B$20</f>
        <v>64.208333333333343</v>
      </c>
      <c r="C34" s="16">
        <f>'01 Traffic inputs'!$B$8/D34*60</f>
        <v>4.4007386628386298</v>
      </c>
      <c r="D34" s="16">
        <f>'01 Traffic inputs'!C52</f>
        <v>14.17943776732951</v>
      </c>
      <c r="E34" s="27">
        <f t="shared" si="0"/>
        <v>4.7094015829405063</v>
      </c>
      <c r="F34" s="27">
        <f>IF(D34&gt;0,INDEX('02 Emission rates'!$D$7:$D$15,MATCH(D34,'02 Emission rates'!$A$7:$A$15,1)),NA())</f>
        <v>6931.8463213424902</v>
      </c>
      <c r="G34" s="27">
        <f t="shared" si="1"/>
        <v>32644.848038430649</v>
      </c>
      <c r="H34" s="27">
        <f>IF(D34&gt;0,INDEX('02 Emission rates'!$E$7:$E$15,MATCH(D34,'02 Emission rates'!$A$7:$A$15,1)),NA())</f>
        <v>4.0758788464844926</v>
      </c>
      <c r="I34" s="27">
        <f t="shared" si="2"/>
        <v>19.194950291507794</v>
      </c>
      <c r="J34" s="27">
        <f>IF(D34&gt;0,INDEX('02 Emission rates'!$F$7:$F$15,MATCH(D34,'02 Emission rates'!$A$7:$A$15,1)),NA())</f>
        <v>62.680628166186985</v>
      </c>
      <c r="K34" s="27">
        <f t="shared" si="3"/>
        <v>295.18824950554625</v>
      </c>
      <c r="L34" s="27">
        <f>IF(D34&gt;0,INDEX('02 Emission rates'!$G$7:$G$15,MATCH(D34,'02 Emission rates'!$A$7:$A$15,1)),NA())</f>
        <v>2.7514068118353263</v>
      </c>
      <c r="M34" s="27">
        <f t="shared" si="4"/>
        <v>12.957479594970577</v>
      </c>
      <c r="N34" s="1"/>
    </row>
    <row r="35" spans="1:14" ht="22.05" customHeight="1">
      <c r="A35" s="19">
        <f>'01 Traffic inputs'!A53</f>
        <v>0.69791666666666663</v>
      </c>
      <c r="B35" s="16">
        <f>'01 Traffic inputs'!B53*'01 Traffic inputs'!$B$20</f>
        <v>65.104166666666657</v>
      </c>
      <c r="C35" s="16">
        <f>'01 Traffic inputs'!$B$8/D35*60</f>
        <v>4.8580587509185547</v>
      </c>
      <c r="D35" s="16">
        <f>'01 Traffic inputs'!C53</f>
        <v>12.84463675705913</v>
      </c>
      <c r="E35" s="27">
        <f t="shared" si="0"/>
        <v>5.271331109937667</v>
      </c>
      <c r="F35" s="27">
        <f>IF(D35&gt;0,INDEX('02 Emission rates'!$D$7:$D$15,MATCH(D35,'02 Emission rates'!$A$7:$A$15,1)),NA())</f>
        <v>6931.8463213424902</v>
      </c>
      <c r="G35" s="27">
        <f t="shared" si="1"/>
        <v>36540.057162999641</v>
      </c>
      <c r="H35" s="27">
        <f>IF(D35&gt;0,INDEX('02 Emission rates'!$E$7:$E$15,MATCH(D35,'02 Emission rates'!$A$7:$A$15,1)),NA())</f>
        <v>4.0758788464844926</v>
      </c>
      <c r="I35" s="27">
        <f t="shared" si="2"/>
        <v>21.485306963810558</v>
      </c>
      <c r="J35" s="27">
        <f>IF(D35&gt;0,INDEX('02 Emission rates'!$F$7:$F$15,MATCH(D35,'02 Emission rates'!$A$7:$A$15,1)),NA())</f>
        <v>62.680628166186985</v>
      </c>
      <c r="K35" s="27">
        <f t="shared" si="3"/>
        <v>330.41034524285664</v>
      </c>
      <c r="L35" s="27">
        <f>IF(D35&gt;0,INDEX('02 Emission rates'!$G$7:$G$15,MATCH(D35,'02 Emission rates'!$A$7:$A$15,1)),NA())</f>
        <v>2.7514068118353263</v>
      </c>
      <c r="M35" s="27">
        <f t="shared" si="4"/>
        <v>14.503576323321969</v>
      </c>
      <c r="N35" s="1"/>
    </row>
    <row r="36" spans="1:14" ht="22.05" customHeight="1">
      <c r="A36" s="19">
        <f>'01 Traffic inputs'!A54</f>
        <v>0.70138888888888884</v>
      </c>
      <c r="B36" s="16">
        <f>'01 Traffic inputs'!B54*'01 Traffic inputs'!$B$20</f>
        <v>69.999999999999986</v>
      </c>
      <c r="C36" s="16">
        <f>'01 Traffic inputs'!$B$8/D36*60</f>
        <v>5.159386306355656</v>
      </c>
      <c r="D36" s="16">
        <f>'01 Traffic inputs'!C54</f>
        <v>12.094461684935858</v>
      </c>
      <c r="E36" s="27">
        <f t="shared" si="0"/>
        <v>6.0192840240815979</v>
      </c>
      <c r="F36" s="27">
        <f>IF(D36&gt;0,INDEX('02 Emission rates'!$D$7:$D$15,MATCH(D36,'02 Emission rates'!$A$7:$A$15,1)),NA())</f>
        <v>6931.8463213424902</v>
      </c>
      <c r="G36" s="27">
        <f t="shared" si="1"/>
        <v>41724.751819445642</v>
      </c>
      <c r="H36" s="27">
        <f>IF(D36&gt;0,INDEX('02 Emission rates'!$E$7:$E$15,MATCH(D36,'02 Emission rates'!$A$7:$A$15,1)),NA())</f>
        <v>4.0758788464844926</v>
      </c>
      <c r="I36" s="27">
        <f t="shared" si="2"/>
        <v>24.533872424736238</v>
      </c>
      <c r="J36" s="27">
        <f>IF(D36&gt;0,INDEX('02 Emission rates'!$F$7:$F$15,MATCH(D36,'02 Emission rates'!$A$7:$A$15,1)),NA())</f>
        <v>62.680628166186985</v>
      </c>
      <c r="K36" s="27">
        <f t="shared" si="3"/>
        <v>377.29250374012832</v>
      </c>
      <c r="L36" s="27">
        <f>IF(D36&gt;0,INDEX('02 Emission rates'!$G$7:$G$15,MATCH(D36,'02 Emission rates'!$A$7:$A$15,1)),NA())</f>
        <v>2.7514068118353263</v>
      </c>
      <c r="M36" s="27">
        <f t="shared" si="4"/>
        <v>16.561499066229661</v>
      </c>
      <c r="N36" s="1"/>
    </row>
    <row r="37" spans="1:14" ht="22.05" customHeight="1">
      <c r="A37" s="19">
        <f>'01 Traffic inputs'!A55</f>
        <v>0.70486111111111116</v>
      </c>
      <c r="B37" s="16">
        <f>'01 Traffic inputs'!B55*'01 Traffic inputs'!$B$20</f>
        <v>69.583333333333314</v>
      </c>
      <c r="C37" s="16">
        <f>'01 Traffic inputs'!$B$8/D37*60</f>
        <v>5.5741618798928947</v>
      </c>
      <c r="D37" s="16">
        <f>'01 Traffic inputs'!C55</f>
        <v>11.194508043458583</v>
      </c>
      <c r="E37" s="27">
        <f t="shared" si="0"/>
        <v>6.4644794023757859</v>
      </c>
      <c r="F37" s="27">
        <f>IF(D37&gt;0,INDEX('02 Emission rates'!$D$7:$D$15,MATCH(D37,'02 Emission rates'!$A$7:$A$15,1)),NA())</f>
        <v>6931.8463213424902</v>
      </c>
      <c r="G37" s="27">
        <f t="shared" si="1"/>
        <v>44810.777764752893</v>
      </c>
      <c r="H37" s="27">
        <f>IF(D37&gt;0,INDEX('02 Emission rates'!$E$7:$E$15,MATCH(D37,'02 Emission rates'!$A$7:$A$15,1)),NA())</f>
        <v>4.0758788464844926</v>
      </c>
      <c r="I37" s="27">
        <f t="shared" si="2"/>
        <v>26.348434849678181</v>
      </c>
      <c r="J37" s="27">
        <f>IF(D37&gt;0,INDEX('02 Emission rates'!$F$7:$F$15,MATCH(D37,'02 Emission rates'!$A$7:$A$15,1)),NA())</f>
        <v>62.680628166186985</v>
      </c>
      <c r="K37" s="27">
        <f t="shared" si="3"/>
        <v>405.19762970829129</v>
      </c>
      <c r="L37" s="27">
        <f>IF(D37&gt;0,INDEX('02 Emission rates'!$G$7:$G$15,MATCH(D37,'02 Emission rates'!$A$7:$A$15,1)),NA())</f>
        <v>2.7514068118353263</v>
      </c>
      <c r="M37" s="27">
        <f t="shared" si="4"/>
        <v>17.786412662665896</v>
      </c>
      <c r="N37" s="1"/>
    </row>
    <row r="38" spans="1:14" ht="22.05" customHeight="1">
      <c r="A38" s="19">
        <f>'01 Traffic inputs'!A56</f>
        <v>0.70833333333333337</v>
      </c>
      <c r="B38" s="16">
        <f>'01 Traffic inputs'!B56*'01 Traffic inputs'!$B$20</f>
        <v>66.208333333333314</v>
      </c>
      <c r="C38" s="16">
        <f>'01 Traffic inputs'!$B$8/D38*60</f>
        <v>5.7344775463491695</v>
      </c>
      <c r="D38" s="16">
        <f>'01 Traffic inputs'!C56</f>
        <v>10.881549277270764</v>
      </c>
      <c r="E38" s="27">
        <f t="shared" si="0"/>
        <v>6.327836681353352</v>
      </c>
      <c r="F38" s="27">
        <f>IF(D38&gt;0,INDEX('02 Emission rates'!$D$7:$D$15,MATCH(D38,'02 Emission rates'!$A$7:$A$15,1)),NA())</f>
        <v>6931.8463213424902</v>
      </c>
      <c r="G38" s="27">
        <f t="shared" si="1"/>
        <v>43863.591421695302</v>
      </c>
      <c r="H38" s="27">
        <f>IF(D38&gt;0,INDEX('02 Emission rates'!$E$7:$E$15,MATCH(D38,'02 Emission rates'!$A$7:$A$15,1)),NA())</f>
        <v>4.0758788464844926</v>
      </c>
      <c r="I38" s="27">
        <f t="shared" si="2"/>
        <v>25.791495673536762</v>
      </c>
      <c r="J38" s="27">
        <f>IF(D38&gt;0,INDEX('02 Emission rates'!$F$7:$F$15,MATCH(D38,'02 Emission rates'!$A$7:$A$15,1)),NA())</f>
        <v>62.680628166186985</v>
      </c>
      <c r="K38" s="27">
        <f t="shared" si="3"/>
        <v>396.63277812026809</v>
      </c>
      <c r="L38" s="27">
        <f>IF(D38&gt;0,INDEX('02 Emission rates'!$G$7:$G$15,MATCH(D38,'02 Emission rates'!$A$7:$A$15,1)),NA())</f>
        <v>2.7514068118353263</v>
      </c>
      <c r="M38" s="27">
        <f t="shared" si="4"/>
        <v>17.410452949257056</v>
      </c>
      <c r="N38" s="1"/>
    </row>
    <row r="39" spans="1:14" ht="22.05" customHeight="1">
      <c r="A39" s="19">
        <f>'01 Traffic inputs'!A57</f>
        <v>0.71180555555555547</v>
      </c>
      <c r="B39" s="16">
        <f>'01 Traffic inputs'!B57*'01 Traffic inputs'!$B$20</f>
        <v>60.375</v>
      </c>
      <c r="C39" s="16">
        <f>'01 Traffic inputs'!$B$8/D39*60</f>
        <v>5.5617361271833241</v>
      </c>
      <c r="D39" s="16">
        <f>'01 Traffic inputs'!C57</f>
        <v>11.219518253485171</v>
      </c>
      <c r="E39" s="27">
        <f t="shared" si="0"/>
        <v>5.5964969779782194</v>
      </c>
      <c r="F39" s="27">
        <f>IF(D39&gt;0,INDEX('02 Emission rates'!$D$7:$D$15,MATCH(D39,'02 Emission rates'!$A$7:$A$15,1)),NA())</f>
        <v>6931.8463213424902</v>
      </c>
      <c r="G39" s="27">
        <f t="shared" si="1"/>
        <v>38794.056989202683</v>
      </c>
      <c r="H39" s="27">
        <f>IF(D39&gt;0,INDEX('02 Emission rates'!$E$7:$E$15,MATCH(D39,'02 Emission rates'!$A$7:$A$15,1)),NA())</f>
        <v>4.0758788464844926</v>
      </c>
      <c r="I39" s="27">
        <f t="shared" si="2"/>
        <v>22.810643646955814</v>
      </c>
      <c r="J39" s="27">
        <f>IF(D39&gt;0,INDEX('02 Emission rates'!$F$7:$F$15,MATCH(D39,'02 Emission rates'!$A$7:$A$15,1)),NA())</f>
        <v>62.680628166186985</v>
      </c>
      <c r="K39" s="27">
        <f t="shared" si="3"/>
        <v>350.79194610984194</v>
      </c>
      <c r="L39" s="27">
        <f>IF(D39&gt;0,INDEX('02 Emission rates'!$G$7:$G$15,MATCH(D39,'02 Emission rates'!$A$7:$A$15,1)),NA())</f>
        <v>2.7514068118353263</v>
      </c>
      <c r="M39" s="27">
        <f t="shared" si="4"/>
        <v>15.398239907625092</v>
      </c>
      <c r="N39" s="1"/>
    </row>
    <row r="40" spans="1:14" ht="22.05" customHeight="1">
      <c r="A40" s="19">
        <f>'01 Traffic inputs'!A58</f>
        <v>0.71527777777777779</v>
      </c>
      <c r="B40" s="16">
        <f>'01 Traffic inputs'!B58*'01 Traffic inputs'!$B$20</f>
        <v>58.729166666666643</v>
      </c>
      <c r="C40" s="16">
        <f>'01 Traffic inputs'!$B$8/D40*60</f>
        <v>5.4852713369254733</v>
      </c>
      <c r="D40" s="16">
        <f>'01 Traffic inputs'!C58</f>
        <v>11.375918558474956</v>
      </c>
      <c r="E40" s="27">
        <f t="shared" si="0"/>
        <v>5.3690902426364255</v>
      </c>
      <c r="F40" s="27">
        <f>IF(D40&gt;0,INDEX('02 Emission rates'!$D$7:$D$15,MATCH(D40,'02 Emission rates'!$A$7:$A$15,1)),NA())</f>
        <v>6931.8463213424902</v>
      </c>
      <c r="G40" s="27">
        <f t="shared" si="1"/>
        <v>37217.708447375167</v>
      </c>
      <c r="H40" s="27">
        <f>IF(D40&gt;0,INDEX('02 Emission rates'!$E$7:$E$15,MATCH(D40,'02 Emission rates'!$A$7:$A$15,1)),NA())</f>
        <v>4.0758788464844926</v>
      </c>
      <c r="I40" s="27">
        <f t="shared" si="2"/>
        <v>21.883761344828098</v>
      </c>
      <c r="J40" s="27">
        <f>IF(D40&gt;0,INDEX('02 Emission rates'!$F$7:$F$15,MATCH(D40,'02 Emission rates'!$A$7:$A$15,1)),NA())</f>
        <v>62.680628166186985</v>
      </c>
      <c r="K40" s="27">
        <f t="shared" si="3"/>
        <v>336.53794908939642</v>
      </c>
      <c r="L40" s="27">
        <f>IF(D40&gt;0,INDEX('02 Emission rates'!$G$7:$G$15,MATCH(D40,'02 Emission rates'!$A$7:$A$15,1)),NA())</f>
        <v>2.7514068118353263</v>
      </c>
      <c r="M40" s="27">
        <f t="shared" si="4"/>
        <v>14.772551466948446</v>
      </c>
      <c r="N40" s="1"/>
    </row>
    <row r="41" spans="1:14" ht="22.05" customHeight="1">
      <c r="A41" s="19">
        <f>'01 Traffic inputs'!A59</f>
        <v>0.71875</v>
      </c>
      <c r="B41" s="16">
        <f>'01 Traffic inputs'!B59*'01 Traffic inputs'!$B$20</f>
        <v>58.291666666666657</v>
      </c>
      <c r="C41" s="16">
        <f>'01 Traffic inputs'!$B$8/D41*60</f>
        <v>6.0722152682595985</v>
      </c>
      <c r="D41" s="16">
        <f>'01 Traffic inputs'!C59</f>
        <v>10.276315519671314</v>
      </c>
      <c r="E41" s="27">
        <f t="shared" si="0"/>
        <v>5.8993258057605393</v>
      </c>
      <c r="F41" s="27">
        <f>IF(D41&gt;0,INDEX('02 Emission rates'!$D$7:$D$15,MATCH(D41,'02 Emission rates'!$A$7:$A$15,1)),NA())</f>
        <v>6931.8463213424902</v>
      </c>
      <c r="G41" s="27">
        <f t="shared" si="1"/>
        <v>40893.219885062019</v>
      </c>
      <c r="H41" s="27">
        <f>IF(D41&gt;0,INDEX('02 Emission rates'!$E$7:$E$15,MATCH(D41,'02 Emission rates'!$A$7:$A$15,1)),NA())</f>
        <v>4.0758788464844926</v>
      </c>
      <c r="I41" s="27">
        <f t="shared" si="2"/>
        <v>24.044937260219466</v>
      </c>
      <c r="J41" s="27">
        <f>IF(D41&gt;0,INDEX('02 Emission rates'!$F$7:$F$15,MATCH(D41,'02 Emission rates'!$A$7:$A$15,1)),NA())</f>
        <v>62.680628166186985</v>
      </c>
      <c r="K41" s="27">
        <f t="shared" si="3"/>
        <v>369.7734472620678</v>
      </c>
      <c r="L41" s="27">
        <f>IF(D41&gt;0,INDEX('02 Emission rates'!$G$7:$G$15,MATCH(D41,'02 Emission rates'!$A$7:$A$15,1)),NA())</f>
        <v>2.7514068118353263</v>
      </c>
      <c r="M41" s="27">
        <f t="shared" si="4"/>
        <v>16.231445207205471</v>
      </c>
      <c r="N41" s="1"/>
    </row>
    <row r="42" spans="1:14" ht="22.05" customHeight="1">
      <c r="A42" s="19">
        <f>'01 Traffic inputs'!A60</f>
        <v>0.72222222222222221</v>
      </c>
      <c r="B42" s="16">
        <f>'01 Traffic inputs'!B60*'01 Traffic inputs'!$B$20</f>
        <v>61.270833333333336</v>
      </c>
      <c r="C42" s="16">
        <f>'01 Traffic inputs'!$B$8/D42*60</f>
        <v>6.4237948595319239</v>
      </c>
      <c r="D42" s="16">
        <f>'01 Traffic inputs'!C60</f>
        <v>9.7138842949521074</v>
      </c>
      <c r="E42" s="27">
        <f t="shared" si="0"/>
        <v>6.5598544034317321</v>
      </c>
      <c r="F42" s="27">
        <f>IF(D42&gt;0,INDEX('02 Emission rates'!$D$7:$D$15,MATCH(D42,'02 Emission rates'!$A$7:$A$15,1)),NA())</f>
        <v>6931.8463213424902</v>
      </c>
      <c r="G42" s="27">
        <f t="shared" si="1"/>
        <v>45471.90261497059</v>
      </c>
      <c r="H42" s="27">
        <f>IF(D42&gt;0,INDEX('02 Emission rates'!$E$7:$E$15,MATCH(D42,'02 Emission rates'!$A$7:$A$15,1)),NA())</f>
        <v>4.0758788464844926</v>
      </c>
      <c r="I42" s="27">
        <f t="shared" si="2"/>
        <v>26.737171798965548</v>
      </c>
      <c r="J42" s="27">
        <f>IF(D42&gt;0,INDEX('02 Emission rates'!$F$7:$F$15,MATCH(D42,'02 Emission rates'!$A$7:$A$15,1)),NA())</f>
        <v>62.680628166186985</v>
      </c>
      <c r="K42" s="27">
        <f t="shared" si="3"/>
        <v>411.17579468582875</v>
      </c>
      <c r="L42" s="27">
        <f>IF(D42&gt;0,INDEX('02 Emission rates'!$G$7:$G$15,MATCH(D42,'02 Emission rates'!$A$7:$A$15,1)),NA())</f>
        <v>2.7514068118353263</v>
      </c>
      <c r="M42" s="27">
        <f t="shared" si="4"/>
        <v>18.04882809025003</v>
      </c>
      <c r="N42" s="1"/>
    </row>
    <row r="43" spans="1:14" ht="22.05" customHeight="1">
      <c r="A43" s="19">
        <f>'01 Traffic inputs'!A61</f>
        <v>0.72569444444444453</v>
      </c>
      <c r="B43" s="16">
        <f>'01 Traffic inputs'!B61*'01 Traffic inputs'!$B$20</f>
        <v>61.062500000000028</v>
      </c>
      <c r="C43" s="16">
        <f>'01 Traffic inputs'!$B$8/D43*60</f>
        <v>6.4455071175199947</v>
      </c>
      <c r="D43" s="16">
        <f>'01 Traffic inputs'!C61</f>
        <v>9.6811622207952137</v>
      </c>
      <c r="E43" s="27">
        <f t="shared" ref="E43:E67" si="5">B43*C43/60</f>
        <v>6.559646306059415</v>
      </c>
      <c r="F43" s="27">
        <f>IF(D43&gt;0,INDEX('02 Emission rates'!$D$7:$D$15,MATCH(D43,'02 Emission rates'!$A$7:$A$15,1)),NA())</f>
        <v>6931.8463213424902</v>
      </c>
      <c r="G43" s="27">
        <f t="shared" ref="G43:G67" si="6">E43*F43</f>
        <v>45470.460115965812</v>
      </c>
      <c r="H43" s="27">
        <f>IF(D43&gt;0,INDEX('02 Emission rates'!$E$7:$E$15,MATCH(D43,'02 Emission rates'!$A$7:$A$15,1)),NA())</f>
        <v>4.0758788464844926</v>
      </c>
      <c r="I43" s="27">
        <f t="shared" ref="I43:I67" si="7">E43*H43</f>
        <v>26.736323619287713</v>
      </c>
      <c r="J43" s="27">
        <f>IF(D43&gt;0,INDEX('02 Emission rates'!$F$7:$F$15,MATCH(D43,'02 Emission rates'!$A$7:$A$15,1)),NA())</f>
        <v>62.680628166186985</v>
      </c>
      <c r="K43" s="27">
        <f t="shared" ref="K43:K67" si="8">E43*J43</f>
        <v>411.16275101181219</v>
      </c>
      <c r="L43" s="27">
        <f>IF(D43&gt;0,INDEX('02 Emission rates'!$G$7:$G$15,MATCH(D43,'02 Emission rates'!$A$7:$A$15,1)),NA())</f>
        <v>2.7514068118353263</v>
      </c>
      <c r="M43" s="27">
        <f t="shared" ref="M43:M67" si="9">E43*L43</f>
        <v>18.048255529722312</v>
      </c>
      <c r="N43" s="1"/>
    </row>
    <row r="44" spans="1:14" ht="22.05" customHeight="1">
      <c r="A44" s="19">
        <f>'01 Traffic inputs'!A62</f>
        <v>0.72916666666666663</v>
      </c>
      <c r="B44" s="16">
        <f>'01 Traffic inputs'!B62*'01 Traffic inputs'!$B$20</f>
        <v>62.291666666666657</v>
      </c>
      <c r="C44" s="16">
        <f>'01 Traffic inputs'!$B$8/D44*60</f>
        <v>5.9391581571372436</v>
      </c>
      <c r="D44" s="16">
        <f>'01 Traffic inputs'!C62</f>
        <v>10.50653953793325</v>
      </c>
      <c r="E44" s="27">
        <f t="shared" si="5"/>
        <v>6.1660010034167909</v>
      </c>
      <c r="F44" s="27">
        <f>IF(D44&gt;0,INDEX('02 Emission rates'!$D$7:$D$15,MATCH(D44,'02 Emission rates'!$A$7:$A$15,1)),NA())</f>
        <v>6931.8463213424902</v>
      </c>
      <c r="G44" s="27">
        <f t="shared" si="6"/>
        <v>42741.771372928786</v>
      </c>
      <c r="H44" s="27">
        <f>IF(D44&gt;0,INDEX('02 Emission rates'!$E$7:$E$15,MATCH(D44,'02 Emission rates'!$A$7:$A$15,1)),NA())</f>
        <v>4.0758788464844926</v>
      </c>
      <c r="I44" s="27">
        <f t="shared" si="7"/>
        <v>25.131873057228653</v>
      </c>
      <c r="J44" s="27">
        <f>IF(D44&gt;0,INDEX('02 Emission rates'!$F$7:$F$15,MATCH(D44,'02 Emission rates'!$A$7:$A$15,1)),NA())</f>
        <v>62.680628166186985</v>
      </c>
      <c r="K44" s="27">
        <f t="shared" si="8"/>
        <v>386.48881616750373</v>
      </c>
      <c r="L44" s="27">
        <f>IF(D44&gt;0,INDEX('02 Emission rates'!$G$7:$G$15,MATCH(D44,'02 Emission rates'!$A$7:$A$15,1)),NA())</f>
        <v>2.7514068118353263</v>
      </c>
      <c r="M44" s="27">
        <f t="shared" si="9"/>
        <v>16.965177162584414</v>
      </c>
      <c r="N44" s="1"/>
    </row>
    <row r="45" spans="1:14" ht="22.05" customHeight="1">
      <c r="A45" s="19">
        <f>'01 Traffic inputs'!A63</f>
        <v>0.73263888888888884</v>
      </c>
      <c r="B45" s="16">
        <f>'01 Traffic inputs'!B63*'01 Traffic inputs'!$B$20</f>
        <v>62.208333333333329</v>
      </c>
      <c r="C45" s="16">
        <f>'01 Traffic inputs'!$B$8/D45*60</f>
        <v>5.6026410507663806</v>
      </c>
      <c r="D45" s="16">
        <f>'01 Traffic inputs'!C63</f>
        <v>11.137604468068783</v>
      </c>
      <c r="E45" s="27">
        <f t="shared" si="5"/>
        <v>5.8088493672181984</v>
      </c>
      <c r="F45" s="27">
        <f>IF(D45&gt;0,INDEX('02 Emission rates'!$D$7:$D$15,MATCH(D45,'02 Emission rates'!$A$7:$A$15,1)),NA())</f>
        <v>6931.8463213424902</v>
      </c>
      <c r="G45" s="27">
        <f t="shared" si="6"/>
        <v>40266.051117384122</v>
      </c>
      <c r="H45" s="27">
        <f>IF(D45&gt;0,INDEX('02 Emission rates'!$E$7:$E$15,MATCH(D45,'02 Emission rates'!$A$7:$A$15,1)),NA())</f>
        <v>4.0758788464844926</v>
      </c>
      <c r="I45" s="27">
        <f t="shared" si="7"/>
        <v>23.676166258259485</v>
      </c>
      <c r="J45" s="27">
        <f>IF(D45&gt;0,INDEX('02 Emission rates'!$F$7:$F$15,MATCH(D45,'02 Emission rates'!$A$7:$A$15,1)),NA())</f>
        <v>62.680628166186985</v>
      </c>
      <c r="K45" s="27">
        <f t="shared" si="8"/>
        <v>364.10232725999447</v>
      </c>
      <c r="L45" s="27">
        <f>IF(D45&gt;0,INDEX('02 Emission rates'!$G$7:$G$15,MATCH(D45,'02 Emission rates'!$A$7:$A$15,1)),NA())</f>
        <v>2.7514068118353263</v>
      </c>
      <c r="M45" s="27">
        <f t="shared" si="9"/>
        <v>15.982507717889476</v>
      </c>
      <c r="N45" s="1"/>
    </row>
    <row r="46" spans="1:14" ht="22.05" customHeight="1">
      <c r="A46" s="19">
        <f>'01 Traffic inputs'!A64</f>
        <v>0.73611111111111116</v>
      </c>
      <c r="B46" s="16">
        <f>'01 Traffic inputs'!B64*'01 Traffic inputs'!$B$20</f>
        <v>64.604166666666671</v>
      </c>
      <c r="C46" s="16">
        <f>'01 Traffic inputs'!$B$8/D46*60</f>
        <v>4.9682344270987464</v>
      </c>
      <c r="D46" s="16">
        <f>'01 Traffic inputs'!C64</f>
        <v>12.559793809174254</v>
      </c>
      <c r="E46" s="27">
        <f t="shared" si="5"/>
        <v>5.3494774161226433</v>
      </c>
      <c r="F46" s="27">
        <f>IF(D46&gt;0,INDEX('02 Emission rates'!$D$7:$D$15,MATCH(D46,'02 Emission rates'!$A$7:$A$15,1)),NA())</f>
        <v>6931.8463213424902</v>
      </c>
      <c r="G46" s="27">
        <f t="shared" si="6"/>
        <v>37081.755348054474</v>
      </c>
      <c r="H46" s="27">
        <f>IF(D46&gt;0,INDEX('02 Emission rates'!$E$7:$E$15,MATCH(D46,'02 Emission rates'!$A$7:$A$15,1)),NA())</f>
        <v>4.0758788464844926</v>
      </c>
      <c r="I46" s="27">
        <f t="shared" si="7"/>
        <v>21.803821840120804</v>
      </c>
      <c r="J46" s="27">
        <f>IF(D46&gt;0,INDEX('02 Emission rates'!$F$7:$F$15,MATCH(D46,'02 Emission rates'!$A$7:$A$15,1)),NA())</f>
        <v>62.680628166186985</v>
      </c>
      <c r="K46" s="27">
        <f t="shared" si="8"/>
        <v>335.30860480339811</v>
      </c>
      <c r="L46" s="27">
        <f>IF(D46&gt;0,INDEX('02 Emission rates'!$G$7:$G$15,MATCH(D46,'02 Emission rates'!$A$7:$A$15,1)),NA())</f>
        <v>2.7514068118353263</v>
      </c>
      <c r="M46" s="27">
        <f t="shared" si="9"/>
        <v>14.71858860247908</v>
      </c>
      <c r="N46" s="1"/>
    </row>
    <row r="47" spans="1:14" ht="22.05" customHeight="1">
      <c r="A47" s="19">
        <f>'01 Traffic inputs'!A65</f>
        <v>0.73958333333333337</v>
      </c>
      <c r="B47" s="16">
        <f>'01 Traffic inputs'!B65*'01 Traffic inputs'!$B$20</f>
        <v>69.375000000000028</v>
      </c>
      <c r="C47" s="16">
        <f>'01 Traffic inputs'!$B$8/D47*60</f>
        <v>4.4918864483524796</v>
      </c>
      <c r="D47" s="16">
        <f>'01 Traffic inputs'!C65</f>
        <v>13.891713585700304</v>
      </c>
      <c r="E47" s="27">
        <f t="shared" si="5"/>
        <v>5.193743705907556</v>
      </c>
      <c r="F47" s="27">
        <f>IF(D47&gt;0,INDEX('02 Emission rates'!$D$7:$D$15,MATCH(D47,'02 Emission rates'!$A$7:$A$15,1)),NA())</f>
        <v>6931.8463213424902</v>
      </c>
      <c r="G47" s="27">
        <f t="shared" si="6"/>
        <v>36002.233201791001</v>
      </c>
      <c r="H47" s="27">
        <f>IF(D47&gt;0,INDEX('02 Emission rates'!$E$7:$E$15,MATCH(D47,'02 Emission rates'!$A$7:$A$15,1)),NA())</f>
        <v>4.0758788464844926</v>
      </c>
      <c r="I47" s="27">
        <f t="shared" si="7"/>
        <v>21.169070104970583</v>
      </c>
      <c r="J47" s="27">
        <f>IF(D47&gt;0,INDEX('02 Emission rates'!$F$7:$F$15,MATCH(D47,'02 Emission rates'!$A$7:$A$15,1)),NA())</f>
        <v>62.680628166186985</v>
      </c>
      <c r="K47" s="27">
        <f t="shared" si="8"/>
        <v>325.54711802046552</v>
      </c>
      <c r="L47" s="27">
        <f>IF(D47&gt;0,INDEX('02 Emission rates'!$G$7:$G$15,MATCH(D47,'02 Emission rates'!$A$7:$A$15,1)),NA())</f>
        <v>2.7514068118353263</v>
      </c>
      <c r="M47" s="27">
        <f t="shared" si="9"/>
        <v>14.290101811360902</v>
      </c>
      <c r="N47" s="1"/>
    </row>
    <row r="48" spans="1:14" ht="22.05" customHeight="1">
      <c r="A48" s="19">
        <f>'01 Traffic inputs'!A66</f>
        <v>0.74305555555555547</v>
      </c>
      <c r="B48" s="16">
        <f>'01 Traffic inputs'!B66*'01 Traffic inputs'!$B$20</f>
        <v>72.1458333333333</v>
      </c>
      <c r="C48" s="16">
        <f>'01 Traffic inputs'!$B$8/D48*60</f>
        <v>4.1226121234927655</v>
      </c>
      <c r="D48" s="16">
        <f>'01 Traffic inputs'!C66</f>
        <v>15.136034662202132</v>
      </c>
      <c r="E48" s="27">
        <f t="shared" si="5"/>
        <v>4.9571547859914729</v>
      </c>
      <c r="F48" s="27">
        <f>IF(D48&gt;0,INDEX('02 Emission rates'!$D$7:$D$15,MATCH(D48,'02 Emission rates'!$A$7:$A$15,1)),NA())</f>
        <v>6931.8463213424902</v>
      </c>
      <c r="G48" s="27">
        <f t="shared" si="6"/>
        <v>34362.235167600309</v>
      </c>
      <c r="H48" s="27">
        <f>IF(D48&gt;0,INDEX('02 Emission rates'!$E$7:$E$15,MATCH(D48,'02 Emission rates'!$A$7:$A$15,1)),NA())</f>
        <v>4.0758788464844926</v>
      </c>
      <c r="I48" s="27">
        <f t="shared" si="7"/>
        <v>20.204762330972006</v>
      </c>
      <c r="J48" s="27">
        <f>IF(D48&gt;0,INDEX('02 Emission rates'!$F$7:$F$15,MATCH(D48,'02 Emission rates'!$A$7:$A$15,1)),NA())</f>
        <v>62.680628166186985</v>
      </c>
      <c r="K48" s="27">
        <f t="shared" si="8"/>
        <v>310.71757590296573</v>
      </c>
      <c r="L48" s="27">
        <f>IF(D48&gt;0,INDEX('02 Emission rates'!$G$7:$G$15,MATCH(D48,'02 Emission rates'!$A$7:$A$15,1)),NA())</f>
        <v>2.7514068118353263</v>
      </c>
      <c r="M48" s="27">
        <f t="shared" si="9"/>
        <v>13.639149445499028</v>
      </c>
      <c r="N48" s="1"/>
    </row>
    <row r="49" spans="1:14" ht="22.05" customHeight="1">
      <c r="A49" s="19">
        <f>'01 Traffic inputs'!A67</f>
        <v>0.74652777777777779</v>
      </c>
      <c r="B49" s="16">
        <f>'01 Traffic inputs'!B67*'01 Traffic inputs'!$B$20</f>
        <v>74.833333333333343</v>
      </c>
      <c r="C49" s="16">
        <f>'01 Traffic inputs'!$B$8/D49*60</f>
        <v>3.7434896439995589</v>
      </c>
      <c r="D49" s="16">
        <f>'01 Traffic inputs'!C67</f>
        <v>16.668938860301701</v>
      </c>
      <c r="E49" s="27">
        <f t="shared" si="5"/>
        <v>4.6689634726550064</v>
      </c>
      <c r="F49" s="27">
        <f>IF(D49&gt;0,INDEX('02 Emission rates'!$D$7:$D$15,MATCH(D49,'02 Emission rates'!$A$7:$A$15,1)),NA())</f>
        <v>6931.8463213424902</v>
      </c>
      <c r="G49" s="27">
        <f t="shared" si="6"/>
        <v>32364.537272406065</v>
      </c>
      <c r="H49" s="27">
        <f>IF(D49&gt;0,INDEX('02 Emission rates'!$E$7:$E$15,MATCH(D49,'02 Emission rates'!$A$7:$A$15,1)),NA())</f>
        <v>4.0758788464844926</v>
      </c>
      <c r="I49" s="27">
        <f t="shared" si="7"/>
        <v>19.030129453203319</v>
      </c>
      <c r="J49" s="27">
        <f>IF(D49&gt;0,INDEX('02 Emission rates'!$F$7:$F$15,MATCH(D49,'02 Emission rates'!$A$7:$A$15,1)),NA())</f>
        <v>62.680628166186985</v>
      </c>
      <c r="K49" s="27">
        <f t="shared" si="8"/>
        <v>292.65356335099762</v>
      </c>
      <c r="L49" s="27">
        <f>IF(D49&gt;0,INDEX('02 Emission rates'!$G$7:$G$15,MATCH(D49,'02 Emission rates'!$A$7:$A$15,1)),NA())</f>
        <v>2.7514068118353263</v>
      </c>
      <c r="M49" s="27">
        <f t="shared" si="9"/>
        <v>12.846217902873304</v>
      </c>
      <c r="N49" s="1"/>
    </row>
    <row r="50" spans="1:14" ht="22.05" customHeight="1">
      <c r="A50" s="19">
        <f>'01 Traffic inputs'!A68</f>
        <v>0.75</v>
      </c>
      <c r="B50" s="16">
        <f>'01 Traffic inputs'!B68*'01 Traffic inputs'!$B$20</f>
        <v>75.520833333333343</v>
      </c>
      <c r="C50" s="16">
        <f>'01 Traffic inputs'!$B$8/D50*60</f>
        <v>3.2795874718242222</v>
      </c>
      <c r="D50" s="16">
        <f>'01 Traffic inputs'!C68</f>
        <v>19.026783257374792</v>
      </c>
      <c r="E50" s="27">
        <f t="shared" si="5"/>
        <v>4.1279529810287521</v>
      </c>
      <c r="F50" s="27">
        <f>IF(D50&gt;0,INDEX('02 Emission rates'!$D$7:$D$15,MATCH(D50,'02 Emission rates'!$A$7:$A$15,1)),NA())</f>
        <v>6931.8463213424902</v>
      </c>
      <c r="G50" s="27">
        <f t="shared" si="6"/>
        <v>28614.335686218921</v>
      </c>
      <c r="H50" s="27">
        <f>IF(D50&gt;0,INDEX('02 Emission rates'!$E$7:$E$15,MATCH(D50,'02 Emission rates'!$A$7:$A$15,1)),NA())</f>
        <v>4.0758788464844926</v>
      </c>
      <c r="I50" s="27">
        <f t="shared" si="7"/>
        <v>16.825036234657691</v>
      </c>
      <c r="J50" s="27">
        <f>IF(D50&gt;0,INDEX('02 Emission rates'!$F$7:$F$15,MATCH(D50,'02 Emission rates'!$A$7:$A$15,1)),NA())</f>
        <v>62.680628166186985</v>
      </c>
      <c r="K50" s="27">
        <f t="shared" si="8"/>
        <v>258.74268589136631</v>
      </c>
      <c r="L50" s="27">
        <f>IF(D50&gt;0,INDEX('02 Emission rates'!$G$7:$G$15,MATCH(D50,'02 Emission rates'!$A$7:$A$15,1)),NA())</f>
        <v>2.7514068118353263</v>
      </c>
      <c r="M50" s="27">
        <f t="shared" si="9"/>
        <v>11.35767795093845</v>
      </c>
      <c r="N50" s="1"/>
    </row>
    <row r="51" spans="1:14" ht="22.05" customHeight="1">
      <c r="A51" s="19">
        <f>'01 Traffic inputs'!A69</f>
        <v>0.75347222222222199</v>
      </c>
      <c r="B51" s="16">
        <f>'01 Traffic inputs'!B69*'01 Traffic inputs'!$B$20</f>
        <v>78.208333333333343</v>
      </c>
      <c r="C51" s="16">
        <f>'01 Traffic inputs'!$B$8/D51*60</f>
        <v>2.8675911206694047</v>
      </c>
      <c r="D51" s="16">
        <f>'01 Traffic inputs'!C69</f>
        <v>21.760424472731209</v>
      </c>
      <c r="E51" s="27">
        <f t="shared" si="5"/>
        <v>3.7378253704836619</v>
      </c>
      <c r="F51" s="27">
        <f>IF(D51&gt;0,INDEX('02 Emission rates'!$D$7:$D$15,MATCH(D51,'02 Emission rates'!$A$7:$A$15,1)),NA())</f>
        <v>6931.8463213424902</v>
      </c>
      <c r="G51" s="27">
        <f t="shared" si="6"/>
        <v>25910.031044207804</v>
      </c>
      <c r="H51" s="27">
        <f>IF(D51&gt;0,INDEX('02 Emission rates'!$E$7:$E$15,MATCH(D51,'02 Emission rates'!$A$7:$A$15,1)),NA())</f>
        <v>4.0758788464844926</v>
      </c>
      <c r="I51" s="27">
        <f t="shared" si="7"/>
        <v>15.23492335940742</v>
      </c>
      <c r="J51" s="27">
        <f>IF(D51&gt;0,INDEX('02 Emission rates'!$F$7:$F$15,MATCH(D51,'02 Emission rates'!$A$7:$A$15,1)),NA())</f>
        <v>62.680628166186985</v>
      </c>
      <c r="K51" s="27">
        <f t="shared" si="8"/>
        <v>234.28924219742652</v>
      </c>
      <c r="L51" s="27">
        <f>IF(D51&gt;0,INDEX('02 Emission rates'!$G$7:$G$15,MATCH(D51,'02 Emission rates'!$A$7:$A$15,1)),NA())</f>
        <v>2.7514068118353263</v>
      </c>
      <c r="M51" s="27">
        <f t="shared" si="9"/>
        <v>10.28427818579965</v>
      </c>
      <c r="N51" s="1"/>
    </row>
    <row r="52" spans="1:14" ht="22.05" customHeight="1">
      <c r="A52" s="19">
        <f>'01 Traffic inputs'!A70</f>
        <v>0.75694444444444453</v>
      </c>
      <c r="B52" s="16">
        <f>'01 Traffic inputs'!B70*'01 Traffic inputs'!$B$20</f>
        <v>81.0625</v>
      </c>
      <c r="C52" s="16">
        <f>'01 Traffic inputs'!$B$8/D52*60</f>
        <v>2.6870451958302786</v>
      </c>
      <c r="D52" s="16">
        <f>'01 Traffic inputs'!C70</f>
        <v>23.222534588116616</v>
      </c>
      <c r="E52" s="27">
        <f t="shared" si="5"/>
        <v>3.6303100197831997</v>
      </c>
      <c r="F52" s="27">
        <f>IF(D52&gt;0,INDEX('02 Emission rates'!$D$7:$D$15,MATCH(D52,'02 Emission rates'!$A$7:$A$15,1)),NA())</f>
        <v>6931.8463213424902</v>
      </c>
      <c r="G52" s="27">
        <f t="shared" si="6"/>
        <v>25164.751155966955</v>
      </c>
      <c r="H52" s="27">
        <f>IF(D52&gt;0,INDEX('02 Emission rates'!$E$7:$E$15,MATCH(D52,'02 Emission rates'!$A$7:$A$15,1)),NA())</f>
        <v>4.0758788464844926</v>
      </c>
      <c r="I52" s="27">
        <f t="shared" si="7"/>
        <v>14.796703815815043</v>
      </c>
      <c r="J52" s="27">
        <f>IF(D52&gt;0,INDEX('02 Emission rates'!$F$7:$F$15,MATCH(D52,'02 Emission rates'!$A$7:$A$15,1)),NA())</f>
        <v>62.680628166186985</v>
      </c>
      <c r="K52" s="27">
        <f t="shared" si="8"/>
        <v>227.55011247801366</v>
      </c>
      <c r="L52" s="27">
        <f>IF(D52&gt;0,INDEX('02 Emission rates'!$G$7:$G$15,MATCH(D52,'02 Emission rates'!$A$7:$A$15,1)),NA())</f>
        <v>2.7514068118353263</v>
      </c>
      <c r="M52" s="27">
        <f t="shared" si="9"/>
        <v>9.988459717505533</v>
      </c>
      <c r="N52" s="1"/>
    </row>
    <row r="53" spans="1:14" ht="22.05" customHeight="1">
      <c r="A53" s="19">
        <f>'01 Traffic inputs'!A71</f>
        <v>0.76041666666666663</v>
      </c>
      <c r="B53" s="16">
        <f>'01 Traffic inputs'!B71*'01 Traffic inputs'!$B$20</f>
        <v>83.874999999999986</v>
      </c>
      <c r="C53" s="16">
        <f>'01 Traffic inputs'!$B$8/D53*60</f>
        <v>2.3853145682336083</v>
      </c>
      <c r="D53" s="16">
        <f>'01 Traffic inputs'!C71</f>
        <v>26.160071644642731</v>
      </c>
      <c r="E53" s="27">
        <f t="shared" si="5"/>
        <v>3.3344709901765643</v>
      </c>
      <c r="F53" s="27">
        <f>IF(D53&gt;0,INDEX('02 Emission rates'!$D$7:$D$15,MATCH(D53,'02 Emission rates'!$A$7:$A$15,1)),NA())</f>
        <v>7854.4376436942921</v>
      </c>
      <c r="G53" s="27">
        <f t="shared" si="6"/>
        <v>26190.394467049387</v>
      </c>
      <c r="H53" s="27">
        <f>IF(D53&gt;0,INDEX('02 Emission rates'!$E$7:$E$15,MATCH(D53,'02 Emission rates'!$A$7:$A$15,1)),NA())</f>
        <v>6.0728066686336852</v>
      </c>
      <c r="I53" s="27">
        <f t="shared" si="7"/>
        <v>20.249597665509807</v>
      </c>
      <c r="J53" s="27">
        <f>IF(D53&gt;0,INDEX('02 Emission rates'!$F$7:$F$15,MATCH(D53,'02 Emission rates'!$A$7:$A$15,1)),NA())</f>
        <v>70.349021642583381</v>
      </c>
      <c r="K53" s="27">
        <f t="shared" si="8"/>
        <v>234.57677185449757</v>
      </c>
      <c r="L53" s="27">
        <f>IF(D53&gt;0,INDEX('02 Emission rates'!$G$7:$G$15,MATCH(D53,'02 Emission rates'!$A$7:$A$15,1)),NA())</f>
        <v>3.0627467972070308</v>
      </c>
      <c r="M53" s="27">
        <f t="shared" si="9"/>
        <v>10.212640345543029</v>
      </c>
      <c r="N53" s="1"/>
    </row>
    <row r="54" spans="1:14" ht="22.05" customHeight="1">
      <c r="A54" s="19">
        <f>'01 Traffic inputs'!A72</f>
        <v>0.76388888888888873</v>
      </c>
      <c r="B54" s="16">
        <f>'01 Traffic inputs'!B72*'01 Traffic inputs'!$B$20</f>
        <v>84.979166666666671</v>
      </c>
      <c r="C54" s="16">
        <f>'01 Traffic inputs'!$B$8/D54*60</f>
        <v>2.1593223773893686</v>
      </c>
      <c r="D54" s="16">
        <f>'01 Traffic inputs'!C72</f>
        <v>28.897954586773253</v>
      </c>
      <c r="E54" s="27">
        <f t="shared" si="5"/>
        <v>3.0582902699205676</v>
      </c>
      <c r="F54" s="27">
        <f>IF(D54&gt;0,INDEX('02 Emission rates'!$D$7:$D$15,MATCH(D54,'02 Emission rates'!$A$7:$A$15,1)),NA())</f>
        <v>7854.4376436942921</v>
      </c>
      <c r="G54" s="27">
        <f t="shared" si="6"/>
        <v>24021.150221408083</v>
      </c>
      <c r="H54" s="27">
        <f>IF(D54&gt;0,INDEX('02 Emission rates'!$E$7:$E$15,MATCH(D54,'02 Emission rates'!$A$7:$A$15,1)),NA())</f>
        <v>6.0728066686336852</v>
      </c>
      <c r="I54" s="27">
        <f t="shared" si="7"/>
        <v>18.572405545791135</v>
      </c>
      <c r="J54" s="27">
        <f>IF(D54&gt;0,INDEX('02 Emission rates'!$F$7:$F$15,MATCH(D54,'02 Emission rates'!$A$7:$A$15,1)),NA())</f>
        <v>70.349021642583381</v>
      </c>
      <c r="K54" s="27">
        <f t="shared" si="8"/>
        <v>215.14772838794417</v>
      </c>
      <c r="L54" s="27">
        <f>IF(D54&gt;0,INDEX('02 Emission rates'!$G$7:$G$15,MATCH(D54,'02 Emission rates'!$A$7:$A$15,1)),NA())</f>
        <v>3.0627467972070308</v>
      </c>
      <c r="M54" s="27">
        <f t="shared" si="9"/>
        <v>9.3667687291286441</v>
      </c>
      <c r="N54" s="1"/>
    </row>
    <row r="55" spans="1:14" ht="22.05" customHeight="1">
      <c r="A55" s="19">
        <f>'01 Traffic inputs'!A73</f>
        <v>0.76736111111111116</v>
      </c>
      <c r="B55" s="16">
        <f>'01 Traffic inputs'!B73*'01 Traffic inputs'!$B$20</f>
        <v>86.875000000000014</v>
      </c>
      <c r="C55" s="16">
        <f>'01 Traffic inputs'!$B$8/D55*60</f>
        <v>2.0474659488715594</v>
      </c>
      <c r="D55" s="16">
        <f>'01 Traffic inputs'!C73</f>
        <v>30.476697321580545</v>
      </c>
      <c r="E55" s="27">
        <f t="shared" si="5"/>
        <v>2.9645600718036125</v>
      </c>
      <c r="F55" s="27">
        <f>IF(D55&gt;0,INDEX('02 Emission rates'!$D$7:$D$15,MATCH(D55,'02 Emission rates'!$A$7:$A$15,1)),NA())</f>
        <v>7854.4376436942921</v>
      </c>
      <c r="G55" s="27">
        <f t="shared" si="6"/>
        <v>23284.952224967346</v>
      </c>
      <c r="H55" s="27">
        <f>IF(D55&gt;0,INDEX('02 Emission rates'!$E$7:$E$15,MATCH(D55,'02 Emission rates'!$A$7:$A$15,1)),NA())</f>
        <v>6.0728066686336852</v>
      </c>
      <c r="I55" s="27">
        <f t="shared" si="7"/>
        <v>18.003200173614136</v>
      </c>
      <c r="J55" s="27">
        <f>IF(D55&gt;0,INDEX('02 Emission rates'!$F$7:$F$15,MATCH(D55,'02 Emission rates'!$A$7:$A$15,1)),NA())</f>
        <v>70.349021642583381</v>
      </c>
      <c r="K55" s="27">
        <f t="shared" si="8"/>
        <v>208.55390065205088</v>
      </c>
      <c r="L55" s="27">
        <f>IF(D55&gt;0,INDEX('02 Emission rates'!$G$7:$G$15,MATCH(D55,'02 Emission rates'!$A$7:$A$15,1)),NA())</f>
        <v>3.0627467972070308</v>
      </c>
      <c r="M55" s="27">
        <f t="shared" si="9"/>
        <v>9.0796968650443599</v>
      </c>
      <c r="N55" s="1"/>
    </row>
    <row r="56" spans="1:14" ht="22.05" customHeight="1">
      <c r="A56" s="19">
        <f>'01 Traffic inputs'!A74</f>
        <v>0.77083333333333337</v>
      </c>
      <c r="B56" s="16">
        <f>'01 Traffic inputs'!B74*'01 Traffic inputs'!$B$20</f>
        <v>87.562500000000014</v>
      </c>
      <c r="C56" s="16">
        <f>'01 Traffic inputs'!$B$8/D56*60</f>
        <v>1.800053693510715</v>
      </c>
      <c r="D56" s="16">
        <f>'01 Traffic inputs'!C74</f>
        <v>34.665632600269866</v>
      </c>
      <c r="E56" s="27">
        <f t="shared" si="5"/>
        <v>2.6269533589671998</v>
      </c>
      <c r="F56" s="27">
        <f>IF(D56&gt;0,INDEX('02 Emission rates'!$D$7:$D$15,MATCH(D56,'02 Emission rates'!$A$7:$A$15,1)),NA())</f>
        <v>9725.5949630613486</v>
      </c>
      <c r="G56" s="27">
        <f t="shared" si="6"/>
        <v>25548.684356168491</v>
      </c>
      <c r="H56" s="27">
        <f>IF(D56&gt;0,INDEX('02 Emission rates'!$E$7:$E$15,MATCH(D56,'02 Emission rates'!$A$7:$A$15,1)),NA())</f>
        <v>9.2521191106683567</v>
      </c>
      <c r="I56" s="27">
        <f t="shared" si="7"/>
        <v>24.304885375334862</v>
      </c>
      <c r="J56" s="27">
        <f>IF(D56&gt;0,INDEX('02 Emission rates'!$F$7:$F$15,MATCH(D56,'02 Emission rates'!$A$7:$A$15,1)),NA())</f>
        <v>91.70580434039428</v>
      </c>
      <c r="K56" s="27">
        <f t="shared" si="8"/>
        <v>240.90687074878758</v>
      </c>
      <c r="L56" s="27">
        <f>IF(D56&gt;0,INDEX('02 Emission rates'!$G$7:$G$15,MATCH(D56,'02 Emission rates'!$A$7:$A$15,1)),NA())</f>
        <v>3.6129593672116069</v>
      </c>
      <c r="M56" s="27">
        <f t="shared" si="9"/>
        <v>9.4910757455085388</v>
      </c>
      <c r="N56" s="1"/>
    </row>
    <row r="57" spans="1:14" ht="22.05" customHeight="1">
      <c r="A57" s="19">
        <f>'01 Traffic inputs'!A75</f>
        <v>0.77430555555555536</v>
      </c>
      <c r="B57" s="16">
        <f>'01 Traffic inputs'!B75*'01 Traffic inputs'!$B$20</f>
        <v>89.416666666666657</v>
      </c>
      <c r="C57" s="16">
        <f>'01 Traffic inputs'!$B$8/D57*60</f>
        <v>1.6442664690263227</v>
      </c>
      <c r="D57" s="16">
        <f>'01 Traffic inputs'!C75</f>
        <v>37.950053215493917</v>
      </c>
      <c r="E57" s="27">
        <f t="shared" si="5"/>
        <v>2.4504137795350611</v>
      </c>
      <c r="F57" s="27">
        <f>IF(D57&gt;0,INDEX('02 Emission rates'!$D$7:$D$15,MATCH(D57,'02 Emission rates'!$A$7:$A$15,1)),NA())</f>
        <v>9725.5949630613486</v>
      </c>
      <c r="G57" s="27">
        <f t="shared" si="6"/>
        <v>23831.731911662311</v>
      </c>
      <c r="H57" s="27">
        <f>IF(D57&gt;0,INDEX('02 Emission rates'!$E$7:$E$15,MATCH(D57,'02 Emission rates'!$A$7:$A$15,1)),NA())</f>
        <v>9.2521191106683567</v>
      </c>
      <c r="I57" s="27">
        <f t="shared" si="7"/>
        <v>22.671520158681417</v>
      </c>
      <c r="J57" s="27">
        <f>IF(D57&gt;0,INDEX('02 Emission rates'!$F$7:$F$15,MATCH(D57,'02 Emission rates'!$A$7:$A$15,1)),NA())</f>
        <v>91.70580434039428</v>
      </c>
      <c r="K57" s="27">
        <f t="shared" si="8"/>
        <v>224.71716661904836</v>
      </c>
      <c r="L57" s="27">
        <f>IF(D57&gt;0,INDEX('02 Emission rates'!$G$7:$G$15,MATCH(D57,'02 Emission rates'!$A$7:$A$15,1)),NA())</f>
        <v>3.6129593672116069</v>
      </c>
      <c r="M57" s="27">
        <f t="shared" si="9"/>
        <v>8.8532454183155966</v>
      </c>
      <c r="N57" s="1"/>
    </row>
    <row r="58" spans="1:14" ht="22.05" customHeight="1">
      <c r="A58" s="19">
        <f>'01 Traffic inputs'!A76</f>
        <v>0.77777777777777779</v>
      </c>
      <c r="B58" s="16">
        <f>'01 Traffic inputs'!B76*'01 Traffic inputs'!$B$20</f>
        <v>90.041666666666657</v>
      </c>
      <c r="C58" s="16">
        <f>'01 Traffic inputs'!$B$8/D58*60</f>
        <v>1.5259107266118548</v>
      </c>
      <c r="D58" s="16">
        <f>'01 Traffic inputs'!C76</f>
        <v>40.893611213124323</v>
      </c>
      <c r="E58" s="27">
        <f t="shared" si="5"/>
        <v>2.289925750144596</v>
      </c>
      <c r="F58" s="27">
        <f>IF(D58&gt;0,INDEX('02 Emission rates'!$D$7:$D$15,MATCH(D58,'02 Emission rates'!$A$7:$A$15,1)),NA())</f>
        <v>9725.5949630613486</v>
      </c>
      <c r="G58" s="27">
        <f t="shared" si="6"/>
        <v>22270.890341390765</v>
      </c>
      <c r="H58" s="27">
        <f>IF(D58&gt;0,INDEX('02 Emission rates'!$E$7:$E$15,MATCH(D58,'02 Emission rates'!$A$7:$A$15,1)),NA())</f>
        <v>9.2521191106683567</v>
      </c>
      <c r="I58" s="27">
        <f t="shared" si="7"/>
        <v>21.186665794924387</v>
      </c>
      <c r="J58" s="27">
        <f>IF(D58&gt;0,INDEX('02 Emission rates'!$F$7:$F$15,MATCH(D58,'02 Emission rates'!$A$7:$A$15,1)),NA())</f>
        <v>91.70580434039428</v>
      </c>
      <c r="K58" s="27">
        <f t="shared" si="8"/>
        <v>209.99948279679091</v>
      </c>
      <c r="L58" s="27">
        <f>IF(D58&gt;0,INDEX('02 Emission rates'!$G$7:$G$15,MATCH(D58,'02 Emission rates'!$A$7:$A$15,1)),NA())</f>
        <v>3.6129593672116069</v>
      </c>
      <c r="M58" s="27">
        <f t="shared" si="9"/>
        <v>8.2734086892039844</v>
      </c>
      <c r="N58" s="1"/>
    </row>
    <row r="59" spans="1:14" ht="22.05" customHeight="1">
      <c r="A59" s="19">
        <f>'01 Traffic inputs'!A77</f>
        <v>0.78125</v>
      </c>
      <c r="B59" s="16">
        <f>'01 Traffic inputs'!B77*'01 Traffic inputs'!$B$20</f>
        <v>91.604166666666643</v>
      </c>
      <c r="C59" s="16">
        <f>'01 Traffic inputs'!$B$8/D59*60</f>
        <v>1.4830311529590439</v>
      </c>
      <c r="D59" s="16">
        <f>'01 Traffic inputs'!C77</f>
        <v>42.075987328719656</v>
      </c>
      <c r="E59" s="27">
        <f t="shared" si="5"/>
        <v>2.2641972151253174</v>
      </c>
      <c r="F59" s="27">
        <f>IF(D59&gt;0,INDEX('02 Emission rates'!$D$7:$D$15,MATCH(D59,'02 Emission rates'!$A$7:$A$15,1)),NA())</f>
        <v>9725.5949630613486</v>
      </c>
      <c r="G59" s="27">
        <f t="shared" si="6"/>
        <v>22020.665030800319</v>
      </c>
      <c r="H59" s="27">
        <f>IF(D59&gt;0,INDEX('02 Emission rates'!$E$7:$E$15,MATCH(D59,'02 Emission rates'!$A$7:$A$15,1)),NA())</f>
        <v>9.2521191106683567</v>
      </c>
      <c r="I59" s="27">
        <f t="shared" si="7"/>
        <v>20.94862232438302</v>
      </c>
      <c r="J59" s="27">
        <f>IF(D59&gt;0,INDEX('02 Emission rates'!$F$7:$F$15,MATCH(D59,'02 Emission rates'!$A$7:$A$15,1)),NA())</f>
        <v>91.70580434039428</v>
      </c>
      <c r="K59" s="27">
        <f t="shared" si="8"/>
        <v>207.64002679834798</v>
      </c>
      <c r="L59" s="27">
        <f>IF(D59&gt;0,INDEX('02 Emission rates'!$G$7:$G$15,MATCH(D59,'02 Emission rates'!$A$7:$A$15,1)),NA())</f>
        <v>3.6129593672116069</v>
      </c>
      <c r="M59" s="27">
        <f t="shared" si="9"/>
        <v>8.1804525376014485</v>
      </c>
      <c r="N59" s="1"/>
    </row>
    <row r="60" spans="1:14" ht="22.05" customHeight="1">
      <c r="A60" s="19">
        <f>'01 Traffic inputs'!A78</f>
        <v>0.78472222222222199</v>
      </c>
      <c r="B60" s="16">
        <f>'01 Traffic inputs'!B78*'01 Traffic inputs'!$B$20</f>
        <v>95.875000000000057</v>
      </c>
      <c r="C60" s="16">
        <f>'01 Traffic inputs'!$B$8/D60*60</f>
        <v>1.3688409423130912</v>
      </c>
      <c r="D60" s="16">
        <f>'01 Traffic inputs'!C78</f>
        <v>45.586012275872335</v>
      </c>
      <c r="E60" s="27">
        <f t="shared" si="5"/>
        <v>2.1872937557377949</v>
      </c>
      <c r="F60" s="27">
        <f>IF(D60&gt;0,INDEX('02 Emission rates'!$D$7:$D$15,MATCH(D60,'02 Emission rates'!$A$7:$A$15,1)),NA())</f>
        <v>9725.5949630613486</v>
      </c>
      <c r="G60" s="27">
        <f t="shared" si="6"/>
        <v>21272.733133539037</v>
      </c>
      <c r="H60" s="27">
        <f>IF(D60&gt;0,INDEX('02 Emission rates'!$E$7:$E$15,MATCH(D60,'02 Emission rates'!$A$7:$A$15,1)),NA())</f>
        <v>9.2521191106683567</v>
      </c>
      <c r="I60" s="27">
        <f t="shared" si="7"/>
        <v>20.237102358107219</v>
      </c>
      <c r="J60" s="27">
        <f>IF(D60&gt;0,INDEX('02 Emission rates'!$F$7:$F$15,MATCH(D60,'02 Emission rates'!$A$7:$A$15,1)),NA())</f>
        <v>91.70580434039428</v>
      </c>
      <c r="K60" s="27">
        <f t="shared" si="8"/>
        <v>200.58753319865639</v>
      </c>
      <c r="L60" s="27">
        <f>IF(D60&gt;0,INDEX('02 Emission rates'!$G$7:$G$15,MATCH(D60,'02 Emission rates'!$A$7:$A$15,1)),NA())</f>
        <v>3.6129593672116069</v>
      </c>
      <c r="M60" s="27">
        <f t="shared" si="9"/>
        <v>7.9026034636363232</v>
      </c>
      <c r="N60" s="1"/>
    </row>
    <row r="61" spans="1:14" ht="22.05" customHeight="1">
      <c r="A61" s="19">
        <f>'01 Traffic inputs'!A79</f>
        <v>0.78819444444444453</v>
      </c>
      <c r="B61" s="16">
        <f>'01 Traffic inputs'!B79*'01 Traffic inputs'!$B$20</f>
        <v>97.666666666666544</v>
      </c>
      <c r="C61" s="16">
        <f>'01 Traffic inputs'!$B$8/D61*60</f>
        <v>1.3057269664700903</v>
      </c>
      <c r="D61" s="16">
        <f>'01 Traffic inputs'!C79</f>
        <v>47.789470235644849</v>
      </c>
      <c r="E61" s="27">
        <f t="shared" si="5"/>
        <v>2.1254333398651997</v>
      </c>
      <c r="F61" s="27">
        <f>IF(D61&gt;0,INDEX('02 Emission rates'!$D$7:$D$15,MATCH(D61,'02 Emission rates'!$A$7:$A$15,1)),NA())</f>
        <v>12537.329389053953</v>
      </c>
      <c r="G61" s="27">
        <f t="shared" si="6"/>
        <v>26647.257876367068</v>
      </c>
      <c r="H61" s="27">
        <f>IF(D61&gt;0,INDEX('02 Emission rates'!$E$7:$E$15,MATCH(D61,'02 Emission rates'!$A$7:$A$15,1)),NA())</f>
        <v>15.864045153632283</v>
      </c>
      <c r="I61" s="27">
        <f t="shared" si="7"/>
        <v>33.717970474657001</v>
      </c>
      <c r="J61" s="27">
        <f>IF(D61&gt;0,INDEX('02 Emission rates'!$F$7:$F$15,MATCH(D61,'02 Emission rates'!$A$7:$A$15,1)),NA())</f>
        <v>136.02153223377903</v>
      </c>
      <c r="K61" s="27">
        <f t="shared" si="8"/>
        <v>289.10469954922286</v>
      </c>
      <c r="L61" s="27">
        <f>IF(D61&gt;0,INDEX('02 Emission rates'!$G$7:$G$15,MATCH(D61,'02 Emission rates'!$A$7:$A$15,1)),NA())</f>
        <v>4.8429827864262895</v>
      </c>
      <c r="M61" s="27">
        <f t="shared" si="9"/>
        <v>10.2934370786637</v>
      </c>
      <c r="N61" s="1"/>
    </row>
    <row r="62" spans="1:14" ht="22.05" customHeight="1">
      <c r="A62" s="19">
        <f>'01 Traffic inputs'!A80</f>
        <v>0.79166666666666663</v>
      </c>
      <c r="B62" s="16">
        <f>'01 Traffic inputs'!B80*'01 Traffic inputs'!$B$20</f>
        <v>98.479166666666657</v>
      </c>
      <c r="C62" s="16">
        <f>'01 Traffic inputs'!$B$8/D62*60</f>
        <v>1.2310366032301203</v>
      </c>
      <c r="D62" s="16">
        <f>'01 Traffic inputs'!C80</f>
        <v>50.688988317869423</v>
      </c>
      <c r="E62" s="27">
        <f t="shared" si="5"/>
        <v>2.0205243137044366</v>
      </c>
      <c r="F62" s="27">
        <f>IF(D62&gt;0,INDEX('02 Emission rates'!$D$7:$D$15,MATCH(D62,'02 Emission rates'!$A$7:$A$15,1)),NA())</f>
        <v>15845.527995946721</v>
      </c>
      <c r="G62" s="27">
        <f t="shared" si="6"/>
        <v>32016.274579294684</v>
      </c>
      <c r="H62" s="27">
        <f>IF(D62&gt;0,INDEX('02 Emission rates'!$E$7:$E$15,MATCH(D62,'02 Emission rates'!$A$7:$A$15,1)),NA())</f>
        <v>20.885654518874212</v>
      </c>
      <c r="I62" s="27">
        <f t="shared" si="7"/>
        <v>42.199972763016284</v>
      </c>
      <c r="J62" s="27">
        <f>IF(D62&gt;0,INDEX('02 Emission rates'!$F$7:$F$15,MATCH(D62,'02 Emission rates'!$A$7:$A$15,1)),NA())</f>
        <v>98.655405882152721</v>
      </c>
      <c r="K62" s="27">
        <f t="shared" si="8"/>
        <v>199.33564626326927</v>
      </c>
      <c r="L62" s="27">
        <f>IF(D62&gt;0,INDEX('02 Emission rates'!$G$7:$G$15,MATCH(D62,'02 Emission rates'!$A$7:$A$15,1)),NA())</f>
        <v>4.4998305826136002</v>
      </c>
      <c r="M62" s="27">
        <f t="shared" si="9"/>
        <v>9.0920170997215806</v>
      </c>
      <c r="N62" s="1"/>
    </row>
    <row r="63" spans="1:14" ht="22.05" customHeight="1">
      <c r="A63" s="19">
        <f>'01 Traffic inputs'!A81</f>
        <v>0.79513888888888873</v>
      </c>
      <c r="B63" s="16">
        <f>'01 Traffic inputs'!B81*'01 Traffic inputs'!$B$20</f>
        <v>96.854166666666643</v>
      </c>
      <c r="C63" s="16">
        <f>'01 Traffic inputs'!$B$8/D63*60</f>
        <v>1.177890965546075</v>
      </c>
      <c r="D63" s="16">
        <f>'01 Traffic inputs'!C81</f>
        <v>52.976040928433761</v>
      </c>
      <c r="E63" s="27">
        <f t="shared" si="5"/>
        <v>1.9013941315360074</v>
      </c>
      <c r="F63" s="27">
        <f>IF(D63&gt;0,INDEX('02 Emission rates'!$D$7:$D$15,MATCH(D63,'02 Emission rates'!$A$7:$A$15,1)),NA())</f>
        <v>15845.527995946721</v>
      </c>
      <c r="G63" s="27">
        <f t="shared" si="6"/>
        <v>30128.593942582607</v>
      </c>
      <c r="H63" s="27">
        <f>IF(D63&gt;0,INDEX('02 Emission rates'!$E$7:$E$15,MATCH(D63,'02 Emission rates'!$A$7:$A$15,1)),NA())</f>
        <v>20.885654518874212</v>
      </c>
      <c r="I63" s="27">
        <f t="shared" si="7"/>
        <v>39.711860935475919</v>
      </c>
      <c r="J63" s="27">
        <f>IF(D63&gt;0,INDEX('02 Emission rates'!$F$7:$F$15,MATCH(D63,'02 Emission rates'!$A$7:$A$15,1)),NA())</f>
        <v>98.655405882152721</v>
      </c>
      <c r="K63" s="27">
        <f t="shared" si="8"/>
        <v>187.58280978862808</v>
      </c>
      <c r="L63" s="27">
        <f>IF(D63&gt;0,INDEX('02 Emission rates'!$G$7:$G$15,MATCH(D63,'02 Emission rates'!$A$7:$A$15,1)),NA())</f>
        <v>4.4998305826136002</v>
      </c>
      <c r="M63" s="27">
        <f t="shared" si="9"/>
        <v>8.5559514626877533</v>
      </c>
      <c r="N63" s="1"/>
    </row>
    <row r="64" spans="1:14" ht="22.05" customHeight="1">
      <c r="A64" s="19">
        <f>'01 Traffic inputs'!A82</f>
        <v>0.79861111111111116</v>
      </c>
      <c r="B64" s="16">
        <f>'01 Traffic inputs'!B82*'01 Traffic inputs'!$B$20</f>
        <v>98.4375</v>
      </c>
      <c r="C64" s="16">
        <f>'01 Traffic inputs'!$B$8/D64*60</f>
        <v>1.0850901807466982</v>
      </c>
      <c r="D64" s="16">
        <f>'01 Traffic inputs'!C82</f>
        <v>57.506741013047467</v>
      </c>
      <c r="E64" s="27">
        <f t="shared" si="5"/>
        <v>1.7802260777875518</v>
      </c>
      <c r="F64" s="27">
        <f>IF(D64&gt;0,INDEX('02 Emission rates'!$D$7:$D$15,MATCH(D64,'02 Emission rates'!$A$7:$A$15,1)),NA())</f>
        <v>15845.527995946721</v>
      </c>
      <c r="G64" s="27">
        <f t="shared" si="6"/>
        <v>28208.622154697077</v>
      </c>
      <c r="H64" s="27">
        <f>IF(D64&gt;0,INDEX('02 Emission rates'!$E$7:$E$15,MATCH(D64,'02 Emission rates'!$A$7:$A$15,1)),NA())</f>
        <v>20.885654518874212</v>
      </c>
      <c r="I64" s="27">
        <f t="shared" si="7"/>
        <v>37.181186826161294</v>
      </c>
      <c r="J64" s="27">
        <f>IF(D64&gt;0,INDEX('02 Emission rates'!$F$7:$F$15,MATCH(D64,'02 Emission rates'!$A$7:$A$15,1)),NA())</f>
        <v>98.655405882152721</v>
      </c>
      <c r="K64" s="27">
        <f t="shared" si="8"/>
        <v>175.6289262661237</v>
      </c>
      <c r="L64" s="27">
        <f>IF(D64&gt;0,INDEX('02 Emission rates'!$G$7:$G$15,MATCH(D64,'02 Emission rates'!$A$7:$A$15,1)),NA())</f>
        <v>4.4998305826136002</v>
      </c>
      <c r="M64" s="27">
        <f t="shared" si="9"/>
        <v>8.0107157487946843</v>
      </c>
      <c r="N64" s="1"/>
    </row>
    <row r="65" spans="1:14" ht="22.05" customHeight="1">
      <c r="A65" s="19">
        <f>'01 Traffic inputs'!A83</f>
        <v>0.80208333333333337</v>
      </c>
      <c r="B65" s="16">
        <f>'01 Traffic inputs'!B83*'01 Traffic inputs'!$B$20</f>
        <v>96.520833333333314</v>
      </c>
      <c r="C65" s="16">
        <f>'01 Traffic inputs'!$B$8/D65*60</f>
        <v>1.0394060129223792</v>
      </c>
      <c r="D65" s="16">
        <f>'01 Traffic inputs'!C83</f>
        <v>60.034288068584743</v>
      </c>
      <c r="E65" s="27">
        <f t="shared" si="5"/>
        <v>1.6720722423157577</v>
      </c>
      <c r="F65" s="27">
        <f>IF(D65&gt;0,INDEX('02 Emission rates'!$D$7:$D$15,MATCH(D65,'02 Emission rates'!$A$7:$A$15,1)),NA())</f>
        <v>15845.527995946721</v>
      </c>
      <c r="G65" s="27">
        <f t="shared" si="6"/>
        <v>26494.867526859747</v>
      </c>
      <c r="H65" s="27">
        <f>IF(D65&gt;0,INDEX('02 Emission rates'!$E$7:$E$15,MATCH(D65,'02 Emission rates'!$A$7:$A$15,1)),NA())</f>
        <v>20.885654518874212</v>
      </c>
      <c r="I65" s="27">
        <f t="shared" si="7"/>
        <v>34.922323183606238</v>
      </c>
      <c r="J65" s="27">
        <f>IF(D65&gt;0,INDEX('02 Emission rates'!$F$7:$F$15,MATCH(D65,'02 Emission rates'!$A$7:$A$15,1)),NA())</f>
        <v>98.655405882152721</v>
      </c>
      <c r="K65" s="27">
        <f t="shared" si="8"/>
        <v>164.95896572994229</v>
      </c>
      <c r="L65" s="27">
        <f>IF(D65&gt;0,INDEX('02 Emission rates'!$G$7:$G$15,MATCH(D65,'02 Emission rates'!$A$7:$A$15,1)),NA())</f>
        <v>4.4998305826136002</v>
      </c>
      <c r="M65" s="27">
        <f t="shared" si="9"/>
        <v>7.5240418123117445</v>
      </c>
      <c r="N65" s="1"/>
    </row>
    <row r="66" spans="1:14" ht="22.05" customHeight="1">
      <c r="A66" s="19">
        <f>'01 Traffic inputs'!A84</f>
        <v>0.80555555555555536</v>
      </c>
      <c r="B66" s="16">
        <f>'01 Traffic inputs'!B84*'01 Traffic inputs'!$B$20</f>
        <v>93.687500000000043</v>
      </c>
      <c r="C66" s="16">
        <f>'01 Traffic inputs'!$B$8/D66*60</f>
        <v>0.99688783017442639</v>
      </c>
      <c r="D66" s="16">
        <f>'01 Traffic inputs'!C84</f>
        <v>62.594805665430833</v>
      </c>
      <c r="E66" s="27">
        <f t="shared" si="5"/>
        <v>1.5565988098244437</v>
      </c>
      <c r="F66" s="27">
        <f>IF(D66&gt;0,INDEX('02 Emission rates'!$D$7:$D$15,MATCH(D66,'02 Emission rates'!$A$7:$A$15,1)),NA())</f>
        <v>15845.527995946721</v>
      </c>
      <c r="G66" s="27">
        <f t="shared" si="6"/>
        <v>24665.130019530567</v>
      </c>
      <c r="H66" s="27">
        <f>IF(D66&gt;0,INDEX('02 Emission rates'!$E$7:$E$15,MATCH(D66,'02 Emission rates'!$A$7:$A$15,1)),NA())</f>
        <v>20.885654518874212</v>
      </c>
      <c r="I66" s="27">
        <f t="shared" si="7"/>
        <v>32.51058496648411</v>
      </c>
      <c r="J66" s="27">
        <f>IF(D66&gt;0,INDEX('02 Emission rates'!$F$7:$F$15,MATCH(D66,'02 Emission rates'!$A$7:$A$15,1)),NA())</f>
        <v>98.655405882152721</v>
      </c>
      <c r="K66" s="27">
        <f t="shared" si="8"/>
        <v>153.56688737890633</v>
      </c>
      <c r="L66" s="27">
        <f>IF(D66&gt;0,INDEX('02 Emission rates'!$G$7:$G$15,MATCH(D66,'02 Emission rates'!$A$7:$A$15,1)),NA())</f>
        <v>4.4998305826136002</v>
      </c>
      <c r="M66" s="27">
        <f t="shared" si="9"/>
        <v>7.0044309293079632</v>
      </c>
      <c r="N66" s="1"/>
    </row>
    <row r="67" spans="1:14" ht="22.05" customHeight="1">
      <c r="A67" s="20">
        <f>'01 Traffic inputs'!A85</f>
        <v>0.80902777777777779</v>
      </c>
      <c r="B67" s="17">
        <f>'01 Traffic inputs'!B85*'01 Traffic inputs'!$B$20</f>
        <v>87.625000000000043</v>
      </c>
      <c r="C67" s="17">
        <f>'01 Traffic inputs'!$B$8/D67*60</f>
        <v>0.99670803948361297</v>
      </c>
      <c r="D67" s="17">
        <f>'01 Traffic inputs'!C85</f>
        <v>62.606096798747807</v>
      </c>
      <c r="E67" s="28">
        <f t="shared" si="5"/>
        <v>1.4556090326625271</v>
      </c>
      <c r="F67" s="28">
        <f>IF(D67&gt;0,INDEX('02 Emission rates'!$D$7:$D$15,MATCH(D67,'02 Emission rates'!$A$7:$A$15,1)),NA())</f>
        <v>15845.527995946721</v>
      </c>
      <c r="G67" s="28">
        <f t="shared" si="6"/>
        <v>23064.893678206998</v>
      </c>
      <c r="H67" s="28">
        <f>IF(D67&gt;0,INDEX('02 Emission rates'!$E$7:$E$15,MATCH(D67,'02 Emission rates'!$A$7:$A$15,1)),NA())</f>
        <v>20.885654518874212</v>
      </c>
      <c r="I67" s="28">
        <f t="shared" si="7"/>
        <v>30.401347370742229</v>
      </c>
      <c r="J67" s="28">
        <f>IF(D67&gt;0,INDEX('02 Emission rates'!$F$7:$F$15,MATCH(D67,'02 Emission rates'!$A$7:$A$15,1)),NA())</f>
        <v>98.655405882152721</v>
      </c>
      <c r="K67" s="28">
        <f t="shared" si="8"/>
        <v>143.60369992304931</v>
      </c>
      <c r="L67" s="28">
        <f>IF(D67&gt;0,INDEX('02 Emission rates'!$G$7:$G$15,MATCH(D67,'02 Emission rates'!$A$7:$A$15,1)),NA())</f>
        <v>4.4998305826136002</v>
      </c>
      <c r="M67" s="28">
        <f t="shared" si="9"/>
        <v>6.5499940415034379</v>
      </c>
      <c r="N67" s="1"/>
    </row>
    <row r="68" spans="1:14" ht="22.05" customHeight="1">
      <c r="A68" s="1"/>
      <c r="B68" s="1"/>
      <c r="C68" s="1"/>
      <c r="D68" s="1"/>
      <c r="E68" s="29"/>
      <c r="F68" s="29"/>
      <c r="G68" s="29"/>
      <c r="H68" s="29"/>
      <c r="I68" s="29"/>
      <c r="J68" s="29"/>
      <c r="K68" s="29"/>
      <c r="L68" s="29"/>
      <c r="M68" s="29"/>
      <c r="N68" s="1"/>
    </row>
    <row r="69" spans="1:14" ht="28.95" customHeight="1">
      <c r="A69" s="21" t="s">
        <v>78</v>
      </c>
      <c r="B69" s="21">
        <f>SUM(B11:B67)</f>
        <v>4789.2500000000009</v>
      </c>
      <c r="C69" s="21">
        <f>E69/B69*60</f>
        <v>2.6488567906620268</v>
      </c>
      <c r="D69" s="21">
        <f>B69*'01 Traffic inputs'!$B$8/E69</f>
        <v>23.557332438650121</v>
      </c>
      <c r="E69" s="30">
        <f>SUM(E11:E67)</f>
        <v>211.43395641130192</v>
      </c>
      <c r="F69" s="30">
        <f>G69/E69</f>
        <v>8247.4331027028111</v>
      </c>
      <c r="G69" s="30">
        <f>SUM(G11:G67)</f>
        <v>1743787.4111419949</v>
      </c>
      <c r="H69" s="30">
        <f>I69/E69</f>
        <v>6.6253226652476513</v>
      </c>
      <c r="I69" s="30">
        <f>SUM(I11:I67)</f>
        <v>1400.8181836147826</v>
      </c>
      <c r="J69" s="30">
        <f>K69/E69</f>
        <v>73.363240961348012</v>
      </c>
      <c r="K69" s="30">
        <f>SUM(K11:K67)</f>
        <v>15511.480291613496</v>
      </c>
      <c r="L69" s="30">
        <f>M69/E69</f>
        <v>3.1152097298967116</v>
      </c>
      <c r="M69" s="30">
        <f>SUM(M11:M67)</f>
        <v>658.66111824304494</v>
      </c>
      <c r="N69" s="1"/>
    </row>
    <row r="70" spans="1:14" ht="22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22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22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22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</sheetData>
  <mergeCells count="4">
    <mergeCell ref="A1:H1"/>
    <mergeCell ref="A2:H3"/>
    <mergeCell ref="A6:H7"/>
    <mergeCell ref="A8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24D"/>
  </sheetPr>
  <dimension ref="A1:N71"/>
  <sheetViews>
    <sheetView showGridLines="0" workbookViewId="0">
      <selection activeCell="B8" sqref="B8"/>
    </sheetView>
  </sheetViews>
  <sheetFormatPr defaultRowHeight="13.8"/>
  <cols>
    <col min="1" max="14" width="15" customWidth="1"/>
  </cols>
  <sheetData>
    <row r="1" spans="1:14" ht="31.05" customHeight="1">
      <c r="A1" s="31" t="s">
        <v>79</v>
      </c>
      <c r="B1" s="31"/>
      <c r="C1" s="31"/>
      <c r="D1" s="31"/>
      <c r="E1" s="31"/>
      <c r="F1" s="31"/>
      <c r="G1" s="31"/>
      <c r="H1" s="31"/>
      <c r="I1" s="1"/>
      <c r="J1" s="1"/>
      <c r="K1" s="1"/>
      <c r="L1" s="1"/>
      <c r="M1" s="1"/>
      <c r="N1" s="1"/>
    </row>
    <row r="2" spans="1:14" ht="22.95" customHeight="1">
      <c r="A2" s="32" t="s">
        <v>64</v>
      </c>
      <c r="B2" s="32"/>
      <c r="C2" s="32"/>
      <c r="D2" s="32"/>
      <c r="E2" s="32"/>
      <c r="F2" s="32"/>
      <c r="G2" s="32"/>
      <c r="H2" s="32"/>
      <c r="I2" s="1"/>
      <c r="J2" s="1"/>
      <c r="K2" s="1"/>
      <c r="L2" s="1"/>
      <c r="M2" s="1"/>
      <c r="N2" s="1"/>
    </row>
    <row r="3" spans="1:14" ht="22.95" customHeight="1">
      <c r="A3" s="32"/>
      <c r="B3" s="32"/>
      <c r="C3" s="32"/>
      <c r="D3" s="32"/>
      <c r="E3" s="32"/>
      <c r="F3" s="32"/>
      <c r="G3" s="32"/>
      <c r="H3" s="32"/>
      <c r="I3" s="1"/>
      <c r="J3" s="1"/>
      <c r="K3" s="1"/>
      <c r="L3" s="1"/>
      <c r="M3" s="1"/>
      <c r="N3" s="1"/>
    </row>
    <row r="4" spans="1:14" ht="22.05" customHeight="1">
      <c r="A4" s="1" t="s">
        <v>80</v>
      </c>
      <c r="B4" s="1">
        <f>'03 Recorded O'!D69</f>
        <v>23.557332438650121</v>
      </c>
      <c r="C4" s="1" t="s">
        <v>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.05" customHeight="1">
      <c r="A5" s="32" t="s">
        <v>81</v>
      </c>
      <c r="B5" s="32"/>
      <c r="C5" s="32"/>
      <c r="D5" s="32"/>
      <c r="E5" s="32"/>
      <c r="F5" s="32"/>
      <c r="G5" s="32"/>
      <c r="H5" s="32"/>
      <c r="I5" s="1"/>
      <c r="J5" s="1"/>
      <c r="K5" s="1"/>
      <c r="L5" s="1"/>
      <c r="M5" s="1"/>
      <c r="N5" s="1"/>
    </row>
    <row r="6" spans="1:14" ht="22.05" customHeight="1">
      <c r="A6" s="32"/>
      <c r="B6" s="32"/>
      <c r="C6" s="32"/>
      <c r="D6" s="32"/>
      <c r="E6" s="32"/>
      <c r="F6" s="32"/>
      <c r="G6" s="32"/>
      <c r="H6" s="32"/>
      <c r="I6" s="1"/>
      <c r="J6" s="1"/>
      <c r="K6" s="1"/>
      <c r="L6" s="1"/>
      <c r="M6" s="1"/>
      <c r="N6" s="1"/>
    </row>
    <row r="7" spans="1:14" ht="22.05" customHeight="1">
      <c r="A7" s="32"/>
      <c r="B7" s="32"/>
      <c r="C7" s="32"/>
      <c r="D7" s="32"/>
      <c r="E7" s="32"/>
      <c r="F7" s="32"/>
      <c r="G7" s="32"/>
      <c r="H7" s="32"/>
      <c r="I7" s="1"/>
      <c r="J7" s="1"/>
      <c r="K7" s="1"/>
      <c r="L7" s="1"/>
      <c r="M7" s="1"/>
      <c r="N7" s="1"/>
    </row>
    <row r="8" spans="1:14" ht="54" customHeight="1">
      <c r="A8" s="4" t="s">
        <v>45</v>
      </c>
      <c r="B8" s="4" t="s">
        <v>46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71</v>
      </c>
      <c r="H8" s="4" t="s">
        <v>72</v>
      </c>
      <c r="I8" s="4" t="s">
        <v>73</v>
      </c>
      <c r="J8" s="4" t="s">
        <v>74</v>
      </c>
      <c r="K8" s="4" t="s">
        <v>75</v>
      </c>
      <c r="L8" s="4" t="s">
        <v>76</v>
      </c>
      <c r="M8" s="4" t="s">
        <v>77</v>
      </c>
      <c r="N8" s="1"/>
    </row>
    <row r="9" spans="1:14" ht="22.05" customHeight="1">
      <c r="A9" s="18">
        <f>'03 Recorded O'!A11</f>
        <v>0.61458333333333337</v>
      </c>
      <c r="B9" s="15">
        <f>'03 Recorded O'!B11</f>
        <v>125.54166666666664</v>
      </c>
      <c r="C9" s="15">
        <f>'01 Traffic inputs'!$B$8/D9*60</f>
        <v>2.6488567906620273</v>
      </c>
      <c r="D9" s="15">
        <f t="shared" ref="D9:D40" si="0">$B$4</f>
        <v>23.557332438650121</v>
      </c>
      <c r="E9" s="26">
        <f t="shared" ref="E9:E40" si="1">B9*C9/60</f>
        <v>5.5423649376838107</v>
      </c>
      <c r="F9" s="26">
        <f>IF(D9&gt;0,INDEX('02 Emission rates'!$D$7:$D$15,MATCH(D9,'02 Emission rates'!$A$7:$A$15,1)),NA())</f>
        <v>6931.8463213424902</v>
      </c>
      <c r="G9" s="26">
        <f t="shared" ref="G9:G40" si="2">E9*F9</f>
        <v>38418.822004821122</v>
      </c>
      <c r="H9" s="26">
        <f>IF(D9&gt;0,INDEX('02 Emission rates'!$E$7:$E$15,MATCH(D9,'02 Emission rates'!$A$7:$A$15,1)),NA())</f>
        <v>4.0758788464844926</v>
      </c>
      <c r="I9" s="26">
        <f t="shared" ref="I9:I40" si="3">E9*H9</f>
        <v>22.590008009002787</v>
      </c>
      <c r="J9" s="26">
        <f>IF(D9&gt;0,INDEX('02 Emission rates'!$F$7:$F$15,MATCH(D9,'02 Emission rates'!$A$7:$A$15,1)),NA())</f>
        <v>62.680628166186985</v>
      </c>
      <c r="K9" s="26">
        <f t="shared" ref="K9:K40" si="4">E9*J9</f>
        <v>347.39891582027104</v>
      </c>
      <c r="L9" s="26">
        <f>IF(D9&gt;0,INDEX('02 Emission rates'!$G$7:$G$15,MATCH(D9,'02 Emission rates'!$A$7:$A$15,1)),NA())</f>
        <v>2.7514068118353263</v>
      </c>
      <c r="M9" s="26">
        <f t="shared" ref="M9:M40" si="5">E9*L9</f>
        <v>15.249300643220511</v>
      </c>
      <c r="N9" s="1"/>
    </row>
    <row r="10" spans="1:14" ht="22.05" customHeight="1">
      <c r="A10" s="19">
        <f>'03 Recorded O'!A12</f>
        <v>0.61805555555555558</v>
      </c>
      <c r="B10" s="16">
        <f>'03 Recorded O'!B12</f>
        <v>120.22916666666664</v>
      </c>
      <c r="C10" s="16">
        <f>'01 Traffic inputs'!$B$8/D10*60</f>
        <v>2.6488567906620273</v>
      </c>
      <c r="D10" s="16">
        <f t="shared" si="0"/>
        <v>23.557332438650121</v>
      </c>
      <c r="E10" s="27">
        <f t="shared" si="1"/>
        <v>5.3078307426772771</v>
      </c>
      <c r="F10" s="27">
        <f>IF(D10&gt;0,INDEX('02 Emission rates'!$D$7:$D$15,MATCH(D10,'02 Emission rates'!$A$7:$A$15,1)),NA())</f>
        <v>6931.8463213424902</v>
      </c>
      <c r="G10" s="27">
        <f t="shared" si="2"/>
        <v>36793.067007936064</v>
      </c>
      <c r="H10" s="27">
        <f>IF(D10&gt;0,INDEX('02 Emission rates'!$E$7:$E$15,MATCH(D10,'02 Emission rates'!$A$7:$A$15,1)),NA())</f>
        <v>4.0758788464844926</v>
      </c>
      <c r="I10" s="27">
        <f t="shared" si="3"/>
        <v>21.634075044798387</v>
      </c>
      <c r="J10" s="27">
        <f>IF(D10&gt;0,INDEX('02 Emission rates'!$F$7:$F$15,MATCH(D10,'02 Emission rates'!$A$7:$A$15,1)),NA())</f>
        <v>62.680628166186985</v>
      </c>
      <c r="K10" s="27">
        <f t="shared" si="4"/>
        <v>332.6981651508105</v>
      </c>
      <c r="L10" s="27">
        <f>IF(D10&gt;0,INDEX('02 Emission rates'!$G$7:$G$15,MATCH(D10,'02 Emission rates'!$A$7:$A$15,1)),NA())</f>
        <v>2.7514068118353263</v>
      </c>
      <c r="M10" s="27">
        <f t="shared" si="5"/>
        <v>14.604001661471219</v>
      </c>
      <c r="N10" s="1"/>
    </row>
    <row r="11" spans="1:14" ht="22.05" customHeight="1">
      <c r="A11" s="19">
        <f>'03 Recorded O'!A13</f>
        <v>0.62152777777777779</v>
      </c>
      <c r="B11" s="16">
        <f>'03 Recorded O'!B13</f>
        <v>116.20833333333346</v>
      </c>
      <c r="C11" s="16">
        <f>'01 Traffic inputs'!$B$8/D11*60</f>
        <v>2.6488567906620273</v>
      </c>
      <c r="D11" s="16">
        <f t="shared" si="0"/>
        <v>23.557332438650121</v>
      </c>
      <c r="E11" s="27">
        <f t="shared" si="1"/>
        <v>5.1303205480252796</v>
      </c>
      <c r="F11" s="27">
        <f>IF(D11&gt;0,INDEX('02 Emission rates'!$D$7:$D$15,MATCH(D11,'02 Emission rates'!$A$7:$A$15,1)),NA())</f>
        <v>6931.8463213424902</v>
      </c>
      <c r="G11" s="27">
        <f t="shared" si="2"/>
        <v>35562.593618136823</v>
      </c>
      <c r="H11" s="27">
        <f>IF(D11&gt;0,INDEX('02 Emission rates'!$E$7:$E$15,MATCH(D11,'02 Emission rates'!$A$7:$A$15,1)),NA())</f>
        <v>4.0758788464844926</v>
      </c>
      <c r="I11" s="27">
        <f t="shared" si="3"/>
        <v>20.910564997380966</v>
      </c>
      <c r="J11" s="27">
        <f>IF(D11&gt;0,INDEX('02 Emission rates'!$F$7:$F$15,MATCH(D11,'02 Emission rates'!$A$7:$A$15,1)),NA())</f>
        <v>62.680628166186985</v>
      </c>
      <c r="K11" s="27">
        <f t="shared" si="4"/>
        <v>321.57171464412119</v>
      </c>
      <c r="L11" s="27">
        <f>IF(D11&gt;0,INDEX('02 Emission rates'!$G$7:$G$15,MATCH(D11,'02 Emission rates'!$A$7:$A$15,1)),NA())</f>
        <v>2.7514068118353263</v>
      </c>
      <c r="M11" s="27">
        <f t="shared" si="5"/>
        <v>14.115598902735499</v>
      </c>
      <c r="N11" s="1"/>
    </row>
    <row r="12" spans="1:14" ht="22.05" customHeight="1">
      <c r="A12" s="19">
        <f>'03 Recorded O'!A14</f>
        <v>0.625</v>
      </c>
      <c r="B12" s="16">
        <f>'03 Recorded O'!B14</f>
        <v>109.89583333333329</v>
      </c>
      <c r="C12" s="16">
        <f>'01 Traffic inputs'!$B$8/D12*60</f>
        <v>2.6488567906620273</v>
      </c>
      <c r="D12" s="16">
        <f t="shared" si="0"/>
        <v>23.557332438650121</v>
      </c>
      <c r="E12" s="27">
        <f t="shared" si="1"/>
        <v>4.8516387398410377</v>
      </c>
      <c r="F12" s="27">
        <f>IF(D12&gt;0,INDEX('02 Emission rates'!$D$7:$D$15,MATCH(D12,'02 Emission rates'!$A$7:$A$15,1)),NA())</f>
        <v>6931.8463213424902</v>
      </c>
      <c r="G12" s="27">
        <f t="shared" si="2"/>
        <v>33630.814151249811</v>
      </c>
      <c r="H12" s="27">
        <f>IF(D12&gt;0,INDEX('02 Emission rates'!$E$7:$E$15,MATCH(D12,'02 Emission rates'!$A$7:$A$15,1)),NA())</f>
        <v>4.0758788464844926</v>
      </c>
      <c r="I12" s="27">
        <f t="shared" si="3"/>
        <v>19.774691710502765</v>
      </c>
      <c r="J12" s="27">
        <f>IF(D12&gt;0,INDEX('02 Emission rates'!$F$7:$F$15,MATCH(D12,'02 Emission rates'!$A$7:$A$15,1)),NA())</f>
        <v>62.680628166186985</v>
      </c>
      <c r="K12" s="27">
        <f t="shared" si="4"/>
        <v>304.10376384864406</v>
      </c>
      <c r="L12" s="27">
        <f>IF(D12&gt;0,INDEX('02 Emission rates'!$G$7:$G$15,MATCH(D12,'02 Emission rates'!$A$7:$A$15,1)),NA())</f>
        <v>2.7514068118353263</v>
      </c>
      <c r="M12" s="27">
        <f t="shared" si="5"/>
        <v>13.348831877362789</v>
      </c>
      <c r="N12" s="1"/>
    </row>
    <row r="13" spans="1:14" ht="22.05" customHeight="1">
      <c r="A13" s="19">
        <f>'03 Recorded O'!A15</f>
        <v>0.62847222222222221</v>
      </c>
      <c r="B13" s="16">
        <f>'03 Recorded O'!B15</f>
        <v>106.89583333333329</v>
      </c>
      <c r="C13" s="16">
        <f>'01 Traffic inputs'!$B$8/D13*60</f>
        <v>2.6488567906620273</v>
      </c>
      <c r="D13" s="16">
        <f t="shared" si="0"/>
        <v>23.557332438650121</v>
      </c>
      <c r="E13" s="27">
        <f t="shared" si="1"/>
        <v>4.7191959003079358</v>
      </c>
      <c r="F13" s="27">
        <f>IF(D13&gt;0,INDEX('02 Emission rates'!$D$7:$D$15,MATCH(D13,'02 Emission rates'!$A$7:$A$15,1)),NA())</f>
        <v>6931.8463213424902</v>
      </c>
      <c r="G13" s="27">
        <f t="shared" si="2"/>
        <v>32712.740741244124</v>
      </c>
      <c r="H13" s="27">
        <f>IF(D13&gt;0,INDEX('02 Emission rates'!$E$7:$E$15,MATCH(D13,'02 Emission rates'!$A$7:$A$15,1)),NA())</f>
        <v>4.0758788464844926</v>
      </c>
      <c r="I13" s="27">
        <f t="shared" si="3"/>
        <v>19.234870742481455</v>
      </c>
      <c r="J13" s="27">
        <f>IF(D13&gt;0,INDEX('02 Emission rates'!$F$7:$F$15,MATCH(D13,'02 Emission rates'!$A$7:$A$15,1)),NA())</f>
        <v>62.680628166186985</v>
      </c>
      <c r="K13" s="27">
        <f t="shared" si="4"/>
        <v>295.80216347059576</v>
      </c>
      <c r="L13" s="27">
        <f>IF(D13&gt;0,INDEX('02 Emission rates'!$G$7:$G$15,MATCH(D13,'02 Emission rates'!$A$7:$A$15,1)),NA())</f>
        <v>2.7514068118353263</v>
      </c>
      <c r="M13" s="27">
        <f t="shared" si="5"/>
        <v>12.984427746492599</v>
      </c>
      <c r="N13" s="1"/>
    </row>
    <row r="14" spans="1:14" ht="22.05" customHeight="1">
      <c r="A14" s="19">
        <f>'03 Recorded O'!A16</f>
        <v>0.63194444444444442</v>
      </c>
      <c r="B14" s="16">
        <f>'03 Recorded O'!B16</f>
        <v>104.5208333333334</v>
      </c>
      <c r="C14" s="16">
        <f>'01 Traffic inputs'!$B$8/D14*60</f>
        <v>2.6488567906620273</v>
      </c>
      <c r="D14" s="16">
        <f t="shared" si="0"/>
        <v>23.557332438650121</v>
      </c>
      <c r="E14" s="27">
        <f t="shared" si="1"/>
        <v>4.6143453190109032</v>
      </c>
      <c r="F14" s="27">
        <f>IF(D14&gt;0,INDEX('02 Emission rates'!$D$7:$D$15,MATCH(D14,'02 Emission rates'!$A$7:$A$15,1)),NA())</f>
        <v>6931.8463213424902</v>
      </c>
      <c r="G14" s="27">
        <f t="shared" si="2"/>
        <v>31985.932624989669</v>
      </c>
      <c r="H14" s="27">
        <f>IF(D14&gt;0,INDEX('02 Emission rates'!$E$7:$E$15,MATCH(D14,'02 Emission rates'!$A$7:$A$15,1)),NA())</f>
        <v>4.0758788464844926</v>
      </c>
      <c r="I14" s="27">
        <f t="shared" si="3"/>
        <v>18.807512476131279</v>
      </c>
      <c r="J14" s="27">
        <f>IF(D14&gt;0,INDEX('02 Emission rates'!$F$7:$F$15,MATCH(D14,'02 Emission rates'!$A$7:$A$15,1)),NA())</f>
        <v>62.680628166186985</v>
      </c>
      <c r="K14" s="27">
        <f t="shared" si="4"/>
        <v>289.2300631713079</v>
      </c>
      <c r="L14" s="27">
        <f>IF(D14&gt;0,INDEX('02 Emission rates'!$G$7:$G$15,MATCH(D14,'02 Emission rates'!$A$7:$A$15,1)),NA())</f>
        <v>2.7514068118353263</v>
      </c>
      <c r="M14" s="27">
        <f t="shared" si="5"/>
        <v>12.695941142887051</v>
      </c>
      <c r="N14" s="1"/>
    </row>
    <row r="15" spans="1:14" ht="22.05" customHeight="1">
      <c r="A15" s="19">
        <f>'03 Recorded O'!A17</f>
        <v>0.63541666666666663</v>
      </c>
      <c r="B15" s="16">
        <f>'03 Recorded O'!B17</f>
        <v>102.27083333333336</v>
      </c>
      <c r="C15" s="16">
        <f>'01 Traffic inputs'!$B$8/D15*60</f>
        <v>2.6488567906620273</v>
      </c>
      <c r="D15" s="16">
        <f t="shared" si="0"/>
        <v>23.557332438650121</v>
      </c>
      <c r="E15" s="27">
        <f t="shared" si="1"/>
        <v>4.5150131893610741</v>
      </c>
      <c r="F15" s="27">
        <f>IF(D15&gt;0,INDEX('02 Emission rates'!$D$7:$D$15,MATCH(D15,'02 Emission rates'!$A$7:$A$15,1)),NA())</f>
        <v>6931.8463213424902</v>
      </c>
      <c r="G15" s="27">
        <f t="shared" si="2"/>
        <v>31297.377567485386</v>
      </c>
      <c r="H15" s="27">
        <f>IF(D15&gt;0,INDEX('02 Emission rates'!$E$7:$E$15,MATCH(D15,'02 Emission rates'!$A$7:$A$15,1)),NA())</f>
        <v>4.0758788464844926</v>
      </c>
      <c r="I15" s="27">
        <f t="shared" si="3"/>
        <v>18.402646750115284</v>
      </c>
      <c r="J15" s="27">
        <f>IF(D15&gt;0,INDEX('02 Emission rates'!$F$7:$F$15,MATCH(D15,'02 Emission rates'!$A$7:$A$15,1)),NA())</f>
        <v>62.680628166186985</v>
      </c>
      <c r="K15" s="27">
        <f t="shared" si="4"/>
        <v>283.00386288777145</v>
      </c>
      <c r="L15" s="27">
        <f>IF(D15&gt;0,INDEX('02 Emission rates'!$G$7:$G$15,MATCH(D15,'02 Emission rates'!$A$7:$A$15,1)),NA())</f>
        <v>2.7514068118353263</v>
      </c>
      <c r="M15" s="27">
        <f t="shared" si="5"/>
        <v>12.422638044734402</v>
      </c>
      <c r="N15" s="1"/>
    </row>
    <row r="16" spans="1:14" ht="22.05" customHeight="1">
      <c r="A16" s="19">
        <f>'03 Recorded O'!A18</f>
        <v>0.63888888888888895</v>
      </c>
      <c r="B16" s="16">
        <f>'03 Recorded O'!B18</f>
        <v>102.87499999999991</v>
      </c>
      <c r="C16" s="16">
        <f>'01 Traffic inputs'!$B$8/D16*60</f>
        <v>2.6488567906620273</v>
      </c>
      <c r="D16" s="16">
        <f t="shared" si="0"/>
        <v>23.557332438650121</v>
      </c>
      <c r="E16" s="27">
        <f t="shared" si="1"/>
        <v>4.5416857056559312</v>
      </c>
      <c r="F16" s="27">
        <f>IF(D16&gt;0,INDEX('02 Emission rates'!$D$7:$D$15,MATCH(D16,'02 Emission rates'!$A$7:$A$15,1)),NA())</f>
        <v>6931.8463213424902</v>
      </c>
      <c r="G16" s="27">
        <f t="shared" si="2"/>
        <v>31482.26735144484</v>
      </c>
      <c r="H16" s="27">
        <f>IF(D16&gt;0,INDEX('02 Emission rates'!$E$7:$E$15,MATCH(D16,'02 Emission rates'!$A$7:$A$15,1)),NA())</f>
        <v>4.0758788464844926</v>
      </c>
      <c r="I16" s="27">
        <f t="shared" si="3"/>
        <v>18.511360695064006</v>
      </c>
      <c r="J16" s="27">
        <f>IF(D16&gt;0,INDEX('02 Emission rates'!$F$7:$F$15,MATCH(D16,'02 Emission rates'!$A$7:$A$15,1)),NA())</f>
        <v>62.680628166186985</v>
      </c>
      <c r="K16" s="27">
        <f t="shared" si="4"/>
        <v>284.67571296390599</v>
      </c>
      <c r="L16" s="27">
        <f>IF(D16&gt;0,INDEX('02 Emission rates'!$G$7:$G$15,MATCH(D16,'02 Emission rates'!$A$7:$A$15,1)),NA())</f>
        <v>2.7514068118353263</v>
      </c>
      <c r="M16" s="27">
        <f t="shared" si="5"/>
        <v>12.49602498775686</v>
      </c>
      <c r="N16" s="1"/>
    </row>
    <row r="17" spans="1:14" ht="22.05" customHeight="1">
      <c r="A17" s="19">
        <f>'03 Recorded O'!A19</f>
        <v>0.64236111111111105</v>
      </c>
      <c r="B17" s="16">
        <f>'03 Recorded O'!B19</f>
        <v>99.374999999999957</v>
      </c>
      <c r="C17" s="16">
        <f>'01 Traffic inputs'!$B$8/D17*60</f>
        <v>2.6488567906620273</v>
      </c>
      <c r="D17" s="16">
        <f t="shared" si="0"/>
        <v>23.557332438650121</v>
      </c>
      <c r="E17" s="27">
        <f t="shared" si="1"/>
        <v>4.3871690595339805</v>
      </c>
      <c r="F17" s="27">
        <f>IF(D17&gt;0,INDEX('02 Emission rates'!$D$7:$D$15,MATCH(D17,'02 Emission rates'!$A$7:$A$15,1)),NA())</f>
        <v>6931.8463213424902</v>
      </c>
      <c r="G17" s="27">
        <f t="shared" si="2"/>
        <v>30411.181706438216</v>
      </c>
      <c r="H17" s="27">
        <f>IF(D17&gt;0,INDEX('02 Emission rates'!$E$7:$E$15,MATCH(D17,'02 Emission rates'!$A$7:$A$15,1)),NA())</f>
        <v>4.0758788464844926</v>
      </c>
      <c r="I17" s="27">
        <f t="shared" si="3"/>
        <v>17.881569565705817</v>
      </c>
      <c r="J17" s="27">
        <f>IF(D17&gt;0,INDEX('02 Emission rates'!$F$7:$F$15,MATCH(D17,'02 Emission rates'!$A$7:$A$15,1)),NA())</f>
        <v>62.680628166186985</v>
      </c>
      <c r="K17" s="27">
        <f t="shared" si="4"/>
        <v>274.99051252284966</v>
      </c>
      <c r="L17" s="27">
        <f>IF(D17&gt;0,INDEX('02 Emission rates'!$G$7:$G$15,MATCH(D17,'02 Emission rates'!$A$7:$A$15,1)),NA())</f>
        <v>2.7514068118353263</v>
      </c>
      <c r="M17" s="27">
        <f t="shared" si="5"/>
        <v>12.070886835074976</v>
      </c>
      <c r="N17" s="1"/>
    </row>
    <row r="18" spans="1:14" ht="22.05" customHeight="1">
      <c r="A18" s="19">
        <f>'03 Recorded O'!A20</f>
        <v>0.64583333333333337</v>
      </c>
      <c r="B18" s="16">
        <f>'03 Recorded O'!B20</f>
        <v>99.312499999999943</v>
      </c>
      <c r="C18" s="16">
        <f>'01 Traffic inputs'!$B$8/D18*60</f>
        <v>2.6488567906620273</v>
      </c>
      <c r="D18" s="16">
        <f t="shared" si="0"/>
        <v>23.557332438650121</v>
      </c>
      <c r="E18" s="27">
        <f t="shared" si="1"/>
        <v>4.3844098337103743</v>
      </c>
      <c r="F18" s="27">
        <f>IF(D18&gt;0,INDEX('02 Emission rates'!$D$7:$D$15,MATCH(D18,'02 Emission rates'!$A$7:$A$15,1)),NA())</f>
        <v>6931.8463213424902</v>
      </c>
      <c r="G18" s="27">
        <f t="shared" si="2"/>
        <v>30392.055177063099</v>
      </c>
      <c r="H18" s="27">
        <f>IF(D18&gt;0,INDEX('02 Emission rates'!$E$7:$E$15,MATCH(D18,'02 Emission rates'!$A$7:$A$15,1)),NA())</f>
        <v>4.0758788464844926</v>
      </c>
      <c r="I18" s="27">
        <f t="shared" si="3"/>
        <v>17.870323295538707</v>
      </c>
      <c r="J18" s="27">
        <f>IF(D18&gt;0,INDEX('02 Emission rates'!$F$7:$F$15,MATCH(D18,'02 Emission rates'!$A$7:$A$15,1)),NA())</f>
        <v>62.680628166186985</v>
      </c>
      <c r="K18" s="27">
        <f t="shared" si="4"/>
        <v>274.8175625149737</v>
      </c>
      <c r="L18" s="27">
        <f>IF(D18&gt;0,INDEX('02 Emission rates'!$G$7:$G$15,MATCH(D18,'02 Emission rates'!$A$7:$A$15,1)),NA())</f>
        <v>2.7514068118353263</v>
      </c>
      <c r="M18" s="27">
        <f t="shared" si="5"/>
        <v>12.063295082348514</v>
      </c>
      <c r="N18" s="1"/>
    </row>
    <row r="19" spans="1:14" ht="22.05" customHeight="1">
      <c r="A19" s="19">
        <f>'03 Recorded O'!A21</f>
        <v>0.64930555555555558</v>
      </c>
      <c r="B19" s="16">
        <f>'03 Recorded O'!B21</f>
        <v>94.520833333333343</v>
      </c>
      <c r="C19" s="16">
        <f>'01 Traffic inputs'!$B$8/D19*60</f>
        <v>2.6488567906620273</v>
      </c>
      <c r="D19" s="16">
        <f t="shared" si="0"/>
        <v>23.557332438650121</v>
      </c>
      <c r="E19" s="27">
        <f t="shared" si="1"/>
        <v>4.1728691872338954</v>
      </c>
      <c r="F19" s="27">
        <f>IF(D19&gt;0,INDEX('02 Emission rates'!$D$7:$D$15,MATCH(D19,'02 Emission rates'!$A$7:$A$15,1)),NA())</f>
        <v>6931.8463213424902</v>
      </c>
      <c r="G19" s="27">
        <f t="shared" si="2"/>
        <v>28925.687924970705</v>
      </c>
      <c r="H19" s="27">
        <f>IF(D19&gt;0,INDEX('02 Emission rates'!$E$7:$E$15,MATCH(D19,'02 Emission rates'!$A$7:$A$15,1)),NA())</f>
        <v>4.0758788464844926</v>
      </c>
      <c r="I19" s="27">
        <f t="shared" si="3"/>
        <v>17.008109249393573</v>
      </c>
      <c r="J19" s="27">
        <f>IF(D19&gt;0,INDEX('02 Emission rates'!$F$7:$F$15,MATCH(D19,'02 Emission rates'!$A$7:$A$15,1)),NA())</f>
        <v>62.680628166186985</v>
      </c>
      <c r="K19" s="27">
        <f t="shared" si="4"/>
        <v>261.55806191114669</v>
      </c>
      <c r="L19" s="27">
        <f>IF(D19&gt;0,INDEX('02 Emission rates'!$G$7:$G$15,MATCH(D19,'02 Emission rates'!$A$7:$A$15,1)),NA())</f>
        <v>2.7514068118353263</v>
      </c>
      <c r="M19" s="27">
        <f t="shared" si="5"/>
        <v>11.481260706653082</v>
      </c>
      <c r="N19" s="1"/>
    </row>
    <row r="20" spans="1:14" ht="22.05" customHeight="1">
      <c r="A20" s="19">
        <f>'03 Recorded O'!A22</f>
        <v>0.65277777777777779</v>
      </c>
      <c r="B20" s="16">
        <f>'03 Recorded O'!B22</f>
        <v>91.562500000000057</v>
      </c>
      <c r="C20" s="16">
        <f>'01 Traffic inputs'!$B$8/D20*60</f>
        <v>2.6488567906620273</v>
      </c>
      <c r="D20" s="16">
        <f t="shared" si="0"/>
        <v>23.557332438650121</v>
      </c>
      <c r="E20" s="27">
        <f t="shared" si="1"/>
        <v>4.0422658315832001</v>
      </c>
      <c r="F20" s="27">
        <f>IF(D20&gt;0,INDEX('02 Emission rates'!$D$7:$D$15,MATCH(D20,'02 Emission rates'!$A$7:$A$15,1)),NA())</f>
        <v>6931.8463213424902</v>
      </c>
      <c r="G20" s="27">
        <f t="shared" si="2"/>
        <v>28020.365534548448</v>
      </c>
      <c r="H20" s="27">
        <f>IF(D20&gt;0,INDEX('02 Emission rates'!$E$7:$E$15,MATCH(D20,'02 Emission rates'!$A$7:$A$15,1)),NA())</f>
        <v>4.0758788464844926</v>
      </c>
      <c r="I20" s="27">
        <f t="shared" si="3"/>
        <v>16.475785794817011</v>
      </c>
      <c r="J20" s="27">
        <f>IF(D20&gt;0,INDEX('02 Emission rates'!$F$7:$F$15,MATCH(D20,'02 Emission rates'!$A$7:$A$15,1)),NA())</f>
        <v>62.680628166186985</v>
      </c>
      <c r="K20" s="27">
        <f t="shared" si="4"/>
        <v>253.37176153834918</v>
      </c>
      <c r="L20" s="27">
        <f>IF(D20&gt;0,INDEX('02 Emission rates'!$G$7:$G$15,MATCH(D20,'02 Emission rates'!$A$7:$A$15,1)),NA())</f>
        <v>2.7514068118353263</v>
      </c>
      <c r="M20" s="27">
        <f t="shared" si="5"/>
        <v>11.121917744267206</v>
      </c>
      <c r="N20" s="1"/>
    </row>
    <row r="21" spans="1:14" ht="22.05" customHeight="1">
      <c r="A21" s="19">
        <f>'03 Recorded O'!A23</f>
        <v>0.65625</v>
      </c>
      <c r="B21" s="16">
        <f>'03 Recorded O'!B23</f>
        <v>89.708333333333385</v>
      </c>
      <c r="C21" s="16">
        <f>'01 Traffic inputs'!$B$8/D21*60</f>
        <v>2.6488567906620273</v>
      </c>
      <c r="D21" s="16">
        <f t="shared" si="0"/>
        <v>23.557332438650121</v>
      </c>
      <c r="E21" s="27">
        <f t="shared" si="1"/>
        <v>3.9604087988162138</v>
      </c>
      <c r="F21" s="27">
        <f>IF(D21&gt;0,INDEX('02 Emission rates'!$D$7:$D$15,MATCH(D21,'02 Emission rates'!$A$7:$A$15,1)),NA())</f>
        <v>6931.8463213424902</v>
      </c>
      <c r="G21" s="27">
        <f t="shared" si="2"/>
        <v>27452.945163086602</v>
      </c>
      <c r="H21" s="27">
        <f>IF(D21&gt;0,INDEX('02 Emission rates'!$E$7:$E$15,MATCH(D21,'02 Emission rates'!$A$7:$A$15,1)),NA())</f>
        <v>4.0758788464844926</v>
      </c>
      <c r="I21" s="27">
        <f t="shared" si="3"/>
        <v>16.142146446526063</v>
      </c>
      <c r="J21" s="27">
        <f>IF(D21&gt;0,INDEX('02 Emission rates'!$F$7:$F$15,MATCH(D21,'02 Emission rates'!$A$7:$A$15,1)),NA())</f>
        <v>62.680628166186985</v>
      </c>
      <c r="K21" s="27">
        <f t="shared" si="4"/>
        <v>248.24091130469432</v>
      </c>
      <c r="L21" s="27">
        <f>IF(D21&gt;0,INDEX('02 Emission rates'!$G$7:$G$15,MATCH(D21,'02 Emission rates'!$A$7:$A$15,1)),NA())</f>
        <v>2.7514068118353263</v>
      </c>
      <c r="M21" s="27">
        <f t="shared" si="5"/>
        <v>10.896695746715492</v>
      </c>
      <c r="N21" s="1"/>
    </row>
    <row r="22" spans="1:14" ht="22.05" customHeight="1">
      <c r="A22" s="19">
        <f>'03 Recorded O'!A24</f>
        <v>0.65972222222222221</v>
      </c>
      <c r="B22" s="16">
        <f>'03 Recorded O'!B24</f>
        <v>90.104166666666686</v>
      </c>
      <c r="C22" s="16">
        <f>'01 Traffic inputs'!$B$8/D22*60</f>
        <v>2.6488567906620273</v>
      </c>
      <c r="D22" s="16">
        <f t="shared" si="0"/>
        <v>23.557332438650121</v>
      </c>
      <c r="E22" s="27">
        <f t="shared" si="1"/>
        <v>3.9778838956990521</v>
      </c>
      <c r="F22" s="27">
        <f>IF(D22&gt;0,INDEX('02 Emission rates'!$D$7:$D$15,MATCH(D22,'02 Emission rates'!$A$7:$A$15,1)),NA())</f>
        <v>6931.8463213424902</v>
      </c>
      <c r="G22" s="27">
        <f t="shared" si="2"/>
        <v>27574.079849129008</v>
      </c>
      <c r="H22" s="27">
        <f>IF(D22&gt;0,INDEX('02 Emission rates'!$E$7:$E$15,MATCH(D22,'02 Emission rates'!$A$7:$A$15,1)),NA())</f>
        <v>4.0758788464844926</v>
      </c>
      <c r="I22" s="27">
        <f t="shared" si="3"/>
        <v>16.213372824251092</v>
      </c>
      <c r="J22" s="27">
        <f>IF(D22&gt;0,INDEX('02 Emission rates'!$F$7:$F$15,MATCH(D22,'02 Emission rates'!$A$7:$A$15,1)),NA())</f>
        <v>62.680628166186985</v>
      </c>
      <c r="K22" s="27">
        <f t="shared" si="4"/>
        <v>249.33626135457561</v>
      </c>
      <c r="L22" s="27">
        <f>IF(D22&gt;0,INDEX('02 Emission rates'!$G$7:$G$15,MATCH(D22,'02 Emission rates'!$A$7:$A$15,1)),NA())</f>
        <v>2.7514068118353263</v>
      </c>
      <c r="M22" s="27">
        <f t="shared" si="5"/>
        <v>10.944776847316417</v>
      </c>
      <c r="N22" s="1"/>
    </row>
    <row r="23" spans="1:14" ht="22.05" customHeight="1">
      <c r="A23" s="19">
        <f>'03 Recorded O'!A25</f>
        <v>0.66319444444444442</v>
      </c>
      <c r="B23" s="16">
        <f>'03 Recorded O'!B25</f>
        <v>89.854166666666686</v>
      </c>
      <c r="C23" s="16">
        <f>'01 Traffic inputs'!$B$8/D23*60</f>
        <v>2.6488567906620273</v>
      </c>
      <c r="D23" s="16">
        <f t="shared" si="0"/>
        <v>23.557332438650121</v>
      </c>
      <c r="E23" s="27">
        <f t="shared" si="1"/>
        <v>3.9668469924046272</v>
      </c>
      <c r="F23" s="27">
        <f>IF(D23&gt;0,INDEX('02 Emission rates'!$D$7:$D$15,MATCH(D23,'02 Emission rates'!$A$7:$A$15,1)),NA())</f>
        <v>6931.8463213424902</v>
      </c>
      <c r="G23" s="27">
        <f t="shared" si="2"/>
        <v>27497.573731628538</v>
      </c>
      <c r="H23" s="27">
        <f>IF(D23&gt;0,INDEX('02 Emission rates'!$E$7:$E$15,MATCH(D23,'02 Emission rates'!$A$7:$A$15,1)),NA())</f>
        <v>4.0758788464844926</v>
      </c>
      <c r="I23" s="27">
        <f t="shared" si="3"/>
        <v>16.168387743582652</v>
      </c>
      <c r="J23" s="27">
        <f>IF(D23&gt;0,INDEX('02 Emission rates'!$F$7:$F$15,MATCH(D23,'02 Emission rates'!$A$7:$A$15,1)),NA())</f>
        <v>62.680628166186985</v>
      </c>
      <c r="K23" s="27">
        <f t="shared" si="4"/>
        <v>248.6444613230716</v>
      </c>
      <c r="L23" s="27">
        <f>IF(D23&gt;0,INDEX('02 Emission rates'!$G$7:$G$15,MATCH(D23,'02 Emission rates'!$A$7:$A$15,1)),NA())</f>
        <v>2.7514068118353263</v>
      </c>
      <c r="M23" s="27">
        <f t="shared" si="5"/>
        <v>10.914409836410568</v>
      </c>
      <c r="N23" s="1"/>
    </row>
    <row r="24" spans="1:14" ht="22.05" customHeight="1">
      <c r="A24" s="19">
        <f>'03 Recorded O'!A26</f>
        <v>0.66666666666666663</v>
      </c>
      <c r="B24" s="16">
        <f>'03 Recorded O'!B26</f>
        <v>85.437500000000014</v>
      </c>
      <c r="C24" s="16">
        <f>'01 Traffic inputs'!$B$8/D24*60</f>
        <v>2.6488567906620273</v>
      </c>
      <c r="D24" s="16">
        <f t="shared" si="0"/>
        <v>23.557332438650121</v>
      </c>
      <c r="E24" s="27">
        <f t="shared" si="1"/>
        <v>3.7718617008697835</v>
      </c>
      <c r="F24" s="27">
        <f>IF(D24&gt;0,INDEX('02 Emission rates'!$D$7:$D$15,MATCH(D24,'02 Emission rates'!$A$7:$A$15,1)),NA())</f>
        <v>6931.8463213424902</v>
      </c>
      <c r="G24" s="27">
        <f t="shared" si="2"/>
        <v>26145.965655786837</v>
      </c>
      <c r="H24" s="27">
        <f>IF(D24&gt;0,INDEX('02 Emission rates'!$E$7:$E$15,MATCH(D24,'02 Emission rates'!$A$7:$A$15,1)),NA())</f>
        <v>4.0758788464844926</v>
      </c>
      <c r="I24" s="27">
        <f t="shared" si="3"/>
        <v>15.373651318440169</v>
      </c>
      <c r="J24" s="27">
        <f>IF(D24&gt;0,INDEX('02 Emission rates'!$F$7:$F$15,MATCH(D24,'02 Emission rates'!$A$7:$A$15,1)),NA())</f>
        <v>62.680628166186985</v>
      </c>
      <c r="K24" s="27">
        <f t="shared" si="4"/>
        <v>236.42266076650048</v>
      </c>
      <c r="L24" s="27">
        <f>IF(D24&gt;0,INDEX('02 Emission rates'!$G$7:$G$15,MATCH(D24,'02 Emission rates'!$A$7:$A$15,1)),NA())</f>
        <v>2.7514068118353263</v>
      </c>
      <c r="M24" s="27">
        <f t="shared" si="5"/>
        <v>10.377925977073902</v>
      </c>
      <c r="N24" s="1"/>
    </row>
    <row r="25" spans="1:14" ht="22.05" customHeight="1">
      <c r="A25" s="19">
        <f>'03 Recorded O'!A27</f>
        <v>0.67013888888888884</v>
      </c>
      <c r="B25" s="16">
        <f>'03 Recorded O'!B27</f>
        <v>79.791666666666671</v>
      </c>
      <c r="C25" s="16">
        <f>'01 Traffic inputs'!$B$8/D25*60</f>
        <v>2.6488567906620273</v>
      </c>
      <c r="D25" s="16">
        <f t="shared" si="0"/>
        <v>23.557332438650121</v>
      </c>
      <c r="E25" s="27">
        <f t="shared" si="1"/>
        <v>3.5226116348040155</v>
      </c>
      <c r="F25" s="27">
        <f>IF(D25&gt;0,INDEX('02 Emission rates'!$D$7:$D$15,MATCH(D25,'02 Emission rates'!$A$7:$A$15,1)),NA())</f>
        <v>6931.8463213424902</v>
      </c>
      <c r="G25" s="27">
        <f t="shared" si="2"/>
        <v>24418.202502234471</v>
      </c>
      <c r="H25" s="27">
        <f>IF(D25&gt;0,INDEX('02 Emission rates'!$E$7:$E$15,MATCH(D25,'02 Emission rates'!$A$7:$A$15,1)),NA())</f>
        <v>4.0758788464844926</v>
      </c>
      <c r="I25" s="27">
        <f t="shared" si="3"/>
        <v>14.357738246677844</v>
      </c>
      <c r="J25" s="27">
        <f>IF(D25&gt;0,INDEX('02 Emission rates'!$F$7:$F$15,MATCH(D25,'02 Emission rates'!$A$7:$A$15,1)),NA())</f>
        <v>62.680628166186985</v>
      </c>
      <c r="K25" s="27">
        <f t="shared" si="4"/>
        <v>220.79951005503455</v>
      </c>
      <c r="L25" s="27">
        <f>IF(D25&gt;0,INDEX('02 Emission rates'!$G$7:$G$15,MATCH(D25,'02 Emission rates'!$A$7:$A$15,1)),NA())</f>
        <v>2.7514068118353263</v>
      </c>
      <c r="M25" s="27">
        <f t="shared" si="5"/>
        <v>9.6921376474501439</v>
      </c>
      <c r="N25" s="1"/>
    </row>
    <row r="26" spans="1:14" ht="22.05" customHeight="1">
      <c r="A26" s="19">
        <f>'03 Recorded O'!A28</f>
        <v>0.67361111111111116</v>
      </c>
      <c r="B26" s="16">
        <f>'03 Recorded O'!B28</f>
        <v>74.333333333333343</v>
      </c>
      <c r="C26" s="16">
        <f>'01 Traffic inputs'!$B$8/D26*60</f>
        <v>2.6488567906620273</v>
      </c>
      <c r="D26" s="16">
        <f t="shared" si="0"/>
        <v>23.557332438650121</v>
      </c>
      <c r="E26" s="27">
        <f t="shared" si="1"/>
        <v>3.2816392462090676</v>
      </c>
      <c r="F26" s="27">
        <f>IF(D26&gt;0,INDEX('02 Emission rates'!$D$7:$D$15,MATCH(D26,'02 Emission rates'!$A$7:$A$15,1)),NA())</f>
        <v>6931.8463213424902</v>
      </c>
      <c r="G26" s="27">
        <f t="shared" si="2"/>
        <v>22747.818936807467</v>
      </c>
      <c r="H26" s="27">
        <f>IF(D26&gt;0,INDEX('02 Emission rates'!$E$7:$E$15,MATCH(D26,'02 Emission rates'!$A$7:$A$15,1)),NA())</f>
        <v>4.0758788464844926</v>
      </c>
      <c r="I26" s="27">
        <f t="shared" si="3"/>
        <v>13.375563985416854</v>
      </c>
      <c r="J26" s="27">
        <f>IF(D26&gt;0,INDEX('02 Emission rates'!$F$7:$F$15,MATCH(D26,'02 Emission rates'!$A$7:$A$15,1)),NA())</f>
        <v>62.680628166186985</v>
      </c>
      <c r="K26" s="27">
        <f t="shared" si="4"/>
        <v>205.6952093671967</v>
      </c>
      <c r="L26" s="27">
        <f>IF(D26&gt;0,INDEX('02 Emission rates'!$G$7:$G$15,MATCH(D26,'02 Emission rates'!$A$7:$A$15,1)),NA())</f>
        <v>2.7514068118353263</v>
      </c>
      <c r="M26" s="27">
        <f t="shared" si="5"/>
        <v>9.0291245760057741</v>
      </c>
      <c r="N26" s="1"/>
    </row>
    <row r="27" spans="1:14" ht="22.05" customHeight="1">
      <c r="A27" s="19">
        <f>'03 Recorded O'!A29</f>
        <v>0.67708333333333337</v>
      </c>
      <c r="B27" s="16">
        <f>'03 Recorded O'!B29</f>
        <v>71.145833333333329</v>
      </c>
      <c r="C27" s="16">
        <f>'01 Traffic inputs'!$B$8/D27*60</f>
        <v>2.6488567906620273</v>
      </c>
      <c r="D27" s="16">
        <f t="shared" si="0"/>
        <v>23.557332438650121</v>
      </c>
      <c r="E27" s="27">
        <f t="shared" si="1"/>
        <v>3.1409187292051466</v>
      </c>
      <c r="F27" s="27">
        <f>IF(D27&gt;0,INDEX('02 Emission rates'!$D$7:$D$15,MATCH(D27,'02 Emission rates'!$A$7:$A$15,1)),NA())</f>
        <v>6931.8463213424902</v>
      </c>
      <c r="G27" s="27">
        <f t="shared" si="2"/>
        <v>21772.365938676423</v>
      </c>
      <c r="H27" s="27">
        <f>IF(D27&gt;0,INDEX('02 Emission rates'!$E$7:$E$15,MATCH(D27,'02 Emission rates'!$A$7:$A$15,1)),NA())</f>
        <v>4.0758788464844926</v>
      </c>
      <c r="I27" s="27">
        <f t="shared" si="3"/>
        <v>12.802004206894212</v>
      </c>
      <c r="J27" s="27">
        <f>IF(D27&gt;0,INDEX('02 Emission rates'!$F$7:$F$15,MATCH(D27,'02 Emission rates'!$A$7:$A$15,1)),NA())</f>
        <v>62.680628166186985</v>
      </c>
      <c r="K27" s="27">
        <f t="shared" si="4"/>
        <v>196.87475896552033</v>
      </c>
      <c r="L27" s="27">
        <f>IF(D27&gt;0,INDEX('02 Emission rates'!$G$7:$G$15,MATCH(D27,'02 Emission rates'!$A$7:$A$15,1)),NA())</f>
        <v>2.7514068118353263</v>
      </c>
      <c r="M27" s="27">
        <f t="shared" si="5"/>
        <v>8.6419451869561978</v>
      </c>
      <c r="N27" s="1"/>
    </row>
    <row r="28" spans="1:14" ht="22.05" customHeight="1">
      <c r="A28" s="19">
        <f>'03 Recorded O'!A30</f>
        <v>0.68055555555555547</v>
      </c>
      <c r="B28" s="16">
        <f>'03 Recorded O'!B30</f>
        <v>70.374999999999972</v>
      </c>
      <c r="C28" s="16">
        <f>'01 Traffic inputs'!$B$8/D28*60</f>
        <v>2.6488567906620273</v>
      </c>
      <c r="D28" s="16">
        <f t="shared" si="0"/>
        <v>23.557332438650121</v>
      </c>
      <c r="E28" s="27">
        <f t="shared" si="1"/>
        <v>3.1068882773806683</v>
      </c>
      <c r="F28" s="27">
        <f>IF(D28&gt;0,INDEX('02 Emission rates'!$D$7:$D$15,MATCH(D28,'02 Emission rates'!$A$7:$A$15,1)),NA())</f>
        <v>6931.8463213424902</v>
      </c>
      <c r="G28" s="27">
        <f t="shared" si="2"/>
        <v>21536.472076383292</v>
      </c>
      <c r="H28" s="27">
        <f>IF(D28&gt;0,INDEX('02 Emission rates'!$E$7:$E$15,MATCH(D28,'02 Emission rates'!$A$7:$A$15,1)),NA())</f>
        <v>4.0758788464844926</v>
      </c>
      <c r="I28" s="27">
        <f t="shared" si="3"/>
        <v>12.663300208166511</v>
      </c>
      <c r="J28" s="27">
        <f>IF(D28&gt;0,INDEX('02 Emission rates'!$F$7:$F$15,MATCH(D28,'02 Emission rates'!$A$7:$A$15,1)),NA())</f>
        <v>62.680628166186985</v>
      </c>
      <c r="K28" s="27">
        <f t="shared" si="4"/>
        <v>194.74170886838289</v>
      </c>
      <c r="L28" s="27">
        <f>IF(D28&gt;0,INDEX('02 Emission rates'!$G$7:$G$15,MATCH(D28,'02 Emission rates'!$A$7:$A$15,1)),NA())</f>
        <v>2.7514068118353263</v>
      </c>
      <c r="M28" s="27">
        <f t="shared" si="5"/>
        <v>8.5483135699964929</v>
      </c>
      <c r="N28" s="1"/>
    </row>
    <row r="29" spans="1:14" ht="22.05" customHeight="1">
      <c r="A29" s="19">
        <f>'03 Recorded O'!A31</f>
        <v>0.68402777777777779</v>
      </c>
      <c r="B29" s="16">
        <f>'03 Recorded O'!B31</f>
        <v>72.166666666666643</v>
      </c>
      <c r="C29" s="16">
        <f>'01 Traffic inputs'!$B$8/D29*60</f>
        <v>2.6488567906620273</v>
      </c>
      <c r="D29" s="16">
        <f t="shared" si="0"/>
        <v>23.557332438650121</v>
      </c>
      <c r="E29" s="27">
        <f t="shared" si="1"/>
        <v>3.1859860843240484</v>
      </c>
      <c r="F29" s="27">
        <f>IF(D29&gt;0,INDEX('02 Emission rates'!$D$7:$D$15,MATCH(D29,'02 Emission rates'!$A$7:$A$15,1)),NA())</f>
        <v>6931.8463213424902</v>
      </c>
      <c r="G29" s="27">
        <f t="shared" si="2"/>
        <v>22084.765918470021</v>
      </c>
      <c r="H29" s="27">
        <f>IF(D29&gt;0,INDEX('02 Emission rates'!$E$7:$E$15,MATCH(D29,'02 Emission rates'!$A$7:$A$15,1)),NA())</f>
        <v>4.0758788464844926</v>
      </c>
      <c r="I29" s="27">
        <f t="shared" si="3"/>
        <v>12.985693286290347</v>
      </c>
      <c r="J29" s="27">
        <f>IF(D29&gt;0,INDEX('02 Emission rates'!$F$7:$F$15,MATCH(D29,'02 Emission rates'!$A$7:$A$15,1)),NA())</f>
        <v>62.680628166186985</v>
      </c>
      <c r="K29" s="27">
        <f t="shared" si="4"/>
        <v>199.69960909416173</v>
      </c>
      <c r="L29" s="27">
        <f>IF(D29&gt;0,INDEX('02 Emission rates'!$G$7:$G$15,MATCH(D29,'02 Emission rates'!$A$7:$A$15,1)),NA())</f>
        <v>2.7514068118353263</v>
      </c>
      <c r="M29" s="27">
        <f t="shared" si="5"/>
        <v>8.7659438148217443</v>
      </c>
      <c r="N29" s="1"/>
    </row>
    <row r="30" spans="1:14" ht="22.05" customHeight="1">
      <c r="A30" s="19">
        <f>'03 Recorded O'!A32</f>
        <v>0.6875</v>
      </c>
      <c r="B30" s="16">
        <f>'03 Recorded O'!B32</f>
        <v>71.500000000000014</v>
      </c>
      <c r="C30" s="16">
        <f>'01 Traffic inputs'!$B$8/D30*60</f>
        <v>2.6488567906620273</v>
      </c>
      <c r="D30" s="16">
        <f t="shared" si="0"/>
        <v>23.557332438650121</v>
      </c>
      <c r="E30" s="27">
        <f t="shared" si="1"/>
        <v>3.1565543422055828</v>
      </c>
      <c r="F30" s="27">
        <f>IF(D30&gt;0,INDEX('02 Emission rates'!$D$7:$D$15,MATCH(D30,'02 Emission rates'!$A$7:$A$15,1)),NA())</f>
        <v>6931.8463213424902</v>
      </c>
      <c r="G30" s="27">
        <f t="shared" si="2"/>
        <v>21880.749605135432</v>
      </c>
      <c r="H30" s="27">
        <f>IF(D30&gt;0,INDEX('02 Emission rates'!$E$7:$E$15,MATCH(D30,'02 Emission rates'!$A$7:$A$15,1)),NA())</f>
        <v>4.0758788464844926</v>
      </c>
      <c r="I30" s="27">
        <f t="shared" si="3"/>
        <v>12.865733071174507</v>
      </c>
      <c r="J30" s="27">
        <f>IF(D30&gt;0,INDEX('02 Emission rates'!$F$7:$F$15,MATCH(D30,'02 Emission rates'!$A$7:$A$15,1)),NA())</f>
        <v>62.680628166186985</v>
      </c>
      <c r="K30" s="27">
        <f t="shared" si="4"/>
        <v>197.85480901015109</v>
      </c>
      <c r="L30" s="27">
        <f>IF(D30&gt;0,INDEX('02 Emission rates'!$G$7:$G$15,MATCH(D30,'02 Emission rates'!$A$7:$A$15,1)),NA())</f>
        <v>2.7514068118353263</v>
      </c>
      <c r="M30" s="27">
        <f t="shared" si="5"/>
        <v>8.6849651190728174</v>
      </c>
      <c r="N30" s="1"/>
    </row>
    <row r="31" spans="1:14" ht="22.05" customHeight="1">
      <c r="A31" s="19">
        <f>'03 Recorded O'!A33</f>
        <v>0.69097222222222221</v>
      </c>
      <c r="B31" s="16">
        <f>'03 Recorded O'!B33</f>
        <v>67.041666666666657</v>
      </c>
      <c r="C31" s="16">
        <f>'01 Traffic inputs'!$B$8/D31*60</f>
        <v>2.6488567906620273</v>
      </c>
      <c r="D31" s="16">
        <f t="shared" si="0"/>
        <v>23.557332438650121</v>
      </c>
      <c r="E31" s="27">
        <f t="shared" si="1"/>
        <v>2.9597295667883343</v>
      </c>
      <c r="F31" s="27">
        <f>IF(D31&gt;0,INDEX('02 Emission rates'!$D$7:$D$15,MATCH(D31,'02 Emission rates'!$A$7:$A$15,1)),NA())</f>
        <v>6931.8463213424902</v>
      </c>
      <c r="G31" s="27">
        <f t="shared" si="2"/>
        <v>20516.390509710316</v>
      </c>
      <c r="H31" s="27">
        <f>IF(D31&gt;0,INDEX('02 Emission rates'!$E$7:$E$15,MATCH(D31,'02 Emission rates'!$A$7:$A$15,1)),NA())</f>
        <v>4.0758788464844926</v>
      </c>
      <c r="I31" s="27">
        <f t="shared" si="3"/>
        <v>12.063499132587284</v>
      </c>
      <c r="J31" s="27">
        <f>IF(D31&gt;0,INDEX('02 Emission rates'!$F$7:$F$15,MATCH(D31,'02 Emission rates'!$A$7:$A$15,1)),NA())</f>
        <v>62.680628166186985</v>
      </c>
      <c r="K31" s="27">
        <f t="shared" si="4"/>
        <v>185.51770844832927</v>
      </c>
      <c r="L31" s="27">
        <f>IF(D31&gt;0,INDEX('02 Emission rates'!$G$7:$G$15,MATCH(D31,'02 Emission rates'!$A$7:$A$15,1)),NA())</f>
        <v>2.7514068118353263</v>
      </c>
      <c r="M31" s="27">
        <f t="shared" si="5"/>
        <v>8.1434200912518424</v>
      </c>
      <c r="N31" s="1"/>
    </row>
    <row r="32" spans="1:14" ht="22.05" customHeight="1">
      <c r="A32" s="19">
        <f>'03 Recorded O'!A34</f>
        <v>0.69444444444444453</v>
      </c>
      <c r="B32" s="16">
        <f>'03 Recorded O'!B34</f>
        <v>64.208333333333343</v>
      </c>
      <c r="C32" s="16">
        <f>'01 Traffic inputs'!$B$8/D32*60</f>
        <v>2.6488567906620273</v>
      </c>
      <c r="D32" s="16">
        <f t="shared" si="0"/>
        <v>23.557332438650121</v>
      </c>
      <c r="E32" s="27">
        <f t="shared" si="1"/>
        <v>2.8346446627848505</v>
      </c>
      <c r="F32" s="27">
        <f>IF(D32&gt;0,INDEX('02 Emission rates'!$D$7:$D$15,MATCH(D32,'02 Emission rates'!$A$7:$A$15,1)),NA())</f>
        <v>6931.8463213424902</v>
      </c>
      <c r="G32" s="27">
        <f t="shared" si="2"/>
        <v>19649.321178038288</v>
      </c>
      <c r="H32" s="27">
        <f>IF(D32&gt;0,INDEX('02 Emission rates'!$E$7:$E$15,MATCH(D32,'02 Emission rates'!$A$7:$A$15,1)),NA())</f>
        <v>4.0758788464844926</v>
      </c>
      <c r="I32" s="27">
        <f t="shared" si="3"/>
        <v>11.55366821834494</v>
      </c>
      <c r="J32" s="27">
        <f>IF(D32&gt;0,INDEX('02 Emission rates'!$F$7:$F$15,MATCH(D32,'02 Emission rates'!$A$7:$A$15,1)),NA())</f>
        <v>62.680628166186985</v>
      </c>
      <c r="K32" s="27">
        <f t="shared" si="4"/>
        <v>177.67730809128372</v>
      </c>
      <c r="L32" s="27">
        <f>IF(D32&gt;0,INDEX('02 Emission rates'!$G$7:$G$15,MATCH(D32,'02 Emission rates'!$A$7:$A$15,1)),NA())</f>
        <v>2.7514068118353263</v>
      </c>
      <c r="M32" s="27">
        <f t="shared" si="5"/>
        <v>7.7992606343188893</v>
      </c>
      <c r="N32" s="1"/>
    </row>
    <row r="33" spans="1:14" ht="22.05" customHeight="1">
      <c r="A33" s="19">
        <f>'03 Recorded O'!A35</f>
        <v>0.69791666666666663</v>
      </c>
      <c r="B33" s="16">
        <f>'03 Recorded O'!B35</f>
        <v>65.104166666666657</v>
      </c>
      <c r="C33" s="16">
        <f>'01 Traffic inputs'!$B$8/D33*60</f>
        <v>2.6488567906620273</v>
      </c>
      <c r="D33" s="16">
        <f t="shared" si="0"/>
        <v>23.557332438650121</v>
      </c>
      <c r="E33" s="27">
        <f t="shared" si="1"/>
        <v>2.8741935662565394</v>
      </c>
      <c r="F33" s="27">
        <f>IF(D33&gt;0,INDEX('02 Emission rates'!$D$7:$D$15,MATCH(D33,'02 Emission rates'!$A$7:$A$15,1)),NA())</f>
        <v>6931.8463213424902</v>
      </c>
      <c r="G33" s="27">
        <f t="shared" si="2"/>
        <v>19923.468099081645</v>
      </c>
      <c r="H33" s="27">
        <f>IF(D33&gt;0,INDEX('02 Emission rates'!$E$7:$E$15,MATCH(D33,'02 Emission rates'!$A$7:$A$15,1)),NA())</f>
        <v>4.0758788464844926</v>
      </c>
      <c r="I33" s="27">
        <f t="shared" si="3"/>
        <v>11.714864757406854</v>
      </c>
      <c r="J33" s="27">
        <f>IF(D33&gt;0,INDEX('02 Emission rates'!$F$7:$F$15,MATCH(D33,'02 Emission rates'!$A$7:$A$15,1)),NA())</f>
        <v>62.680628166186985</v>
      </c>
      <c r="K33" s="27">
        <f t="shared" si="4"/>
        <v>180.15625820417307</v>
      </c>
      <c r="L33" s="27">
        <f>IF(D33&gt;0,INDEX('02 Emission rates'!$G$7:$G$15,MATCH(D33,'02 Emission rates'!$A$7:$A$15,1)),NA())</f>
        <v>2.7514068118353263</v>
      </c>
      <c r="M33" s="27">
        <f t="shared" si="5"/>
        <v>7.9080757567315123</v>
      </c>
      <c r="N33" s="1"/>
    </row>
    <row r="34" spans="1:14" ht="22.05" customHeight="1">
      <c r="A34" s="19">
        <f>'03 Recorded O'!A36</f>
        <v>0.70138888888888884</v>
      </c>
      <c r="B34" s="16">
        <f>'03 Recorded O'!B36</f>
        <v>69.999999999999986</v>
      </c>
      <c r="C34" s="16">
        <f>'01 Traffic inputs'!$B$8/D34*60</f>
        <v>2.6488567906620273</v>
      </c>
      <c r="D34" s="16">
        <f t="shared" si="0"/>
        <v>23.557332438650121</v>
      </c>
      <c r="E34" s="27">
        <f t="shared" si="1"/>
        <v>3.0903329224390315</v>
      </c>
      <c r="F34" s="27">
        <f>IF(D34&gt;0,INDEX('02 Emission rates'!$D$7:$D$15,MATCH(D34,'02 Emission rates'!$A$7:$A$15,1)),NA())</f>
        <v>6931.8463213424902</v>
      </c>
      <c r="G34" s="27">
        <f t="shared" si="2"/>
        <v>21421.712900132588</v>
      </c>
      <c r="H34" s="27">
        <f>IF(D34&gt;0,INDEX('02 Emission rates'!$E$7:$E$15,MATCH(D34,'02 Emission rates'!$A$7:$A$15,1)),NA())</f>
        <v>4.0758788464844926</v>
      </c>
      <c r="I34" s="27">
        <f t="shared" si="3"/>
        <v>12.59582258716385</v>
      </c>
      <c r="J34" s="27">
        <f>IF(D34&gt;0,INDEX('02 Emission rates'!$F$7:$F$15,MATCH(D34,'02 Emission rates'!$A$7:$A$15,1)),NA())</f>
        <v>62.680628166186985</v>
      </c>
      <c r="K34" s="27">
        <f t="shared" si="4"/>
        <v>193.70400882112691</v>
      </c>
      <c r="L34" s="27">
        <f>IF(D34&gt;0,INDEX('02 Emission rates'!$G$7:$G$15,MATCH(D34,'02 Emission rates'!$A$7:$A$15,1)),NA())</f>
        <v>2.7514068118353263</v>
      </c>
      <c r="M34" s="27">
        <f t="shared" si="5"/>
        <v>8.5027630536377217</v>
      </c>
      <c r="N34" s="1"/>
    </row>
    <row r="35" spans="1:14" ht="22.05" customHeight="1">
      <c r="A35" s="19">
        <f>'03 Recorded O'!A37</f>
        <v>0.70486111111111116</v>
      </c>
      <c r="B35" s="16">
        <f>'03 Recorded O'!B37</f>
        <v>69.583333333333314</v>
      </c>
      <c r="C35" s="16">
        <f>'01 Traffic inputs'!$B$8/D35*60</f>
        <v>2.6488567906620273</v>
      </c>
      <c r="D35" s="16">
        <f t="shared" si="0"/>
        <v>23.557332438650121</v>
      </c>
      <c r="E35" s="27">
        <f t="shared" si="1"/>
        <v>3.071938083614989</v>
      </c>
      <c r="F35" s="27">
        <f>IF(D35&gt;0,INDEX('02 Emission rates'!$D$7:$D$15,MATCH(D35,'02 Emission rates'!$A$7:$A$15,1)),NA())</f>
        <v>6931.8463213424902</v>
      </c>
      <c r="G35" s="27">
        <f t="shared" si="2"/>
        <v>21294.202704298459</v>
      </c>
      <c r="H35" s="27">
        <f>IF(D35&gt;0,INDEX('02 Emission rates'!$E$7:$E$15,MATCH(D35,'02 Emission rates'!$A$7:$A$15,1)),NA())</f>
        <v>4.0758788464844926</v>
      </c>
      <c r="I35" s="27">
        <f t="shared" si="3"/>
        <v>12.520847452716444</v>
      </c>
      <c r="J35" s="27">
        <f>IF(D35&gt;0,INDEX('02 Emission rates'!$F$7:$F$15,MATCH(D35,'02 Emission rates'!$A$7:$A$15,1)),NA())</f>
        <v>62.680628166186985</v>
      </c>
      <c r="K35" s="27">
        <f t="shared" si="4"/>
        <v>192.55100876862014</v>
      </c>
      <c r="L35" s="27">
        <f>IF(D35&gt;0,INDEX('02 Emission rates'!$G$7:$G$15,MATCH(D35,'02 Emission rates'!$A$7:$A$15,1)),NA())</f>
        <v>2.7514068118353263</v>
      </c>
      <c r="M35" s="27">
        <f t="shared" si="5"/>
        <v>8.4521513687946381</v>
      </c>
      <c r="N35" s="1"/>
    </row>
    <row r="36" spans="1:14" ht="22.05" customHeight="1">
      <c r="A36" s="19">
        <f>'03 Recorded O'!A38</f>
        <v>0.70833333333333337</v>
      </c>
      <c r="B36" s="16">
        <f>'03 Recorded O'!B38</f>
        <v>66.208333333333314</v>
      </c>
      <c r="C36" s="16">
        <f>'01 Traffic inputs'!$B$8/D36*60</f>
        <v>2.6488567906620273</v>
      </c>
      <c r="D36" s="16">
        <f t="shared" si="0"/>
        <v>23.557332438650121</v>
      </c>
      <c r="E36" s="27">
        <f t="shared" si="1"/>
        <v>2.9229398891402503</v>
      </c>
      <c r="F36" s="27">
        <f>IF(D36&gt;0,INDEX('02 Emission rates'!$D$7:$D$15,MATCH(D36,'02 Emission rates'!$A$7:$A$15,1)),NA())</f>
        <v>6931.8463213424902</v>
      </c>
      <c r="G36" s="27">
        <f t="shared" si="2"/>
        <v>20261.370118042068</v>
      </c>
      <c r="H36" s="27">
        <f>IF(D36&gt;0,INDEX('02 Emission rates'!$E$7:$E$15,MATCH(D36,'02 Emission rates'!$A$7:$A$15,1)),NA())</f>
        <v>4.0758788464844926</v>
      </c>
      <c r="I36" s="27">
        <f t="shared" si="3"/>
        <v>11.913548863692474</v>
      </c>
      <c r="J36" s="27">
        <f>IF(D36&gt;0,INDEX('02 Emission rates'!$F$7:$F$15,MATCH(D36,'02 Emission rates'!$A$7:$A$15,1)),NA())</f>
        <v>62.680628166186985</v>
      </c>
      <c r="K36" s="27">
        <f t="shared" si="4"/>
        <v>183.21170834331582</v>
      </c>
      <c r="L36" s="27">
        <f>IF(D36&gt;0,INDEX('02 Emission rates'!$G$7:$G$15,MATCH(D36,'02 Emission rates'!$A$7:$A$15,1)),NA())</f>
        <v>2.7514068118353263</v>
      </c>
      <c r="M36" s="27">
        <f t="shared" si="5"/>
        <v>8.0421967215656789</v>
      </c>
      <c r="N36" s="1"/>
    </row>
    <row r="37" spans="1:14" ht="22.05" customHeight="1">
      <c r="A37" s="19">
        <f>'03 Recorded O'!A39</f>
        <v>0.71180555555555547</v>
      </c>
      <c r="B37" s="16">
        <f>'03 Recorded O'!B39</f>
        <v>60.375</v>
      </c>
      <c r="C37" s="16">
        <f>'01 Traffic inputs'!$B$8/D37*60</f>
        <v>2.6488567906620273</v>
      </c>
      <c r="D37" s="16">
        <f t="shared" si="0"/>
        <v>23.557332438650121</v>
      </c>
      <c r="E37" s="27">
        <f t="shared" si="1"/>
        <v>2.665412145603665</v>
      </c>
      <c r="F37" s="27">
        <f>IF(D37&gt;0,INDEX('02 Emission rates'!$D$7:$D$15,MATCH(D37,'02 Emission rates'!$A$7:$A$15,1)),NA())</f>
        <v>6931.8463213424902</v>
      </c>
      <c r="G37" s="27">
        <f t="shared" si="2"/>
        <v>18476.227376364361</v>
      </c>
      <c r="H37" s="27">
        <f>IF(D37&gt;0,INDEX('02 Emission rates'!$E$7:$E$15,MATCH(D37,'02 Emission rates'!$A$7:$A$15,1)),NA())</f>
        <v>4.0758788464844926</v>
      </c>
      <c r="I37" s="27">
        <f t="shared" si="3"/>
        <v>10.863896981428823</v>
      </c>
      <c r="J37" s="27">
        <f>IF(D37&gt;0,INDEX('02 Emission rates'!$F$7:$F$15,MATCH(D37,'02 Emission rates'!$A$7:$A$15,1)),NA())</f>
        <v>62.680628166186985</v>
      </c>
      <c r="K37" s="27">
        <f t="shared" si="4"/>
        <v>167.06970760822196</v>
      </c>
      <c r="L37" s="27">
        <f>IF(D37&gt;0,INDEX('02 Emission rates'!$G$7:$G$15,MATCH(D37,'02 Emission rates'!$A$7:$A$15,1)),NA())</f>
        <v>2.7514068118353263</v>
      </c>
      <c r="M37" s="27">
        <f t="shared" si="5"/>
        <v>7.3336331337625369</v>
      </c>
      <c r="N37" s="1"/>
    </row>
    <row r="38" spans="1:14" ht="22.05" customHeight="1">
      <c r="A38" s="19">
        <f>'03 Recorded O'!A40</f>
        <v>0.71527777777777779</v>
      </c>
      <c r="B38" s="16">
        <f>'03 Recorded O'!B40</f>
        <v>58.729166666666643</v>
      </c>
      <c r="C38" s="16">
        <f>'01 Traffic inputs'!$B$8/D38*60</f>
        <v>2.6488567906620273</v>
      </c>
      <c r="D38" s="16">
        <f t="shared" si="0"/>
        <v>23.557332438650121</v>
      </c>
      <c r="E38" s="27">
        <f t="shared" si="1"/>
        <v>2.5927525322486984</v>
      </c>
      <c r="F38" s="27">
        <f>IF(D38&gt;0,INDEX('02 Emission rates'!$D$7:$D$15,MATCH(D38,'02 Emission rates'!$A$7:$A$15,1)),NA())</f>
        <v>6931.8463213424902</v>
      </c>
      <c r="G38" s="27">
        <f t="shared" si="2"/>
        <v>17972.562102819567</v>
      </c>
      <c r="H38" s="27">
        <f>IF(D38&gt;0,INDEX('02 Emission rates'!$E$7:$E$15,MATCH(D38,'02 Emission rates'!$A$7:$A$15,1)),NA())</f>
        <v>4.0758788464844926</v>
      </c>
      <c r="I38" s="27">
        <f t="shared" si="3"/>
        <v>10.567745200361571</v>
      </c>
      <c r="J38" s="27">
        <f>IF(D38&gt;0,INDEX('02 Emission rates'!$F$7:$F$15,MATCH(D38,'02 Emission rates'!$A$7:$A$15,1)),NA())</f>
        <v>62.680628166186985</v>
      </c>
      <c r="K38" s="27">
        <f t="shared" si="4"/>
        <v>162.51535740082039</v>
      </c>
      <c r="L38" s="27">
        <f>IF(D38&gt;0,INDEX('02 Emission rates'!$G$7:$G$15,MATCH(D38,'02 Emission rates'!$A$7:$A$15,1)),NA())</f>
        <v>2.7514068118353263</v>
      </c>
      <c r="M38" s="27">
        <f t="shared" si="5"/>
        <v>7.1337169786323607</v>
      </c>
      <c r="N38" s="1"/>
    </row>
    <row r="39" spans="1:14" ht="22.05" customHeight="1">
      <c r="A39" s="19">
        <f>'03 Recorded O'!A41</f>
        <v>0.71875</v>
      </c>
      <c r="B39" s="16">
        <f>'03 Recorded O'!B41</f>
        <v>58.291666666666657</v>
      </c>
      <c r="C39" s="16">
        <f>'01 Traffic inputs'!$B$8/D39*60</f>
        <v>2.6488567906620273</v>
      </c>
      <c r="D39" s="16">
        <f t="shared" si="0"/>
        <v>23.557332438650121</v>
      </c>
      <c r="E39" s="27">
        <f t="shared" si="1"/>
        <v>2.5734379514834553</v>
      </c>
      <c r="F39" s="27">
        <f>IF(D39&gt;0,INDEX('02 Emission rates'!$D$7:$D$15,MATCH(D39,'02 Emission rates'!$A$7:$A$15,1)),NA())</f>
        <v>6931.8463213424902</v>
      </c>
      <c r="G39" s="27">
        <f t="shared" si="2"/>
        <v>17838.676397193743</v>
      </c>
      <c r="H39" s="27">
        <f>IF(D39&gt;0,INDEX('02 Emission rates'!$E$7:$E$15,MATCH(D39,'02 Emission rates'!$A$7:$A$15,1)),NA())</f>
        <v>4.0758788464844926</v>
      </c>
      <c r="I39" s="27">
        <f t="shared" si="3"/>
        <v>10.489021309191802</v>
      </c>
      <c r="J39" s="27">
        <f>IF(D39&gt;0,INDEX('02 Emission rates'!$F$7:$F$15,MATCH(D39,'02 Emission rates'!$A$7:$A$15,1)),NA())</f>
        <v>62.680628166186985</v>
      </c>
      <c r="K39" s="27">
        <f t="shared" si="4"/>
        <v>161.3047073456884</v>
      </c>
      <c r="L39" s="27">
        <f>IF(D39&gt;0,INDEX('02 Emission rates'!$G$7:$G$15,MATCH(D39,'02 Emission rates'!$A$7:$A$15,1)),NA())</f>
        <v>2.7514068118353263</v>
      </c>
      <c r="M39" s="27">
        <f t="shared" si="5"/>
        <v>7.0805747095471272</v>
      </c>
      <c r="N39" s="1"/>
    </row>
    <row r="40" spans="1:14" ht="22.05" customHeight="1">
      <c r="A40" s="19">
        <f>'03 Recorded O'!A42</f>
        <v>0.72222222222222221</v>
      </c>
      <c r="B40" s="16">
        <f>'03 Recorded O'!B42</f>
        <v>61.270833333333336</v>
      </c>
      <c r="C40" s="16">
        <f>'01 Traffic inputs'!$B$8/D40*60</f>
        <v>2.6488567906620273</v>
      </c>
      <c r="D40" s="16">
        <f t="shared" si="0"/>
        <v>23.557332438650121</v>
      </c>
      <c r="E40" s="27">
        <f t="shared" si="1"/>
        <v>2.7049610490753553</v>
      </c>
      <c r="F40" s="27">
        <f>IF(D40&gt;0,INDEX('02 Emission rates'!$D$7:$D$15,MATCH(D40,'02 Emission rates'!$A$7:$A$15,1)),NA())</f>
        <v>6931.8463213424902</v>
      </c>
      <c r="G40" s="27">
        <f t="shared" si="2"/>
        <v>18750.374297407725</v>
      </c>
      <c r="H40" s="27">
        <f>IF(D40&gt;0,INDEX('02 Emission rates'!$E$7:$E$15,MATCH(D40,'02 Emission rates'!$A$7:$A$15,1)),NA())</f>
        <v>4.0758788464844926</v>
      </c>
      <c r="I40" s="27">
        <f t="shared" si="3"/>
        <v>11.025093520490742</v>
      </c>
      <c r="J40" s="27">
        <f>IF(D40&gt;0,INDEX('02 Emission rates'!$F$7:$F$15,MATCH(D40,'02 Emission rates'!$A$7:$A$15,1)),NA())</f>
        <v>62.680628166186985</v>
      </c>
      <c r="K40" s="27">
        <f t="shared" si="4"/>
        <v>169.5486577211114</v>
      </c>
      <c r="L40" s="27">
        <f>IF(D40&gt;0,INDEX('02 Emission rates'!$G$7:$G$15,MATCH(D40,'02 Emission rates'!$A$7:$A$15,1)),NA())</f>
        <v>2.7514068118353263</v>
      </c>
      <c r="M40" s="27">
        <f t="shared" si="5"/>
        <v>7.4424482561751626</v>
      </c>
      <c r="N40" s="1"/>
    </row>
    <row r="41" spans="1:14" ht="22.05" customHeight="1">
      <c r="A41" s="19">
        <f>'03 Recorded O'!A43</f>
        <v>0.72569444444444453</v>
      </c>
      <c r="B41" s="16">
        <f>'03 Recorded O'!B43</f>
        <v>61.062500000000028</v>
      </c>
      <c r="C41" s="16">
        <f>'01 Traffic inputs'!$B$8/D41*60</f>
        <v>2.6488567906620273</v>
      </c>
      <c r="D41" s="16">
        <f t="shared" ref="D41:D65" si="6">$B$4</f>
        <v>23.557332438650121</v>
      </c>
      <c r="E41" s="27">
        <f t="shared" ref="E41:E65" si="7">B41*C41/60</f>
        <v>2.6957636296633352</v>
      </c>
      <c r="F41" s="27">
        <f>IF(D41&gt;0,INDEX('02 Emission rates'!$D$7:$D$15,MATCH(D41,'02 Emission rates'!$A$7:$A$15,1)),NA())</f>
        <v>6931.8463213424902</v>
      </c>
      <c r="G41" s="27">
        <f t="shared" ref="G41:G65" si="8">E41*F41</f>
        <v>18686.619199490669</v>
      </c>
      <c r="H41" s="27">
        <f>IF(D41&gt;0,INDEX('02 Emission rates'!$E$7:$E$15,MATCH(D41,'02 Emission rates'!$A$7:$A$15,1)),NA())</f>
        <v>4.0758788464844926</v>
      </c>
      <c r="I41" s="27">
        <f t="shared" ref="I41:I65" si="9">E41*H41</f>
        <v>10.987605953267044</v>
      </c>
      <c r="J41" s="27">
        <f>IF(D41&gt;0,INDEX('02 Emission rates'!$F$7:$F$15,MATCH(D41,'02 Emission rates'!$A$7:$A$15,1)),NA())</f>
        <v>62.680628166186985</v>
      </c>
      <c r="K41" s="27">
        <f t="shared" ref="K41:K65" si="10">E41*J41</f>
        <v>168.97215769485811</v>
      </c>
      <c r="L41" s="27">
        <f>IF(D41&gt;0,INDEX('02 Emission rates'!$G$7:$G$15,MATCH(D41,'02 Emission rates'!$A$7:$A$15,1)),NA())</f>
        <v>2.7514068118353263</v>
      </c>
      <c r="M41" s="27">
        <f t="shared" ref="M41:M65" si="11">E41*L41</f>
        <v>7.4171424137536244</v>
      </c>
      <c r="N41" s="1"/>
    </row>
    <row r="42" spans="1:14" ht="22.05" customHeight="1">
      <c r="A42" s="19">
        <f>'03 Recorded O'!A44</f>
        <v>0.72916666666666663</v>
      </c>
      <c r="B42" s="16">
        <f>'03 Recorded O'!B44</f>
        <v>62.291666666666657</v>
      </c>
      <c r="C42" s="16">
        <f>'01 Traffic inputs'!$B$8/D42*60</f>
        <v>2.6488567906620273</v>
      </c>
      <c r="D42" s="16">
        <f t="shared" si="6"/>
        <v>23.557332438650121</v>
      </c>
      <c r="E42" s="27">
        <f t="shared" si="7"/>
        <v>2.7500284041942566</v>
      </c>
      <c r="F42" s="27">
        <f>IF(D42&gt;0,INDEX('02 Emission rates'!$D$7:$D$15,MATCH(D42,'02 Emission rates'!$A$7:$A$15,1)),NA())</f>
        <v>6931.8463213424902</v>
      </c>
      <c r="G42" s="27">
        <f t="shared" si="8"/>
        <v>19062.774277201315</v>
      </c>
      <c r="H42" s="27">
        <f>IF(D42&gt;0,INDEX('02 Emission rates'!$E$7:$E$15,MATCH(D42,'02 Emission rates'!$A$7:$A$15,1)),NA())</f>
        <v>4.0758788464844926</v>
      </c>
      <c r="I42" s="27">
        <f t="shared" si="9"/>
        <v>11.208782599886877</v>
      </c>
      <c r="J42" s="27">
        <f>IF(D42&gt;0,INDEX('02 Emission rates'!$F$7:$F$15,MATCH(D42,'02 Emission rates'!$A$7:$A$15,1)),NA())</f>
        <v>62.680628166186985</v>
      </c>
      <c r="K42" s="27">
        <f t="shared" si="10"/>
        <v>172.37350784975277</v>
      </c>
      <c r="L42" s="27">
        <f>IF(D42&gt;0,INDEX('02 Emission rates'!$G$7:$G$15,MATCH(D42,'02 Emission rates'!$A$7:$A$15,1)),NA())</f>
        <v>2.7514068118353263</v>
      </c>
      <c r="M42" s="27">
        <f t="shared" si="11"/>
        <v>7.56644688404071</v>
      </c>
      <c r="N42" s="1"/>
    </row>
    <row r="43" spans="1:14" ht="22.05" customHeight="1">
      <c r="A43" s="19">
        <f>'03 Recorded O'!A45</f>
        <v>0.73263888888888884</v>
      </c>
      <c r="B43" s="16">
        <f>'03 Recorded O'!B45</f>
        <v>62.208333333333329</v>
      </c>
      <c r="C43" s="16">
        <f>'01 Traffic inputs'!$B$8/D43*60</f>
        <v>2.6488567906620273</v>
      </c>
      <c r="D43" s="16">
        <f t="shared" si="6"/>
        <v>23.557332438650121</v>
      </c>
      <c r="E43" s="27">
        <f t="shared" si="7"/>
        <v>2.746349436429449</v>
      </c>
      <c r="F43" s="27">
        <f>IF(D43&gt;0,INDEX('02 Emission rates'!$D$7:$D$15,MATCH(D43,'02 Emission rates'!$A$7:$A$15,1)),NA())</f>
        <v>6931.8463213424902</v>
      </c>
      <c r="G43" s="27">
        <f t="shared" si="8"/>
        <v>19037.272238034497</v>
      </c>
      <c r="H43" s="27">
        <f>IF(D43&gt;0,INDEX('02 Emission rates'!$E$7:$E$15,MATCH(D43,'02 Emission rates'!$A$7:$A$15,1)),NA())</f>
        <v>4.0758788464844926</v>
      </c>
      <c r="I43" s="27">
        <f t="shared" si="9"/>
        <v>11.193787572997399</v>
      </c>
      <c r="J43" s="27">
        <f>IF(D43&gt;0,INDEX('02 Emission rates'!$F$7:$F$15,MATCH(D43,'02 Emission rates'!$A$7:$A$15,1)),NA())</f>
        <v>62.680628166186985</v>
      </c>
      <c r="K43" s="27">
        <f t="shared" si="10"/>
        <v>172.14290783925148</v>
      </c>
      <c r="L43" s="27">
        <f>IF(D43&gt;0,INDEX('02 Emission rates'!$G$7:$G$15,MATCH(D43,'02 Emission rates'!$A$7:$A$15,1)),NA())</f>
        <v>2.7514068118353263</v>
      </c>
      <c r="M43" s="27">
        <f t="shared" si="11"/>
        <v>7.5563245470720952</v>
      </c>
      <c r="N43" s="1"/>
    </row>
    <row r="44" spans="1:14" ht="22.05" customHeight="1">
      <c r="A44" s="19">
        <f>'03 Recorded O'!A46</f>
        <v>0.73611111111111116</v>
      </c>
      <c r="B44" s="16">
        <f>'03 Recorded O'!B46</f>
        <v>64.604166666666671</v>
      </c>
      <c r="C44" s="16">
        <f>'01 Traffic inputs'!$B$8/D44*60</f>
        <v>2.6488567906620273</v>
      </c>
      <c r="D44" s="16">
        <f t="shared" si="6"/>
        <v>23.557332438650121</v>
      </c>
      <c r="E44" s="27">
        <f t="shared" si="7"/>
        <v>2.8521197596676897</v>
      </c>
      <c r="F44" s="27">
        <f>IF(D44&gt;0,INDEX('02 Emission rates'!$D$7:$D$15,MATCH(D44,'02 Emission rates'!$A$7:$A$15,1)),NA())</f>
        <v>6931.8463213424902</v>
      </c>
      <c r="G44" s="27">
        <f t="shared" si="8"/>
        <v>19770.455864080701</v>
      </c>
      <c r="H44" s="27">
        <f>IF(D44&gt;0,INDEX('02 Emission rates'!$E$7:$E$15,MATCH(D44,'02 Emission rates'!$A$7:$A$15,1)),NA())</f>
        <v>4.0758788464844926</v>
      </c>
      <c r="I44" s="27">
        <f t="shared" si="9"/>
        <v>11.624894596069971</v>
      </c>
      <c r="J44" s="27">
        <f>IF(D44&gt;0,INDEX('02 Emission rates'!$F$7:$F$15,MATCH(D44,'02 Emission rates'!$A$7:$A$15,1)),NA())</f>
        <v>62.680628166186985</v>
      </c>
      <c r="K44" s="27">
        <f t="shared" si="10"/>
        <v>178.77265814116504</v>
      </c>
      <c r="L44" s="27">
        <f>IF(D44&gt;0,INDEX('02 Emission rates'!$G$7:$G$15,MATCH(D44,'02 Emission rates'!$A$7:$A$15,1)),NA())</f>
        <v>2.7514068118353263</v>
      </c>
      <c r="M44" s="27">
        <f t="shared" si="11"/>
        <v>7.8473417349198149</v>
      </c>
      <c r="N44" s="1"/>
    </row>
    <row r="45" spans="1:14" ht="22.05" customHeight="1">
      <c r="A45" s="19">
        <f>'03 Recorded O'!A47</f>
        <v>0.73958333333333337</v>
      </c>
      <c r="B45" s="16">
        <f>'03 Recorded O'!B47</f>
        <v>69.375000000000028</v>
      </c>
      <c r="C45" s="16">
        <f>'01 Traffic inputs'!$B$8/D45*60</f>
        <v>2.6488567906620273</v>
      </c>
      <c r="D45" s="16">
        <f t="shared" si="6"/>
        <v>23.557332438650121</v>
      </c>
      <c r="E45" s="27">
        <f t="shared" si="7"/>
        <v>3.0627406642029702</v>
      </c>
      <c r="F45" s="27">
        <f>IF(D45&gt;0,INDEX('02 Emission rates'!$D$7:$D$15,MATCH(D45,'02 Emission rates'!$A$7:$A$15,1)),NA())</f>
        <v>6931.8463213424902</v>
      </c>
      <c r="G45" s="27">
        <f t="shared" si="8"/>
        <v>21230.447606381415</v>
      </c>
      <c r="H45" s="27">
        <f>IF(D45&gt;0,INDEX('02 Emission rates'!$E$7:$E$15,MATCH(D45,'02 Emission rates'!$A$7:$A$15,1)),NA())</f>
        <v>4.0758788464844926</v>
      </c>
      <c r="I45" s="27">
        <f t="shared" si="9"/>
        <v>12.483359885492751</v>
      </c>
      <c r="J45" s="27">
        <f>IF(D45&gt;0,INDEX('02 Emission rates'!$F$7:$F$15,MATCH(D45,'02 Emission rates'!$A$7:$A$15,1)),NA())</f>
        <v>62.680628166186985</v>
      </c>
      <c r="K45" s="27">
        <f t="shared" si="10"/>
        <v>191.97450874236694</v>
      </c>
      <c r="L45" s="27">
        <f>IF(D45&gt;0,INDEX('02 Emission rates'!$G$7:$G$15,MATCH(D45,'02 Emission rates'!$A$7:$A$15,1)),NA())</f>
        <v>2.7514068118353263</v>
      </c>
      <c r="M45" s="27">
        <f t="shared" si="11"/>
        <v>8.4268455263731035</v>
      </c>
      <c r="N45" s="1"/>
    </row>
    <row r="46" spans="1:14" ht="22.05" customHeight="1">
      <c r="A46" s="19">
        <f>'03 Recorded O'!A48</f>
        <v>0.74305555555555547</v>
      </c>
      <c r="B46" s="16">
        <f>'03 Recorded O'!B48</f>
        <v>72.1458333333333</v>
      </c>
      <c r="C46" s="16">
        <f>'01 Traffic inputs'!$B$8/D46*60</f>
        <v>2.6488567906620273</v>
      </c>
      <c r="D46" s="16">
        <f t="shared" si="6"/>
        <v>23.557332438650121</v>
      </c>
      <c r="E46" s="27">
        <f t="shared" si="7"/>
        <v>3.185066342382846</v>
      </c>
      <c r="F46" s="27">
        <f>IF(D46&gt;0,INDEX('02 Emission rates'!$D$7:$D$15,MATCH(D46,'02 Emission rates'!$A$7:$A$15,1)),NA())</f>
        <v>6931.8463213424902</v>
      </c>
      <c r="G46" s="27">
        <f t="shared" si="8"/>
        <v>22078.390408678311</v>
      </c>
      <c r="H46" s="27">
        <f>IF(D46&gt;0,INDEX('02 Emission rates'!$E$7:$E$15,MATCH(D46,'02 Emission rates'!$A$7:$A$15,1)),NA())</f>
        <v>4.0758788464844926</v>
      </c>
      <c r="I46" s="27">
        <f t="shared" si="9"/>
        <v>12.981944529567976</v>
      </c>
      <c r="J46" s="27">
        <f>IF(D46&gt;0,INDEX('02 Emission rates'!$F$7:$F$15,MATCH(D46,'02 Emission rates'!$A$7:$A$15,1)),NA())</f>
        <v>62.680628166186985</v>
      </c>
      <c r="K46" s="27">
        <f t="shared" si="10"/>
        <v>199.64195909153636</v>
      </c>
      <c r="L46" s="27">
        <f>IF(D46&gt;0,INDEX('02 Emission rates'!$G$7:$G$15,MATCH(D46,'02 Emission rates'!$A$7:$A$15,1)),NA())</f>
        <v>2.7514068118353263</v>
      </c>
      <c r="M46" s="27">
        <f t="shared" si="11"/>
        <v>8.7634132305795909</v>
      </c>
      <c r="N46" s="1"/>
    </row>
    <row r="47" spans="1:14" ht="22.05" customHeight="1">
      <c r="A47" s="19">
        <f>'03 Recorded O'!A49</f>
        <v>0.74652777777777779</v>
      </c>
      <c r="B47" s="16">
        <f>'03 Recorded O'!B49</f>
        <v>74.833333333333343</v>
      </c>
      <c r="C47" s="16">
        <f>'01 Traffic inputs'!$B$8/D47*60</f>
        <v>2.6488567906620273</v>
      </c>
      <c r="D47" s="16">
        <f t="shared" si="6"/>
        <v>23.557332438650121</v>
      </c>
      <c r="E47" s="27">
        <f t="shared" si="7"/>
        <v>3.3037130527979177</v>
      </c>
      <c r="F47" s="27">
        <f>IF(D47&gt;0,INDEX('02 Emission rates'!$D$7:$D$15,MATCH(D47,'02 Emission rates'!$A$7:$A$15,1)),NA())</f>
        <v>6931.8463213424902</v>
      </c>
      <c r="G47" s="27">
        <f t="shared" si="8"/>
        <v>22900.831171808415</v>
      </c>
      <c r="H47" s="27">
        <f>IF(D47&gt;0,INDEX('02 Emission rates'!$E$7:$E$15,MATCH(D47,'02 Emission rates'!$A$7:$A$15,1)),NA())</f>
        <v>4.0758788464844926</v>
      </c>
      <c r="I47" s="27">
        <f t="shared" si="9"/>
        <v>13.465534146753738</v>
      </c>
      <c r="J47" s="27">
        <f>IF(D47&gt;0,INDEX('02 Emission rates'!$F$7:$F$15,MATCH(D47,'02 Emission rates'!$A$7:$A$15,1)),NA())</f>
        <v>62.680628166186985</v>
      </c>
      <c r="K47" s="27">
        <f t="shared" si="10"/>
        <v>207.07880943020476</v>
      </c>
      <c r="L47" s="27">
        <f>IF(D47&gt;0,INDEX('02 Emission rates'!$G$7:$G$15,MATCH(D47,'02 Emission rates'!$A$7:$A$15,1)),NA())</f>
        <v>2.7514068118353263</v>
      </c>
      <c r="M47" s="27">
        <f t="shared" si="11"/>
        <v>9.0898585978174715</v>
      </c>
      <c r="N47" s="1"/>
    </row>
    <row r="48" spans="1:14" ht="22.05" customHeight="1">
      <c r="A48" s="19">
        <f>'03 Recorded O'!A50</f>
        <v>0.75</v>
      </c>
      <c r="B48" s="16">
        <f>'03 Recorded O'!B50</f>
        <v>75.520833333333343</v>
      </c>
      <c r="C48" s="16">
        <f>'01 Traffic inputs'!$B$8/D48*60</f>
        <v>2.6488567906620273</v>
      </c>
      <c r="D48" s="16">
        <f t="shared" si="6"/>
        <v>23.557332438650121</v>
      </c>
      <c r="E48" s="27">
        <f t="shared" si="7"/>
        <v>3.334064536857587</v>
      </c>
      <c r="F48" s="27">
        <f>IF(D48&gt;0,INDEX('02 Emission rates'!$D$7:$D$15,MATCH(D48,'02 Emission rates'!$A$7:$A$15,1)),NA())</f>
        <v>6931.8463213424902</v>
      </c>
      <c r="G48" s="27">
        <f t="shared" si="8"/>
        <v>23111.222994934717</v>
      </c>
      <c r="H48" s="27">
        <f>IF(D48&gt;0,INDEX('02 Emission rates'!$E$7:$E$15,MATCH(D48,'02 Emission rates'!$A$7:$A$15,1)),NA())</f>
        <v>4.0758788464844926</v>
      </c>
      <c r="I48" s="27">
        <f t="shared" si="9"/>
        <v>13.589243118591956</v>
      </c>
      <c r="J48" s="27">
        <f>IF(D48&gt;0,INDEX('02 Emission rates'!$F$7:$F$15,MATCH(D48,'02 Emission rates'!$A$7:$A$15,1)),NA())</f>
        <v>62.680628166186985</v>
      </c>
      <c r="K48" s="27">
        <f t="shared" si="10"/>
        <v>208.98125951684082</v>
      </c>
      <c r="L48" s="27">
        <f>IF(D48&gt;0,INDEX('02 Emission rates'!$G$7:$G$15,MATCH(D48,'02 Emission rates'!$A$7:$A$15,1)),NA())</f>
        <v>2.7514068118353263</v>
      </c>
      <c r="M48" s="27">
        <f t="shared" si="11"/>
        <v>9.1733678778085572</v>
      </c>
      <c r="N48" s="1"/>
    </row>
    <row r="49" spans="1:14" ht="22.05" customHeight="1">
      <c r="A49" s="19">
        <f>'03 Recorded O'!A51</f>
        <v>0.75347222222222199</v>
      </c>
      <c r="B49" s="16">
        <f>'03 Recorded O'!B51</f>
        <v>78.208333333333343</v>
      </c>
      <c r="C49" s="16">
        <f>'01 Traffic inputs'!$B$8/D49*60</f>
        <v>2.6488567906620273</v>
      </c>
      <c r="D49" s="16">
        <f t="shared" si="6"/>
        <v>23.557332438650121</v>
      </c>
      <c r="E49" s="27">
        <f t="shared" si="7"/>
        <v>3.4527112472726569</v>
      </c>
      <c r="F49" s="27">
        <f>IF(D49&gt;0,INDEX('02 Emission rates'!$D$7:$D$15,MATCH(D49,'02 Emission rates'!$A$7:$A$15,1)),NA())</f>
        <v>6931.8463213424902</v>
      </c>
      <c r="G49" s="27">
        <f t="shared" si="8"/>
        <v>23933.663758064809</v>
      </c>
      <c r="H49" s="27">
        <f>IF(D49&gt;0,INDEX('02 Emission rates'!$E$7:$E$15,MATCH(D49,'02 Emission rates'!$A$7:$A$15,1)),NA())</f>
        <v>4.0758788464844926</v>
      </c>
      <c r="I49" s="27">
        <f t="shared" si="9"/>
        <v>14.072832735777711</v>
      </c>
      <c r="J49" s="27">
        <f>IF(D49&gt;0,INDEX('02 Emission rates'!$F$7:$F$15,MATCH(D49,'02 Emission rates'!$A$7:$A$15,1)),NA())</f>
        <v>62.680628166186985</v>
      </c>
      <c r="K49" s="27">
        <f t="shared" si="10"/>
        <v>216.4181098555091</v>
      </c>
      <c r="L49" s="27">
        <f>IF(D49&gt;0,INDEX('02 Emission rates'!$G$7:$G$15,MATCH(D49,'02 Emission rates'!$A$7:$A$15,1)),NA())</f>
        <v>2.7514068118353263</v>
      </c>
      <c r="M49" s="27">
        <f t="shared" si="11"/>
        <v>9.4998132450464343</v>
      </c>
      <c r="N49" s="1"/>
    </row>
    <row r="50" spans="1:14" ht="22.05" customHeight="1">
      <c r="A50" s="19">
        <f>'03 Recorded O'!A52</f>
        <v>0.75694444444444453</v>
      </c>
      <c r="B50" s="16">
        <f>'03 Recorded O'!B52</f>
        <v>81.0625</v>
      </c>
      <c r="C50" s="16">
        <f>'01 Traffic inputs'!$B$8/D50*60</f>
        <v>2.6488567906620273</v>
      </c>
      <c r="D50" s="16">
        <f t="shared" si="6"/>
        <v>23.557332438650121</v>
      </c>
      <c r="E50" s="27">
        <f t="shared" si="7"/>
        <v>3.5787158932173431</v>
      </c>
      <c r="F50" s="27">
        <f>IF(D50&gt;0,INDEX('02 Emission rates'!$D$7:$D$15,MATCH(D50,'02 Emission rates'!$A$7:$A$15,1)),NA())</f>
        <v>6931.8463213424902</v>
      </c>
      <c r="G50" s="27">
        <f t="shared" si="8"/>
        <v>24807.108599528543</v>
      </c>
      <c r="H50" s="27">
        <f>IF(D50&gt;0,INDEX('02 Emission rates'!$E$7:$E$15,MATCH(D50,'02 Emission rates'!$A$7:$A$15,1)),NA())</f>
        <v>4.0758788464844926</v>
      </c>
      <c r="I50" s="27">
        <f t="shared" si="9"/>
        <v>14.586412406742426</v>
      </c>
      <c r="J50" s="27">
        <f>IF(D50&gt;0,INDEX('02 Emission rates'!$F$7:$F$15,MATCH(D50,'02 Emission rates'!$A$7:$A$15,1)),NA())</f>
        <v>62.680628166186985</v>
      </c>
      <c r="K50" s="27">
        <f t="shared" si="10"/>
        <v>224.31616021518002</v>
      </c>
      <c r="L50" s="27">
        <f>IF(D50&gt;0,INDEX('02 Emission rates'!$G$7:$G$15,MATCH(D50,'02 Emission rates'!$A$7:$A$15,1)),NA())</f>
        <v>2.7514068118353263</v>
      </c>
      <c r="M50" s="27">
        <f t="shared" si="11"/>
        <v>9.8465032862215427</v>
      </c>
      <c r="N50" s="1"/>
    </row>
    <row r="51" spans="1:14" ht="22.05" customHeight="1">
      <c r="A51" s="19">
        <f>'03 Recorded O'!A53</f>
        <v>0.76041666666666663</v>
      </c>
      <c r="B51" s="16">
        <f>'03 Recorded O'!B53</f>
        <v>83.874999999999986</v>
      </c>
      <c r="C51" s="16">
        <f>'01 Traffic inputs'!$B$8/D51*60</f>
        <v>2.6488567906620273</v>
      </c>
      <c r="D51" s="16">
        <f t="shared" si="6"/>
        <v>23.557332438650121</v>
      </c>
      <c r="E51" s="27">
        <f t="shared" si="7"/>
        <v>3.702881055279625</v>
      </c>
      <c r="F51" s="27">
        <f>IF(D51&gt;0,INDEX('02 Emission rates'!$D$7:$D$15,MATCH(D51,'02 Emission rates'!$A$7:$A$15,1)),NA())</f>
        <v>6931.8463213424902</v>
      </c>
      <c r="G51" s="27">
        <f t="shared" si="8"/>
        <v>25667.802421408865</v>
      </c>
      <c r="H51" s="27">
        <f>IF(D51&gt;0,INDEX('02 Emission rates'!$E$7:$E$15,MATCH(D51,'02 Emission rates'!$A$7:$A$15,1)),NA())</f>
        <v>4.0758788464844926</v>
      </c>
      <c r="I51" s="27">
        <f t="shared" si="9"/>
        <v>15.092494564262399</v>
      </c>
      <c r="J51" s="27">
        <f>IF(D51&gt;0,INDEX('02 Emission rates'!$F$7:$F$15,MATCH(D51,'02 Emission rates'!$A$7:$A$15,1)),NA())</f>
        <v>62.680628166186985</v>
      </c>
      <c r="K51" s="27">
        <f t="shared" si="10"/>
        <v>232.09891056960024</v>
      </c>
      <c r="L51" s="27">
        <f>IF(D51&gt;0,INDEX('02 Emission rates'!$G$7:$G$15,MATCH(D51,'02 Emission rates'!$A$7:$A$15,1)),NA())</f>
        <v>2.7514068118353263</v>
      </c>
      <c r="M51" s="27">
        <f t="shared" si="11"/>
        <v>10.188132158912342</v>
      </c>
      <c r="N51" s="1"/>
    </row>
    <row r="52" spans="1:14" ht="22.05" customHeight="1">
      <c r="A52" s="19">
        <f>'03 Recorded O'!A54</f>
        <v>0.76388888888888873</v>
      </c>
      <c r="B52" s="16">
        <f>'03 Recorded O'!B54</f>
        <v>84.979166666666671</v>
      </c>
      <c r="C52" s="16">
        <f>'01 Traffic inputs'!$B$8/D52*60</f>
        <v>2.6488567906620273</v>
      </c>
      <c r="D52" s="16">
        <f t="shared" si="6"/>
        <v>23.557332438650121</v>
      </c>
      <c r="E52" s="27">
        <f t="shared" si="7"/>
        <v>3.7516273781633367</v>
      </c>
      <c r="F52" s="27">
        <f>IF(D52&gt;0,INDEX('02 Emission rates'!$D$7:$D$15,MATCH(D52,'02 Emission rates'!$A$7:$A$15,1)),NA())</f>
        <v>6931.8463213424902</v>
      </c>
      <c r="G52" s="27">
        <f t="shared" si="8"/>
        <v>26005.704440369296</v>
      </c>
      <c r="H52" s="27">
        <f>IF(D52&gt;0,INDEX('02 Emission rates'!$E$7:$E$15,MATCH(D52,'02 Emission rates'!$A$7:$A$15,1)),NA())</f>
        <v>4.0758788464844926</v>
      </c>
      <c r="I52" s="27">
        <f t="shared" si="9"/>
        <v>15.291178670548023</v>
      </c>
      <c r="J52" s="27">
        <f>IF(D52&gt;0,INDEX('02 Emission rates'!$F$7:$F$15,MATCH(D52,'02 Emission rates'!$A$7:$A$15,1)),NA())</f>
        <v>62.680628166186985</v>
      </c>
      <c r="K52" s="27">
        <f t="shared" si="10"/>
        <v>235.15436070874307</v>
      </c>
      <c r="L52" s="27">
        <f>IF(D52&gt;0,INDEX('02 Emission rates'!$G$7:$G$15,MATCH(D52,'02 Emission rates'!$A$7:$A$15,1)),NA())</f>
        <v>2.7514068118353263</v>
      </c>
      <c r="M52" s="27">
        <f t="shared" si="11"/>
        <v>10.32225312374651</v>
      </c>
      <c r="N52" s="1"/>
    </row>
    <row r="53" spans="1:14" ht="22.05" customHeight="1">
      <c r="A53" s="19">
        <f>'03 Recorded O'!A55</f>
        <v>0.76736111111111116</v>
      </c>
      <c r="B53" s="16">
        <f>'03 Recorded O'!B55</f>
        <v>86.875000000000014</v>
      </c>
      <c r="C53" s="16">
        <f>'01 Traffic inputs'!$B$8/D53*60</f>
        <v>2.6488567906620273</v>
      </c>
      <c r="D53" s="16">
        <f t="shared" si="6"/>
        <v>23.557332438650121</v>
      </c>
      <c r="E53" s="27">
        <f t="shared" si="7"/>
        <v>3.8353238948127273</v>
      </c>
      <c r="F53" s="27">
        <f>IF(D53&gt;0,INDEX('02 Emission rates'!$D$7:$D$15,MATCH(D53,'02 Emission rates'!$A$7:$A$15,1)),NA())</f>
        <v>6931.8463213424902</v>
      </c>
      <c r="G53" s="27">
        <f t="shared" si="8"/>
        <v>26585.875831414556</v>
      </c>
      <c r="H53" s="27">
        <f>IF(D53&gt;0,INDEX('02 Emission rates'!$E$7:$E$15,MATCH(D53,'02 Emission rates'!$A$7:$A$15,1)),NA())</f>
        <v>4.0758788464844926</v>
      </c>
      <c r="I53" s="27">
        <f t="shared" si="9"/>
        <v>15.632315532283711</v>
      </c>
      <c r="J53" s="27">
        <f>IF(D53&gt;0,INDEX('02 Emission rates'!$F$7:$F$15,MATCH(D53,'02 Emission rates'!$A$7:$A$15,1)),NA())</f>
        <v>62.680628166186985</v>
      </c>
      <c r="K53" s="27">
        <f t="shared" si="10"/>
        <v>240.4005109476486</v>
      </c>
      <c r="L53" s="27">
        <f>IF(D53&gt;0,INDEX('02 Emission rates'!$G$7:$G$15,MATCH(D53,'02 Emission rates'!$A$7:$A$15,1)),NA())</f>
        <v>2.7514068118353263</v>
      </c>
      <c r="M53" s="27">
        <f t="shared" si="11"/>
        <v>10.552536289782532</v>
      </c>
      <c r="N53" s="1"/>
    </row>
    <row r="54" spans="1:14" ht="22.05" customHeight="1">
      <c r="A54" s="19">
        <f>'03 Recorded O'!A56</f>
        <v>0.77083333333333337</v>
      </c>
      <c r="B54" s="16">
        <f>'03 Recorded O'!B56</f>
        <v>87.562500000000014</v>
      </c>
      <c r="C54" s="16">
        <f>'01 Traffic inputs'!$B$8/D54*60</f>
        <v>2.6488567906620273</v>
      </c>
      <c r="D54" s="16">
        <f t="shared" si="6"/>
        <v>23.557332438650121</v>
      </c>
      <c r="E54" s="27">
        <f t="shared" si="7"/>
        <v>3.8656753788723965</v>
      </c>
      <c r="F54" s="27">
        <f>IF(D54&gt;0,INDEX('02 Emission rates'!$D$7:$D$15,MATCH(D54,'02 Emission rates'!$A$7:$A$15,1)),NA())</f>
        <v>6931.8463213424902</v>
      </c>
      <c r="G54" s="27">
        <f t="shared" si="8"/>
        <v>26796.267654540858</v>
      </c>
      <c r="H54" s="27">
        <f>IF(D54&gt;0,INDEX('02 Emission rates'!$E$7:$E$15,MATCH(D54,'02 Emission rates'!$A$7:$A$15,1)),NA())</f>
        <v>4.0758788464844926</v>
      </c>
      <c r="I54" s="27">
        <f t="shared" si="9"/>
        <v>15.756024504121928</v>
      </c>
      <c r="J54" s="27">
        <f>IF(D54&gt;0,INDEX('02 Emission rates'!$F$7:$F$15,MATCH(D54,'02 Emission rates'!$A$7:$A$15,1)),NA())</f>
        <v>62.680628166186985</v>
      </c>
      <c r="K54" s="27">
        <f t="shared" si="10"/>
        <v>242.30296103428469</v>
      </c>
      <c r="L54" s="27">
        <f>IF(D54&gt;0,INDEX('02 Emission rates'!$G$7:$G$15,MATCH(D54,'02 Emission rates'!$A$7:$A$15,1)),NA())</f>
        <v>2.7514068118353263</v>
      </c>
      <c r="M54" s="27">
        <f t="shared" si="11"/>
        <v>10.636045569773618</v>
      </c>
      <c r="N54" s="1"/>
    </row>
    <row r="55" spans="1:14" ht="22.05" customHeight="1">
      <c r="A55" s="19">
        <f>'03 Recorded O'!A57</f>
        <v>0.77430555555555536</v>
      </c>
      <c r="B55" s="16">
        <f>'03 Recorded O'!B57</f>
        <v>89.416666666666657</v>
      </c>
      <c r="C55" s="16">
        <f>'01 Traffic inputs'!$B$8/D55*60</f>
        <v>2.6488567906620273</v>
      </c>
      <c r="D55" s="16">
        <f t="shared" si="6"/>
        <v>23.557332438650121</v>
      </c>
      <c r="E55" s="27">
        <f t="shared" si="7"/>
        <v>3.947532411639382</v>
      </c>
      <c r="F55" s="27">
        <f>IF(D55&gt;0,INDEX('02 Emission rates'!$D$7:$D$15,MATCH(D55,'02 Emission rates'!$A$7:$A$15,1)),NA())</f>
        <v>6931.8463213424902</v>
      </c>
      <c r="G55" s="27">
        <f t="shared" si="8"/>
        <v>27363.688026002699</v>
      </c>
      <c r="H55" s="27">
        <f>IF(D55&gt;0,INDEX('02 Emission rates'!$E$7:$E$15,MATCH(D55,'02 Emission rates'!$A$7:$A$15,1)),NA())</f>
        <v>4.0758788464844926</v>
      </c>
      <c r="I55" s="27">
        <f t="shared" si="9"/>
        <v>16.089663852412873</v>
      </c>
      <c r="J55" s="27">
        <f>IF(D55&gt;0,INDEX('02 Emission rates'!$F$7:$F$15,MATCH(D55,'02 Emission rates'!$A$7:$A$15,1)),NA())</f>
        <v>62.680628166186985</v>
      </c>
      <c r="K55" s="27">
        <f t="shared" si="10"/>
        <v>247.43381126793949</v>
      </c>
      <c r="L55" s="27">
        <f>IF(D55&gt;0,INDEX('02 Emission rates'!$G$7:$G$15,MATCH(D55,'02 Emission rates'!$A$7:$A$15,1)),NA())</f>
        <v>2.7514068118353263</v>
      </c>
      <c r="M55" s="27">
        <f t="shared" si="11"/>
        <v>10.86126756732533</v>
      </c>
      <c r="N55" s="1"/>
    </row>
    <row r="56" spans="1:14" ht="22.05" customHeight="1">
      <c r="A56" s="19">
        <f>'03 Recorded O'!A58</f>
        <v>0.77777777777777779</v>
      </c>
      <c r="B56" s="16">
        <f>'03 Recorded O'!B58</f>
        <v>90.041666666666657</v>
      </c>
      <c r="C56" s="16">
        <f>'01 Traffic inputs'!$B$8/D56*60</f>
        <v>2.6488567906620273</v>
      </c>
      <c r="D56" s="16">
        <f t="shared" si="6"/>
        <v>23.557332438650121</v>
      </c>
      <c r="E56" s="27">
        <f t="shared" si="7"/>
        <v>3.9751246698754445</v>
      </c>
      <c r="F56" s="27">
        <f>IF(D56&gt;0,INDEX('02 Emission rates'!$D$7:$D$15,MATCH(D56,'02 Emission rates'!$A$7:$A$15,1)),NA())</f>
        <v>6931.8463213424902</v>
      </c>
      <c r="G56" s="27">
        <f t="shared" si="8"/>
        <v>27554.95331975388</v>
      </c>
      <c r="H56" s="27">
        <f>IF(D56&gt;0,INDEX('02 Emission rates'!$E$7:$E$15,MATCH(D56,'02 Emission rates'!$A$7:$A$15,1)),NA())</f>
        <v>4.0758788464844926</v>
      </c>
      <c r="I56" s="27">
        <f t="shared" si="9"/>
        <v>16.202126554083975</v>
      </c>
      <c r="J56" s="27">
        <f>IF(D56&gt;0,INDEX('02 Emission rates'!$F$7:$F$15,MATCH(D56,'02 Emission rates'!$A$7:$A$15,1)),NA())</f>
        <v>62.680628166186985</v>
      </c>
      <c r="K56" s="27">
        <f t="shared" si="10"/>
        <v>249.16331134669952</v>
      </c>
      <c r="L56" s="27">
        <f>IF(D56&gt;0,INDEX('02 Emission rates'!$G$7:$G$15,MATCH(D56,'02 Emission rates'!$A$7:$A$15,1)),NA())</f>
        <v>2.7514068118353263</v>
      </c>
      <c r="M56" s="27">
        <f t="shared" si="11"/>
        <v>10.937185094589951</v>
      </c>
      <c r="N56" s="1"/>
    </row>
    <row r="57" spans="1:14" ht="22.05" customHeight="1">
      <c r="A57" s="19">
        <f>'03 Recorded O'!A59</f>
        <v>0.78125</v>
      </c>
      <c r="B57" s="16">
        <f>'03 Recorded O'!B59</f>
        <v>91.604166666666643</v>
      </c>
      <c r="C57" s="16">
        <f>'01 Traffic inputs'!$B$8/D57*60</f>
        <v>2.6488567906620273</v>
      </c>
      <c r="D57" s="16">
        <f t="shared" si="6"/>
        <v>23.557332438650121</v>
      </c>
      <c r="E57" s="27">
        <f t="shared" si="7"/>
        <v>4.0441053154656013</v>
      </c>
      <c r="F57" s="27">
        <f>IF(D57&gt;0,INDEX('02 Emission rates'!$D$7:$D$15,MATCH(D57,'02 Emission rates'!$A$7:$A$15,1)),NA())</f>
        <v>6931.8463213424902</v>
      </c>
      <c r="G57" s="27">
        <f t="shared" si="8"/>
        <v>28033.116554131841</v>
      </c>
      <c r="H57" s="27">
        <f>IF(D57&gt;0,INDEX('02 Emission rates'!$E$7:$E$15,MATCH(D57,'02 Emission rates'!$A$7:$A$15,1)),NA())</f>
        <v>4.0758788464844926</v>
      </c>
      <c r="I57" s="27">
        <f t="shared" si="9"/>
        <v>16.48328330826174</v>
      </c>
      <c r="J57" s="27">
        <f>IF(D57&gt;0,INDEX('02 Emission rates'!$F$7:$F$15,MATCH(D57,'02 Emission rates'!$A$7:$A$15,1)),NA())</f>
        <v>62.680628166186985</v>
      </c>
      <c r="K57" s="27">
        <f t="shared" si="10"/>
        <v>253.48706154359968</v>
      </c>
      <c r="L57" s="27">
        <f>IF(D57&gt;0,INDEX('02 Emission rates'!$G$7:$G$15,MATCH(D57,'02 Emission rates'!$A$7:$A$15,1)),NA())</f>
        <v>2.7514068118353263</v>
      </c>
      <c r="M57" s="27">
        <f t="shared" si="11"/>
        <v>11.126978912751506</v>
      </c>
      <c r="N57" s="1"/>
    </row>
    <row r="58" spans="1:14" ht="22.05" customHeight="1">
      <c r="A58" s="19">
        <f>'03 Recorded O'!A60</f>
        <v>0.78472222222222199</v>
      </c>
      <c r="B58" s="16">
        <f>'03 Recorded O'!B60</f>
        <v>95.875000000000057</v>
      </c>
      <c r="C58" s="16">
        <f>'01 Traffic inputs'!$B$8/D58*60</f>
        <v>2.6488567906620273</v>
      </c>
      <c r="D58" s="16">
        <f t="shared" si="6"/>
        <v>23.557332438650121</v>
      </c>
      <c r="E58" s="27">
        <f t="shared" si="7"/>
        <v>4.2326524134120342</v>
      </c>
      <c r="F58" s="27">
        <f>IF(D58&gt;0,INDEX('02 Emission rates'!$D$7:$D$15,MATCH(D58,'02 Emission rates'!$A$7:$A$15,1)),NA())</f>
        <v>6931.8463213424902</v>
      </c>
      <c r="G58" s="27">
        <f t="shared" si="8"/>
        <v>29340.096061431621</v>
      </c>
      <c r="H58" s="27">
        <f>IF(D58&gt;0,INDEX('02 Emission rates'!$E$7:$E$15,MATCH(D58,'02 Emission rates'!$A$7:$A$15,1)),NA())</f>
        <v>4.0758788464844926</v>
      </c>
      <c r="I58" s="27">
        <f t="shared" si="9"/>
        <v>17.251778436347646</v>
      </c>
      <c r="J58" s="27">
        <f>IF(D58&gt;0,INDEX('02 Emission rates'!$F$7:$F$15,MATCH(D58,'02 Emission rates'!$A$7:$A$15,1)),NA())</f>
        <v>62.680628166186985</v>
      </c>
      <c r="K58" s="27">
        <f t="shared" si="10"/>
        <v>265.30531208179366</v>
      </c>
      <c r="L58" s="27">
        <f>IF(D58&gt;0,INDEX('02 Emission rates'!$G$7:$G$15,MATCH(D58,'02 Emission rates'!$A$7:$A$15,1)),NA())</f>
        <v>2.7514068118353263</v>
      </c>
      <c r="M58" s="27">
        <f t="shared" si="11"/>
        <v>11.645748682393105</v>
      </c>
      <c r="N58" s="1"/>
    </row>
    <row r="59" spans="1:14" ht="22.05" customHeight="1">
      <c r="A59" s="19">
        <f>'03 Recorded O'!A61</f>
        <v>0.78819444444444453</v>
      </c>
      <c r="B59" s="16">
        <f>'03 Recorded O'!B61</f>
        <v>97.666666666666544</v>
      </c>
      <c r="C59" s="16">
        <f>'01 Traffic inputs'!$B$8/D59*60</f>
        <v>2.6488567906620273</v>
      </c>
      <c r="D59" s="16">
        <f t="shared" si="6"/>
        <v>23.557332438650121</v>
      </c>
      <c r="E59" s="27">
        <f t="shared" si="7"/>
        <v>4.3117502203554059</v>
      </c>
      <c r="F59" s="27">
        <f>IF(D59&gt;0,INDEX('02 Emission rates'!$D$7:$D$15,MATCH(D59,'02 Emission rates'!$A$7:$A$15,1)),NA())</f>
        <v>6931.8463213424902</v>
      </c>
      <c r="G59" s="27">
        <f t="shared" si="8"/>
        <v>29888.389903518291</v>
      </c>
      <c r="H59" s="27">
        <f>IF(D59&gt;0,INDEX('02 Emission rates'!$E$7:$E$15,MATCH(D59,'02 Emission rates'!$A$7:$A$15,1)),NA())</f>
        <v>4.0758788464844926</v>
      </c>
      <c r="I59" s="27">
        <f t="shared" si="9"/>
        <v>17.574171514471448</v>
      </c>
      <c r="J59" s="27">
        <f>IF(D59&gt;0,INDEX('02 Emission rates'!$F$7:$F$15,MATCH(D59,'02 Emission rates'!$A$7:$A$15,1)),NA())</f>
        <v>62.680628166186985</v>
      </c>
      <c r="K59" s="27">
        <f t="shared" si="10"/>
        <v>270.26321230757202</v>
      </c>
      <c r="L59" s="27">
        <f>IF(D59&gt;0,INDEX('02 Emission rates'!$G$7:$G$15,MATCH(D59,'02 Emission rates'!$A$7:$A$15,1)),NA())</f>
        <v>2.7514068118353263</v>
      </c>
      <c r="M59" s="27">
        <f t="shared" si="11"/>
        <v>11.863378927218333</v>
      </c>
      <c r="N59" s="1"/>
    </row>
    <row r="60" spans="1:14" ht="22.05" customHeight="1">
      <c r="A60" s="19">
        <f>'03 Recorded O'!A62</f>
        <v>0.79166666666666663</v>
      </c>
      <c r="B60" s="16">
        <f>'03 Recorded O'!B62</f>
        <v>98.479166666666657</v>
      </c>
      <c r="C60" s="16">
        <f>'01 Traffic inputs'!$B$8/D60*60</f>
        <v>2.6488567906620273</v>
      </c>
      <c r="D60" s="16">
        <f t="shared" si="6"/>
        <v>23.557332438650121</v>
      </c>
      <c r="E60" s="27">
        <f t="shared" si="7"/>
        <v>4.347620156062292</v>
      </c>
      <c r="F60" s="27">
        <f>IF(D60&gt;0,INDEX('02 Emission rates'!$D$7:$D$15,MATCH(D60,'02 Emission rates'!$A$7:$A$15,1)),NA())</f>
        <v>6931.8463213424902</v>
      </c>
      <c r="G60" s="27">
        <f t="shared" si="8"/>
        <v>30137.034785394862</v>
      </c>
      <c r="H60" s="27">
        <f>IF(D60&gt;0,INDEX('02 Emission rates'!$E$7:$E$15,MATCH(D60,'02 Emission rates'!$A$7:$A$15,1)),NA())</f>
        <v>4.0758788464844926</v>
      </c>
      <c r="I60" s="27">
        <f t="shared" si="9"/>
        <v>17.720373026643905</v>
      </c>
      <c r="J60" s="27">
        <f>IF(D60&gt;0,INDEX('02 Emission rates'!$F$7:$F$15,MATCH(D60,'02 Emission rates'!$A$7:$A$15,1)),NA())</f>
        <v>62.680628166186985</v>
      </c>
      <c r="K60" s="27">
        <f t="shared" si="10"/>
        <v>272.51156240996033</v>
      </c>
      <c r="L60" s="27">
        <f>IF(D60&gt;0,INDEX('02 Emission rates'!$G$7:$G$15,MATCH(D60,'02 Emission rates'!$A$7:$A$15,1)),NA())</f>
        <v>2.7514068118353263</v>
      </c>
      <c r="M60" s="27">
        <f t="shared" si="11"/>
        <v>11.962071712662354</v>
      </c>
      <c r="N60" s="1"/>
    </row>
    <row r="61" spans="1:14" ht="22.05" customHeight="1">
      <c r="A61" s="19">
        <f>'03 Recorded O'!A63</f>
        <v>0.79513888888888873</v>
      </c>
      <c r="B61" s="16">
        <f>'03 Recorded O'!B63</f>
        <v>96.854166666666643</v>
      </c>
      <c r="C61" s="16">
        <f>'01 Traffic inputs'!$B$8/D61*60</f>
        <v>2.6488567906620273</v>
      </c>
      <c r="D61" s="16">
        <f t="shared" si="6"/>
        <v>23.557332438650121</v>
      </c>
      <c r="E61" s="27">
        <f t="shared" si="7"/>
        <v>4.2758802846485278</v>
      </c>
      <c r="F61" s="27">
        <f>IF(D61&gt;0,INDEX('02 Emission rates'!$D$7:$D$15,MATCH(D61,'02 Emission rates'!$A$7:$A$15,1)),NA())</f>
        <v>6931.8463213424902</v>
      </c>
      <c r="G61" s="27">
        <f t="shared" si="8"/>
        <v>29639.745021641778</v>
      </c>
      <c r="H61" s="27">
        <f>IF(D61&gt;0,INDEX('02 Emission rates'!$E$7:$E$15,MATCH(D61,'02 Emission rates'!$A$7:$A$15,1)),NA())</f>
        <v>4.0758788464844926</v>
      </c>
      <c r="I61" s="27">
        <f t="shared" si="9"/>
        <v>17.427970002299027</v>
      </c>
      <c r="J61" s="27">
        <f>IF(D61&gt;0,INDEX('02 Emission rates'!$F$7:$F$15,MATCH(D61,'02 Emission rates'!$A$7:$A$15,1)),NA())</f>
        <v>62.680628166186985</v>
      </c>
      <c r="K61" s="27">
        <f t="shared" si="10"/>
        <v>268.01486220518416</v>
      </c>
      <c r="L61" s="27">
        <f>IF(D61&gt;0,INDEX('02 Emission rates'!$G$7:$G$15,MATCH(D61,'02 Emission rates'!$A$7:$A$15,1)),NA())</f>
        <v>2.7514068118353263</v>
      </c>
      <c r="M61" s="27">
        <f t="shared" si="11"/>
        <v>11.764686141774334</v>
      </c>
      <c r="N61" s="1"/>
    </row>
    <row r="62" spans="1:14" ht="22.05" customHeight="1">
      <c r="A62" s="19">
        <f>'03 Recorded O'!A64</f>
        <v>0.79861111111111116</v>
      </c>
      <c r="B62" s="16">
        <f>'03 Recorded O'!B64</f>
        <v>98.4375</v>
      </c>
      <c r="C62" s="16">
        <f>'01 Traffic inputs'!$B$8/D62*60</f>
        <v>2.6488567906620273</v>
      </c>
      <c r="D62" s="16">
        <f t="shared" si="6"/>
        <v>23.557332438650121</v>
      </c>
      <c r="E62" s="27">
        <f t="shared" si="7"/>
        <v>4.3457806721798882</v>
      </c>
      <c r="F62" s="27">
        <f>IF(D62&gt;0,INDEX('02 Emission rates'!$D$7:$D$15,MATCH(D62,'02 Emission rates'!$A$7:$A$15,1)),NA())</f>
        <v>6931.8463213424902</v>
      </c>
      <c r="G62" s="27">
        <f t="shared" si="8"/>
        <v>30124.283765811451</v>
      </c>
      <c r="H62" s="27">
        <f>IF(D62&gt;0,INDEX('02 Emission rates'!$E$7:$E$15,MATCH(D62,'02 Emission rates'!$A$7:$A$15,1)),NA())</f>
        <v>4.0758788464844926</v>
      </c>
      <c r="I62" s="27">
        <f t="shared" si="9"/>
        <v>17.712875513199165</v>
      </c>
      <c r="J62" s="27">
        <f>IF(D62&gt;0,INDEX('02 Emission rates'!$F$7:$F$15,MATCH(D62,'02 Emission rates'!$A$7:$A$15,1)),NA())</f>
        <v>62.680628166186985</v>
      </c>
      <c r="K62" s="27">
        <f t="shared" si="10"/>
        <v>272.39626240470972</v>
      </c>
      <c r="L62" s="27">
        <f>IF(D62&gt;0,INDEX('02 Emission rates'!$G$7:$G$15,MATCH(D62,'02 Emission rates'!$A$7:$A$15,1)),NA())</f>
        <v>2.7514068118353263</v>
      </c>
      <c r="M62" s="27">
        <f t="shared" si="11"/>
        <v>11.957010544178047</v>
      </c>
      <c r="N62" s="1"/>
    </row>
    <row r="63" spans="1:14" ht="22.05" customHeight="1">
      <c r="A63" s="19">
        <f>'03 Recorded O'!A65</f>
        <v>0.80208333333333337</v>
      </c>
      <c r="B63" s="16">
        <f>'03 Recorded O'!B65</f>
        <v>96.520833333333314</v>
      </c>
      <c r="C63" s="16">
        <f>'01 Traffic inputs'!$B$8/D63*60</f>
        <v>2.6488567906620273</v>
      </c>
      <c r="D63" s="16">
        <f t="shared" si="6"/>
        <v>23.557332438650121</v>
      </c>
      <c r="E63" s="27">
        <f t="shared" si="7"/>
        <v>4.2611644135892952</v>
      </c>
      <c r="F63" s="27">
        <f>IF(D63&gt;0,INDEX('02 Emission rates'!$D$7:$D$15,MATCH(D63,'02 Emission rates'!$A$7:$A$15,1)),NA())</f>
        <v>6931.8463213424902</v>
      </c>
      <c r="G63" s="27">
        <f t="shared" si="8"/>
        <v>29537.736864974486</v>
      </c>
      <c r="H63" s="27">
        <f>IF(D63&gt;0,INDEX('02 Emission rates'!$E$7:$E$15,MATCH(D63,'02 Emission rates'!$A$7:$A$15,1)),NA())</f>
        <v>4.0758788464844926</v>
      </c>
      <c r="I63" s="27">
        <f t="shared" si="9"/>
        <v>17.367989894741108</v>
      </c>
      <c r="J63" s="27">
        <f>IF(D63&gt;0,INDEX('02 Emission rates'!$F$7:$F$15,MATCH(D63,'02 Emission rates'!$A$7:$A$15,1)),NA())</f>
        <v>62.680628166186985</v>
      </c>
      <c r="K63" s="27">
        <f t="shared" si="10"/>
        <v>267.09246216317882</v>
      </c>
      <c r="L63" s="27">
        <f>IF(D63&gt;0,INDEX('02 Emission rates'!$G$7:$G$15,MATCH(D63,'02 Emission rates'!$A$7:$A$15,1)),NA())</f>
        <v>2.7514068118353263</v>
      </c>
      <c r="M63" s="27">
        <f t="shared" si="11"/>
        <v>11.724196793899871</v>
      </c>
      <c r="N63" s="1"/>
    </row>
    <row r="64" spans="1:14" ht="22.05" customHeight="1">
      <c r="A64" s="19">
        <f>'03 Recorded O'!A66</f>
        <v>0.80555555555555536</v>
      </c>
      <c r="B64" s="16">
        <f>'03 Recorded O'!B66</f>
        <v>93.687500000000043</v>
      </c>
      <c r="C64" s="16">
        <f>'01 Traffic inputs'!$B$8/D64*60</f>
        <v>2.6488567906620273</v>
      </c>
      <c r="D64" s="16">
        <f t="shared" si="6"/>
        <v>23.557332438650121</v>
      </c>
      <c r="E64" s="27">
        <f t="shared" si="7"/>
        <v>4.1360795095858132</v>
      </c>
      <c r="F64" s="27">
        <f>IF(D64&gt;0,INDEX('02 Emission rates'!$D$7:$D$15,MATCH(D64,'02 Emission rates'!$A$7:$A$15,1)),NA())</f>
        <v>6931.8463213424902</v>
      </c>
      <c r="G64" s="27">
        <f t="shared" si="8"/>
        <v>28670.667533302469</v>
      </c>
      <c r="H64" s="27">
        <f>IF(D64&gt;0,INDEX('02 Emission rates'!$E$7:$E$15,MATCH(D64,'02 Emission rates'!$A$7:$A$15,1)),NA())</f>
        <v>4.0758788464844926</v>
      </c>
      <c r="I64" s="27">
        <f t="shared" si="9"/>
        <v>16.858158980498771</v>
      </c>
      <c r="J64" s="27">
        <f>IF(D64&gt;0,INDEX('02 Emission rates'!$F$7:$F$15,MATCH(D64,'02 Emission rates'!$A$7:$A$15,1)),NA())</f>
        <v>62.680628166186985</v>
      </c>
      <c r="K64" s="27">
        <f t="shared" si="10"/>
        <v>259.25206180613338</v>
      </c>
      <c r="L64" s="27">
        <f>IF(D64&gt;0,INDEX('02 Emission rates'!$G$7:$G$15,MATCH(D64,'02 Emission rates'!$A$7:$A$15,1)),NA())</f>
        <v>2.7514068118353263</v>
      </c>
      <c r="M64" s="27">
        <f t="shared" si="11"/>
        <v>11.380037336966922</v>
      </c>
      <c r="N64" s="1"/>
    </row>
    <row r="65" spans="1:14" ht="22.05" customHeight="1">
      <c r="A65" s="20">
        <f>'03 Recorded O'!A67</f>
        <v>0.80902777777777779</v>
      </c>
      <c r="B65" s="17">
        <f>'03 Recorded O'!B67</f>
        <v>87.625000000000043</v>
      </c>
      <c r="C65" s="17">
        <f>'01 Traffic inputs'!$B$8/D65*60</f>
        <v>2.6488567906620273</v>
      </c>
      <c r="D65" s="17">
        <f t="shared" si="6"/>
        <v>23.557332438650121</v>
      </c>
      <c r="E65" s="28">
        <f t="shared" si="7"/>
        <v>3.8684346046960045</v>
      </c>
      <c r="F65" s="28">
        <f>IF(D65&gt;0,INDEX('02 Emission rates'!$D$7:$D$15,MATCH(D65,'02 Emission rates'!$A$7:$A$15,1)),NA())</f>
        <v>6931.8463213424902</v>
      </c>
      <c r="G65" s="28">
        <f t="shared" si="8"/>
        <v>26815.394183915989</v>
      </c>
      <c r="H65" s="28">
        <f>IF(D65&gt;0,INDEX('02 Emission rates'!$E$7:$E$15,MATCH(D65,'02 Emission rates'!$A$7:$A$15,1)),NA())</f>
        <v>4.0758788464844926</v>
      </c>
      <c r="I65" s="28">
        <f t="shared" si="9"/>
        <v>15.767270774289045</v>
      </c>
      <c r="J65" s="28">
        <f>IF(D65&gt;0,INDEX('02 Emission rates'!$F$7:$F$15,MATCH(D65,'02 Emission rates'!$A$7:$A$15,1)),NA())</f>
        <v>62.680628166186985</v>
      </c>
      <c r="K65" s="28">
        <f t="shared" si="10"/>
        <v>242.47591104216079</v>
      </c>
      <c r="L65" s="28">
        <f>IF(D65&gt;0,INDEX('02 Emission rates'!$G$7:$G$15,MATCH(D65,'02 Emission rates'!$A$7:$A$15,1)),NA())</f>
        <v>2.7514068118353263</v>
      </c>
      <c r="M65" s="28">
        <f t="shared" si="11"/>
        <v>10.643637322500085</v>
      </c>
      <c r="N65" s="1"/>
    </row>
    <row r="66" spans="1:14" ht="22.05" customHeight="1">
      <c r="A66" s="1"/>
      <c r="B66" s="1"/>
      <c r="C66" s="1"/>
      <c r="D66" s="1"/>
      <c r="E66" s="29"/>
      <c r="F66" s="29"/>
      <c r="G66" s="29"/>
      <c r="H66" s="29"/>
      <c r="I66" s="29"/>
      <c r="J66" s="29"/>
      <c r="K66" s="29"/>
      <c r="L66" s="29"/>
      <c r="M66" s="29"/>
      <c r="N66" s="1"/>
    </row>
    <row r="67" spans="1:14" ht="28.95" customHeight="1">
      <c r="A67" s="21" t="s">
        <v>78</v>
      </c>
      <c r="B67" s="21">
        <f>SUM(B9:B65)</f>
        <v>4789.2500000000009</v>
      </c>
      <c r="C67" s="21">
        <f>E67/B67*60</f>
        <v>2.6488567906620268</v>
      </c>
      <c r="D67" s="21">
        <f>B67*'01 Traffic inputs'!$B$8/E67</f>
        <v>23.557332438650125</v>
      </c>
      <c r="E67" s="30">
        <f>SUM(E9:E65)</f>
        <v>211.43395641130189</v>
      </c>
      <c r="F67" s="30">
        <f>G67/E67</f>
        <v>6931.8463213424893</v>
      </c>
      <c r="G67" s="30">
        <f>SUM(G9:G65)</f>
        <v>1465627.6929565712</v>
      </c>
      <c r="H67" s="30">
        <f>I67/E67</f>
        <v>4.0758788464844926</v>
      </c>
      <c r="I67" s="30">
        <f>SUM(I9:I65)</f>
        <v>861.77919036534968</v>
      </c>
      <c r="J67" s="30">
        <f>K67/E67</f>
        <v>62.68062816618697</v>
      </c>
      <c r="K67" s="30">
        <f>SUM(K9:K65)</f>
        <v>13252.813203522597</v>
      </c>
      <c r="L67" s="30">
        <f>M67/E67</f>
        <v>2.7514068118353272</v>
      </c>
      <c r="M67" s="30">
        <f>SUM(M9:M65)</f>
        <v>581.74082792334968</v>
      </c>
      <c r="N67" s="1"/>
    </row>
    <row r="68" spans="1:14" ht="22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22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22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22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</sheetData>
  <mergeCells count="3">
    <mergeCell ref="A1:H1"/>
    <mergeCell ref="A2:H3"/>
    <mergeCell ref="A5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24D"/>
  </sheetPr>
  <dimension ref="A1:AE530"/>
  <sheetViews>
    <sheetView showGridLines="0" workbookViewId="0">
      <selection sqref="A1:H1"/>
    </sheetView>
  </sheetViews>
  <sheetFormatPr defaultRowHeight="13.8"/>
  <cols>
    <col min="1" max="31" width="15" customWidth="1"/>
  </cols>
  <sheetData>
    <row r="1" spans="1:31" ht="31.05" customHeight="1">
      <c r="A1" s="31" t="s">
        <v>82</v>
      </c>
      <c r="B1" s="31"/>
      <c r="C1" s="31"/>
      <c r="D1" s="31"/>
      <c r="E1" s="31"/>
      <c r="F1" s="31"/>
      <c r="G1" s="3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2.95" customHeight="1">
      <c r="A2" s="32" t="s">
        <v>64</v>
      </c>
      <c r="B2" s="32"/>
      <c r="C2" s="32"/>
      <c r="D2" s="32"/>
      <c r="E2" s="32"/>
      <c r="F2" s="32"/>
      <c r="G2" s="32"/>
      <c r="H2" s="3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2.95" customHeight="1">
      <c r="A3" s="32"/>
      <c r="B3" s="32"/>
      <c r="C3" s="32"/>
      <c r="D3" s="32"/>
      <c r="E3" s="32"/>
      <c r="F3" s="32"/>
      <c r="G3" s="32"/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2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2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2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7" customHeight="1">
      <c r="A7" s="3" t="s">
        <v>83</v>
      </c>
      <c r="B7" s="1">
        <f>'03 Recorded O'!B69</f>
        <v>4789.2500000000009</v>
      </c>
      <c r="C7" s="1"/>
      <c r="D7" s="32" t="s">
        <v>84</v>
      </c>
      <c r="E7" s="32"/>
      <c r="F7" s="32"/>
      <c r="G7" s="32"/>
      <c r="H7" s="3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" customHeight="1">
      <c r="A8" s="3" t="s">
        <v>85</v>
      </c>
      <c r="B8" s="1">
        <f>B7/'01 Traffic inputs'!$B$9</f>
        <v>3.1893978443174378</v>
      </c>
      <c r="C8" s="1"/>
      <c r="D8" s="32"/>
      <c r="E8" s="32"/>
      <c r="F8" s="32"/>
      <c r="G8" s="32"/>
      <c r="H8" s="3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7" customHeight="1">
      <c r="A9" s="3" t="s">
        <v>86</v>
      </c>
      <c r="B9" s="1">
        <f>MAX('01 Traffic inputs'!$B$12*B8^'01 Traffic inputs'!$B$13,B8)</f>
        <v>4.4494599630981631</v>
      </c>
      <c r="C9" s="1"/>
      <c r="D9" s="32"/>
      <c r="E9" s="32"/>
      <c r="F9" s="32"/>
      <c r="G9" s="32"/>
      <c r="H9" s="3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7" customHeight="1">
      <c r="A10" s="3" t="s">
        <v>87</v>
      </c>
      <c r="B10" s="1">
        <f>'01 Traffic inputs'!$B$8/'01 Traffic inputs'!$B$10</f>
        <v>1.620912896761377E-2</v>
      </c>
      <c r="C10" s="1"/>
      <c r="D10" s="32"/>
      <c r="E10" s="32"/>
      <c r="F10" s="32"/>
      <c r="G10" s="32"/>
      <c r="H10" s="3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7" customHeight="1">
      <c r="A11" s="3" t="s">
        <v>88</v>
      </c>
      <c r="B11" s="1">
        <f>B10*'01 Traffic inputs'!$B$14*B9^'01 Traffic inputs'!$B$15</f>
        <v>5.7339749695949835E-2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7" customHeight="1">
      <c r="A12" s="3" t="s">
        <v>89</v>
      </c>
      <c r="B12" s="1">
        <f>'01 Traffic inputs'!$B$16*B11</f>
        <v>2.4933007130357794E-2</v>
      </c>
      <c r="C12" s="1"/>
      <c r="D12" s="32" t="s">
        <v>90</v>
      </c>
      <c r="E12" s="32"/>
      <c r="F12" s="32"/>
      <c r="G12" s="32"/>
      <c r="H12" s="3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7" customHeight="1">
      <c r="A13" s="3" t="s">
        <v>91</v>
      </c>
      <c r="B13" s="1">
        <f>B7/B9</f>
        <v>1076.3665792522925</v>
      </c>
      <c r="C13" s="1"/>
      <c r="D13" s="32"/>
      <c r="E13" s="32"/>
      <c r="F13" s="32"/>
      <c r="G13" s="32"/>
      <c r="H13" s="3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7" customHeight="1">
      <c r="A14" s="3" t="s">
        <v>92</v>
      </c>
      <c r="B14" s="1">
        <f>'01 Traffic inputs'!$B$9/('01 Traffic inputs'!$B$11-'01 Traffic inputs'!$B$9/'01 Traffic inputs'!$B$10)</f>
        <v>7.6380684528957943</v>
      </c>
      <c r="C14" s="1"/>
      <c r="D14" s="32"/>
      <c r="E14" s="32"/>
      <c r="F14" s="32"/>
      <c r="G14" s="32"/>
      <c r="H14" s="3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7" customHeight="1">
      <c r="A15" s="3" t="s">
        <v>93</v>
      </c>
      <c r="B15" s="1">
        <f>B13/('01 Traffic inputs'!$B$11-B13/B14)</f>
        <v>13.611334740699164</v>
      </c>
      <c r="C15" s="1"/>
      <c r="D15" s="32"/>
      <c r="E15" s="32"/>
      <c r="F15" s="32"/>
      <c r="G15" s="32"/>
      <c r="H15" s="3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7" customHeight="1">
      <c r="A16" s="3" t="s">
        <v>94</v>
      </c>
      <c r="B16" s="1">
        <f>D139</f>
        <v>3.3963859344145915</v>
      </c>
      <c r="C16" s="1"/>
      <c r="D16" s="32"/>
      <c r="E16" s="32"/>
      <c r="F16" s="32"/>
      <c r="G16" s="32"/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7" customHeight="1">
      <c r="A17" s="3" t="s">
        <v>95</v>
      </c>
      <c r="B17" s="1">
        <f>'01 Traffic inputs'!$B$16/(1-'01 Traffic inputs'!$B$16)</f>
        <v>0.76937714674323654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7" customHeight="1">
      <c r="A18" s="3" t="s">
        <v>69</v>
      </c>
      <c r="B18" s="1">
        <f>SUM(G145:G528)</f>
        <v>197.03997530726926</v>
      </c>
      <c r="C18" s="1"/>
      <c r="D18" s="32" t="s">
        <v>96</v>
      </c>
      <c r="E18" s="32"/>
      <c r="F18" s="32"/>
      <c r="G18" s="32"/>
      <c r="H18" s="3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7" customHeight="1">
      <c r="A19" s="3" t="s">
        <v>97</v>
      </c>
      <c r="B19" s="1">
        <f>B7*'01 Traffic inputs'!$B$8/B18</f>
        <v>25.278220788613471</v>
      </c>
      <c r="C19" s="1"/>
      <c r="D19" s="32"/>
      <c r="E19" s="32"/>
      <c r="F19" s="32"/>
      <c r="G19" s="32"/>
      <c r="H19" s="3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7" customHeight="1">
      <c r="A20" s="3" t="s">
        <v>98</v>
      </c>
      <c r="B20" s="1" t="str">
        <f>IF(AND('01 Traffic inputs'!$B$16&gt;0,'01 Traffic inputs'!$B$16&lt;1,OR('01 Traffic inputs'!$B$16&gt;2/3,'01 Traffic inputs'!$B$16&gt;=EXP(10000*LN(4)+2*GAMMALN(10001)-GAMMALN(20002))),B15&gt;='01 Traffic inputs'!$B$21,B15&lt;'01 Traffic inputs'!$B$10,'01 Traffic inputs'!$B$10&lt;='01 Traffic inputs'!$B$22,MIN(E145:E528)&gt;=0,MIN(F145:F528)&gt;=B10,B11&lt;='01 Traffic inputs'!$B$8/B15-B10+0.0000000001),"VALID","CHECK INPUTS")</f>
        <v>VALID</v>
      </c>
      <c r="C20" s="1"/>
      <c r="D20" s="32"/>
      <c r="E20" s="32"/>
      <c r="F20" s="32"/>
      <c r="G20" s="32"/>
      <c r="H20" s="3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54" customHeight="1">
      <c r="A23" s="4" t="s">
        <v>45</v>
      </c>
      <c r="B23" s="4" t="s">
        <v>46</v>
      </c>
      <c r="C23" s="4" t="s">
        <v>67</v>
      </c>
      <c r="D23" s="4" t="s">
        <v>68</v>
      </c>
      <c r="E23" s="4" t="s">
        <v>69</v>
      </c>
      <c r="F23" s="4" t="s">
        <v>70</v>
      </c>
      <c r="G23" s="4" t="s">
        <v>71</v>
      </c>
      <c r="H23" s="4" t="s">
        <v>72</v>
      </c>
      <c r="I23" s="4" t="s">
        <v>73</v>
      </c>
      <c r="J23" s="4" t="s">
        <v>74</v>
      </c>
      <c r="K23" s="4" t="s">
        <v>75</v>
      </c>
      <c r="L23" s="4" t="s">
        <v>76</v>
      </c>
      <c r="M23" s="4" t="s">
        <v>77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22" t="s">
        <v>99</v>
      </c>
      <c r="Y23" s="22" t="s">
        <v>100</v>
      </c>
      <c r="Z23" s="22" t="s">
        <v>101</v>
      </c>
      <c r="AA23" s="22" t="s">
        <v>102</v>
      </c>
      <c r="AB23" s="22" t="s">
        <v>103</v>
      </c>
      <c r="AC23" s="22" t="s">
        <v>104</v>
      </c>
      <c r="AD23" s="22" t="s">
        <v>105</v>
      </c>
      <c r="AE23" s="22" t="s">
        <v>106</v>
      </c>
    </row>
    <row r="24" spans="1:31" ht="22.05" customHeight="1">
      <c r="A24" s="18">
        <f>'03 Recorded O'!A11</f>
        <v>0.61458333333333337</v>
      </c>
      <c r="B24" s="15">
        <f>'03 Recorded O'!B11</f>
        <v>125.54166666666664</v>
      </c>
      <c r="C24" s="15">
        <f t="shared" ref="C24:C55" si="0">E24/B24*60</f>
        <v>0.97289150419753145</v>
      </c>
      <c r="D24" s="15">
        <f>B24*'01 Traffic inputs'!$B$8/E24</f>
        <v>64.138703782258361</v>
      </c>
      <c r="E24" s="26">
        <f>AA24</f>
        <v>2.0356403487133066</v>
      </c>
      <c r="F24" s="26">
        <f t="shared" ref="F24:F55" si="1">G24/E24</f>
        <v>18794.538519398877</v>
      </c>
      <c r="G24" s="26">
        <f>AB24</f>
        <v>38258.920945534803</v>
      </c>
      <c r="H24" s="26">
        <f t="shared" ref="H24:H55" si="2">I24/E24</f>
        <v>26.733292677210009</v>
      </c>
      <c r="I24" s="26">
        <f>AC24</f>
        <v>54.419369227690666</v>
      </c>
      <c r="J24" s="26">
        <f t="shared" ref="J24:J55" si="3">K24/E24</f>
        <v>121.20979532827265</v>
      </c>
      <c r="K24" s="26">
        <f>AD24</f>
        <v>246.73955002951345</v>
      </c>
      <c r="L24" s="26">
        <f t="shared" ref="L24:L55" si="4">M24/E24</f>
        <v>5.0997580253356514</v>
      </c>
      <c r="M24" s="26">
        <f>AE24</f>
        <v>10.38127320504775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>
        <f>SUM($B$24:B24)</f>
        <v>125.54166666666664</v>
      </c>
      <c r="Y24" s="1">
        <f t="shared" ref="Y24:Y55" si="5">MIN(MATCH(X24,$R$144:$R$528,1),384)</f>
        <v>40</v>
      </c>
      <c r="Z24" s="1">
        <f t="shared" ref="Z24:Z55" si="6">(X24-INDEX($R$144:$R$528,Y24))/(INDEX($R$144:$R$528,Y24+1)-INDEX($R$144:$R$528,Y24))</f>
        <v>0.54981303641094825</v>
      </c>
      <c r="AA24" s="1">
        <f t="shared" ref="AA24:AA55" si="7">INDEX($S$144:$S$528,Y24)+Z24*(INDEX($S$144:$S$528,Y24+1)-INDEX($S$144:$S$528,Y24))</f>
        <v>2.0356403487133066</v>
      </c>
      <c r="AB24" s="1">
        <f t="shared" ref="AB24:AB55" si="8">INDEX($T$144:$T$528,Y24)+Z24*(INDEX($T$144:$T$528,Y24+1)-INDEX($T$144:$T$528,Y24))</f>
        <v>38258.920945534803</v>
      </c>
      <c r="AC24" s="1">
        <f t="shared" ref="AC24:AC55" si="9">INDEX($U$144:$U$528,Y24)+Z24*(INDEX($U$144:$U$528,Y24+1)-INDEX($U$144:$U$528,Y24))</f>
        <v>54.419369227690666</v>
      </c>
      <c r="AD24" s="1">
        <f t="shared" ref="AD24:AD55" si="10">INDEX($V$144:$V$528,Y24)+Z24*(INDEX($V$144:$V$528,Y24+1)-INDEX($V$144:$V$528,Y24))</f>
        <v>246.73955002951345</v>
      </c>
      <c r="AE24" s="1">
        <f t="shared" ref="AE24:AE55" si="11">INDEX($W$144:$W$528,Y24)+Z24*(INDEX($W$144:$W$528,Y24+1)-INDEX($W$144:$W$528,Y24))</f>
        <v>10.38127320504775</v>
      </c>
    </row>
    <row r="25" spans="1:31" ht="22.05" customHeight="1">
      <c r="A25" s="19">
        <f>'03 Recorded O'!A12</f>
        <v>0.61805555555555558</v>
      </c>
      <c r="B25" s="16">
        <f>'03 Recorded O'!B12</f>
        <v>120.22916666666664</v>
      </c>
      <c r="C25" s="16">
        <f t="shared" si="0"/>
        <v>0.97857372724412361</v>
      </c>
      <c r="D25" s="16">
        <f>B25*'01 Traffic inputs'!$B$8/E25</f>
        <v>63.766273570140903</v>
      </c>
      <c r="E25" s="27">
        <f t="shared" ref="E25:E56" si="12">AA25-AA24</f>
        <v>1.9608850624742487</v>
      </c>
      <c r="F25" s="27">
        <f t="shared" si="1"/>
        <v>15845.527995946735</v>
      </c>
      <c r="G25" s="27">
        <f t="shared" ref="G25:G56" si="13">AB25-AB24</f>
        <v>31071.259154269472</v>
      </c>
      <c r="H25" s="27">
        <f t="shared" si="2"/>
        <v>20.885654518874226</v>
      </c>
      <c r="I25" s="27">
        <f t="shared" ref="I25:I56" si="14">AC25-AC24</f>
        <v>40.954367966058257</v>
      </c>
      <c r="J25" s="27">
        <f t="shared" si="3"/>
        <v>98.655405882152749</v>
      </c>
      <c r="K25" s="27">
        <f t="shared" ref="K25:K56" si="15">AD25-AD24</f>
        <v>193.45191172664744</v>
      </c>
      <c r="L25" s="27">
        <f t="shared" si="4"/>
        <v>4.4998305826136056</v>
      </c>
      <c r="M25" s="27">
        <f t="shared" ref="M25:M56" si="16">AE25-AE24</f>
        <v>8.8236505731118147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>
        <f>SUM($B$24:B25)</f>
        <v>245.77083333333329</v>
      </c>
      <c r="Y25" s="1">
        <f t="shared" si="5"/>
        <v>56</v>
      </c>
      <c r="Z25" s="1">
        <f t="shared" si="6"/>
        <v>0.65744472544585664</v>
      </c>
      <c r="AA25" s="1">
        <f t="shared" si="7"/>
        <v>3.9965254111875552</v>
      </c>
      <c r="AB25" s="1">
        <f t="shared" si="8"/>
        <v>69330.180099804275</v>
      </c>
      <c r="AC25" s="1">
        <f t="shared" si="9"/>
        <v>95.373737193748923</v>
      </c>
      <c r="AD25" s="1">
        <f t="shared" si="10"/>
        <v>440.19146175616089</v>
      </c>
      <c r="AE25" s="1">
        <f t="shared" si="11"/>
        <v>19.204923778159564</v>
      </c>
    </row>
    <row r="26" spans="1:31" ht="22.05" customHeight="1">
      <c r="A26" s="19">
        <f>'03 Recorded O'!A13</f>
        <v>0.62152777777777779</v>
      </c>
      <c r="B26" s="16">
        <f>'03 Recorded O'!B13</f>
        <v>116.20833333333346</v>
      </c>
      <c r="C26" s="16">
        <f t="shared" si="0"/>
        <v>0.99959778499499874</v>
      </c>
      <c r="D26" s="16">
        <f>B26*'01 Traffic inputs'!$B$8/E26</f>
        <v>62.425108315254455</v>
      </c>
      <c r="E26" s="27">
        <f t="shared" si="12"/>
        <v>1.9360265432993433</v>
      </c>
      <c r="F26" s="27">
        <f t="shared" si="1"/>
        <v>15845.527995946726</v>
      </c>
      <c r="G26" s="27">
        <f t="shared" si="13"/>
        <v>30677.362792745713</v>
      </c>
      <c r="H26" s="27">
        <f t="shared" si="2"/>
        <v>20.885654518874222</v>
      </c>
      <c r="I26" s="27">
        <f t="shared" si="14"/>
        <v>40.43518152272037</v>
      </c>
      <c r="J26" s="27">
        <f t="shared" si="3"/>
        <v>98.655405882152635</v>
      </c>
      <c r="K26" s="27">
        <f t="shared" si="15"/>
        <v>190.99948442781766</v>
      </c>
      <c r="L26" s="27">
        <f t="shared" si="4"/>
        <v>4.499830582613602</v>
      </c>
      <c r="M26" s="27">
        <f t="shared" si="16"/>
        <v>8.7117914482900822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f>SUM($B$24:B26)</f>
        <v>361.97916666666674</v>
      </c>
      <c r="Y26" s="1">
        <f t="shared" si="5"/>
        <v>68</v>
      </c>
      <c r="Z26" s="1">
        <f t="shared" si="6"/>
        <v>0.84460942510762027</v>
      </c>
      <c r="AA26" s="1">
        <f t="shared" si="7"/>
        <v>5.9325519544868985</v>
      </c>
      <c r="AB26" s="1">
        <f t="shared" si="8"/>
        <v>100007.54289254999</v>
      </c>
      <c r="AC26" s="1">
        <f t="shared" si="9"/>
        <v>135.80891871646929</v>
      </c>
      <c r="AD26" s="1">
        <f t="shared" si="10"/>
        <v>631.19094618397855</v>
      </c>
      <c r="AE26" s="1">
        <f t="shared" si="11"/>
        <v>27.916715226449647</v>
      </c>
    </row>
    <row r="27" spans="1:31" ht="22.05" customHeight="1">
      <c r="A27" s="19">
        <f>'03 Recorded O'!A14</f>
        <v>0.625</v>
      </c>
      <c r="B27" s="16">
        <f>'03 Recorded O'!B14</f>
        <v>109.89583333333329</v>
      </c>
      <c r="C27" s="16">
        <f t="shared" si="0"/>
        <v>1.0433026298036854</v>
      </c>
      <c r="D27" s="16">
        <f>B27*'01 Traffic inputs'!$B$8/E27</f>
        <v>59.810066818045705</v>
      </c>
      <c r="E27" s="27">
        <f t="shared" si="12"/>
        <v>1.9109101986855688</v>
      </c>
      <c r="F27" s="27">
        <f t="shared" si="1"/>
        <v>15845.527995946719</v>
      </c>
      <c r="G27" s="27">
        <f t="shared" si="13"/>
        <v>30279.381051012286</v>
      </c>
      <c r="H27" s="27">
        <f t="shared" si="2"/>
        <v>20.885654518874205</v>
      </c>
      <c r="I27" s="27">
        <f t="shared" si="14"/>
        <v>39.910610226340054</v>
      </c>
      <c r="J27" s="27">
        <f t="shared" si="3"/>
        <v>98.65540588215282</v>
      </c>
      <c r="K27" s="27">
        <f t="shared" si="15"/>
        <v>188.52162125567008</v>
      </c>
      <c r="L27" s="27">
        <f t="shared" si="4"/>
        <v>4.4998305826136002</v>
      </c>
      <c r="M27" s="27">
        <f t="shared" si="16"/>
        <v>8.5987721526735541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>
        <f>SUM($B$24:B27)</f>
        <v>471.875</v>
      </c>
      <c r="Y27" s="1">
        <f t="shared" si="5"/>
        <v>78</v>
      </c>
      <c r="Z27" s="1">
        <f t="shared" si="6"/>
        <v>0.74914436296738429</v>
      </c>
      <c r="AA27" s="1">
        <f t="shared" si="7"/>
        <v>7.8434621531724673</v>
      </c>
      <c r="AB27" s="1">
        <f t="shared" si="8"/>
        <v>130286.92394356227</v>
      </c>
      <c r="AC27" s="1">
        <f t="shared" si="9"/>
        <v>175.71952894280935</v>
      </c>
      <c r="AD27" s="1">
        <f t="shared" si="10"/>
        <v>819.71256743964864</v>
      </c>
      <c r="AE27" s="1">
        <f t="shared" si="11"/>
        <v>36.515487379123201</v>
      </c>
    </row>
    <row r="28" spans="1:31" ht="22.05" customHeight="1">
      <c r="A28" s="19">
        <f>'03 Recorded O'!A15</f>
        <v>0.62847222222222221</v>
      </c>
      <c r="B28" s="16">
        <f>'03 Recorded O'!B15</f>
        <v>106.89583333333329</v>
      </c>
      <c r="C28" s="16">
        <f t="shared" si="0"/>
        <v>1.1131656749752037</v>
      </c>
      <c r="D28" s="16">
        <f>B28*'01 Traffic inputs'!$B$8/E28</f>
        <v>56.056345791825834</v>
      </c>
      <c r="E28" s="27">
        <f t="shared" si="12"/>
        <v>1.983212874408947</v>
      </c>
      <c r="F28" s="27">
        <f t="shared" si="1"/>
        <v>15845.527995946748</v>
      </c>
      <c r="G28" s="27">
        <f t="shared" si="13"/>
        <v>31425.055123368991</v>
      </c>
      <c r="H28" s="27">
        <f t="shared" si="2"/>
        <v>20.885654518874237</v>
      </c>
      <c r="I28" s="27">
        <f t="shared" si="14"/>
        <v>41.420698932288786</v>
      </c>
      <c r="J28" s="27">
        <f t="shared" si="3"/>
        <v>98.655405882152792</v>
      </c>
      <c r="K28" s="27">
        <f t="shared" si="15"/>
        <v>195.65467107552558</v>
      </c>
      <c r="L28" s="27">
        <f t="shared" si="4"/>
        <v>4.4998305826136065</v>
      </c>
      <c r="M28" s="27">
        <f t="shared" si="16"/>
        <v>8.9241219440984167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>
        <f>SUM($B$24:B28)</f>
        <v>578.77083333333326</v>
      </c>
      <c r="Y28" s="1">
        <f t="shared" si="5"/>
        <v>87</v>
      </c>
      <c r="Z28" s="1">
        <f t="shared" si="6"/>
        <v>0.39646349871158026</v>
      </c>
      <c r="AA28" s="1">
        <f t="shared" si="7"/>
        <v>9.8266750275814143</v>
      </c>
      <c r="AB28" s="1">
        <f t="shared" si="8"/>
        <v>161711.97906693126</v>
      </c>
      <c r="AC28" s="1">
        <f t="shared" si="9"/>
        <v>217.14022787509813</v>
      </c>
      <c r="AD28" s="1">
        <f t="shared" si="10"/>
        <v>1015.3672385151742</v>
      </c>
      <c r="AE28" s="1">
        <f t="shared" si="11"/>
        <v>45.439609323221617</v>
      </c>
    </row>
    <row r="29" spans="1:31" ht="22.05" customHeight="1">
      <c r="A29" s="19">
        <f>'03 Recorded O'!A16</f>
        <v>0.63194444444444442</v>
      </c>
      <c r="B29" s="16">
        <f>'03 Recorded O'!B16</f>
        <v>104.5208333333334</v>
      </c>
      <c r="C29" s="16">
        <f t="shared" si="0"/>
        <v>1.210897074153958</v>
      </c>
      <c r="D29" s="16">
        <f>B29*'01 Traffic inputs'!$B$8/E29</f>
        <v>51.532042922475057</v>
      </c>
      <c r="E29" s="27">
        <f t="shared" si="12"/>
        <v>2.109399521191115</v>
      </c>
      <c r="F29" s="27">
        <f t="shared" si="1"/>
        <v>15309.969698112105</v>
      </c>
      <c r="G29" s="27">
        <f t="shared" si="13"/>
        <v>32294.842750648153</v>
      </c>
      <c r="H29" s="27">
        <f t="shared" si="2"/>
        <v>20.072715247805057</v>
      </c>
      <c r="I29" s="27">
        <f t="shared" si="14"/>
        <v>42.341375932725583</v>
      </c>
      <c r="J29" s="27">
        <f t="shared" si="3"/>
        <v>104.70454059367071</v>
      </c>
      <c r="K29" s="27">
        <f t="shared" si="15"/>
        <v>220.86370779482468</v>
      </c>
      <c r="L29" s="27">
        <f t="shared" si="4"/>
        <v>4.5553828731529933</v>
      </c>
      <c r="M29" s="27">
        <f t="shared" si="16"/>
        <v>9.60912245147113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f>SUM($B$24:B29)</f>
        <v>683.29166666666663</v>
      </c>
      <c r="Y29" s="1">
        <f t="shared" si="5"/>
        <v>95</v>
      </c>
      <c r="Z29" s="1">
        <f t="shared" si="6"/>
        <v>0.17110469391169367</v>
      </c>
      <c r="AA29" s="1">
        <f t="shared" si="7"/>
        <v>11.936074548772529</v>
      </c>
      <c r="AB29" s="1">
        <f t="shared" si="8"/>
        <v>194006.82181757942</v>
      </c>
      <c r="AC29" s="1">
        <f t="shared" si="9"/>
        <v>259.48160380782372</v>
      </c>
      <c r="AD29" s="1">
        <f t="shared" si="10"/>
        <v>1236.2309463099989</v>
      </c>
      <c r="AE29" s="1">
        <f t="shared" si="11"/>
        <v>55.048731774692747</v>
      </c>
    </row>
    <row r="30" spans="1:31" ht="22.05" customHeight="1">
      <c r="A30" s="19">
        <f>'03 Recorded O'!A17</f>
        <v>0.63541666666666663</v>
      </c>
      <c r="B30" s="16">
        <f>'03 Recorded O'!B17</f>
        <v>102.27083333333336</v>
      </c>
      <c r="C30" s="16">
        <f t="shared" si="0"/>
        <v>1.3364203528033762</v>
      </c>
      <c r="D30" s="16">
        <f>B30*'01 Traffic inputs'!$B$8/E30</f>
        <v>46.691895906184207</v>
      </c>
      <c r="E30" s="27">
        <f t="shared" si="12"/>
        <v>2.2779470527471446</v>
      </c>
      <c r="F30" s="27">
        <f t="shared" si="1"/>
        <v>10788.900519220497</v>
      </c>
      <c r="G30" s="27">
        <f t="shared" si="13"/>
        <v>24576.544140140468</v>
      </c>
      <c r="H30" s="27">
        <f t="shared" si="2"/>
        <v>11.752532248340554</v>
      </c>
      <c r="I30" s="27">
        <f t="shared" si="14"/>
        <v>26.771646197423138</v>
      </c>
      <c r="J30" s="27">
        <f t="shared" si="3"/>
        <v>108.46455625475335</v>
      </c>
      <c r="K30" s="27">
        <f t="shared" si="15"/>
        <v>247.07651624804225</v>
      </c>
      <c r="L30" s="27">
        <f t="shared" si="4"/>
        <v>4.0781138013453146</v>
      </c>
      <c r="M30" s="27">
        <f t="shared" si="16"/>
        <v>9.2897273145420129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>
        <f>SUM($B$24:B30)</f>
        <v>785.5625</v>
      </c>
      <c r="Y30" s="1">
        <f t="shared" si="5"/>
        <v>102</v>
      </c>
      <c r="Z30" s="1">
        <f t="shared" si="6"/>
        <v>0.27794911490736246</v>
      </c>
      <c r="AA30" s="1">
        <f t="shared" si="7"/>
        <v>14.214021601519674</v>
      </c>
      <c r="AB30" s="1">
        <f t="shared" si="8"/>
        <v>218583.36595771989</v>
      </c>
      <c r="AC30" s="1">
        <f t="shared" si="9"/>
        <v>286.25325000524685</v>
      </c>
      <c r="AD30" s="1">
        <f t="shared" si="10"/>
        <v>1483.3074625580412</v>
      </c>
      <c r="AE30" s="1">
        <f t="shared" si="11"/>
        <v>64.33845908923476</v>
      </c>
    </row>
    <row r="31" spans="1:31" ht="22.05" customHeight="1">
      <c r="A31" s="19">
        <f>'03 Recorded O'!A18</f>
        <v>0.63888888888888895</v>
      </c>
      <c r="B31" s="16">
        <f>'03 Recorded O'!B18</f>
        <v>102.87499999999991</v>
      </c>
      <c r="C31" s="16">
        <f t="shared" si="0"/>
        <v>1.4888927242356329</v>
      </c>
      <c r="D31" s="16">
        <f>B31*'01 Traffic inputs'!$B$8/E31</f>
        <v>41.910339801033082</v>
      </c>
      <c r="E31" s="27">
        <f t="shared" si="12"/>
        <v>2.552830650095677</v>
      </c>
      <c r="F31" s="27">
        <f t="shared" si="1"/>
        <v>9725.5949630613704</v>
      </c>
      <c r="G31" s="27">
        <f t="shared" si="13"/>
        <v>24827.7969121192</v>
      </c>
      <c r="H31" s="27">
        <f t="shared" si="2"/>
        <v>9.252119110668378</v>
      </c>
      <c r="I31" s="27">
        <f t="shared" si="14"/>
        <v>23.619093244050191</v>
      </c>
      <c r="J31" s="27">
        <f t="shared" si="3"/>
        <v>91.705804340394351</v>
      </c>
      <c r="K31" s="27">
        <f t="shared" si="15"/>
        <v>234.10938811183587</v>
      </c>
      <c r="L31" s="27">
        <f t="shared" si="4"/>
        <v>3.6129593672116083</v>
      </c>
      <c r="M31" s="27">
        <f t="shared" si="16"/>
        <v>9.2232734101680762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f>SUM($B$24:B31)</f>
        <v>888.43749999999989</v>
      </c>
      <c r="Y31" s="1">
        <f t="shared" si="5"/>
        <v>109</v>
      </c>
      <c r="Z31" s="1">
        <f t="shared" si="6"/>
        <v>3.2170790997848774E-2</v>
      </c>
      <c r="AA31" s="1">
        <f t="shared" si="7"/>
        <v>16.766852251615351</v>
      </c>
      <c r="AB31" s="1">
        <f t="shared" si="8"/>
        <v>243411.16286983909</v>
      </c>
      <c r="AC31" s="1">
        <f t="shared" si="9"/>
        <v>309.87234324929705</v>
      </c>
      <c r="AD31" s="1">
        <f t="shared" si="10"/>
        <v>1717.416850669877</v>
      </c>
      <c r="AE31" s="1">
        <f t="shared" si="11"/>
        <v>73.561732499402837</v>
      </c>
    </row>
    <row r="32" spans="1:31" ht="22.05" customHeight="1">
      <c r="A32" s="19">
        <f>'03 Recorded O'!A19</f>
        <v>0.64236111111111105</v>
      </c>
      <c r="B32" s="16">
        <f>'03 Recorded O'!B19</f>
        <v>99.374999999999957</v>
      </c>
      <c r="C32" s="16">
        <f t="shared" si="0"/>
        <v>1.6661586862554441</v>
      </c>
      <c r="D32" s="16">
        <f>B32*'01 Traffic inputs'!$B$8/E32</f>
        <v>37.451414751040396</v>
      </c>
      <c r="E32" s="27">
        <f t="shared" si="12"/>
        <v>2.7595753241105783</v>
      </c>
      <c r="F32" s="27">
        <f t="shared" si="1"/>
        <v>9725.5949630613322</v>
      </c>
      <c r="G32" s="27">
        <f t="shared" si="13"/>
        <v>26838.511872358184</v>
      </c>
      <c r="H32" s="27">
        <f t="shared" si="2"/>
        <v>9.2521191106683478</v>
      </c>
      <c r="I32" s="27">
        <f t="shared" si="14"/>
        <v>25.53191959353228</v>
      </c>
      <c r="J32" s="27">
        <f t="shared" si="3"/>
        <v>91.705804340394153</v>
      </c>
      <c r="K32" s="27">
        <f t="shared" si="15"/>
        <v>253.06907473546448</v>
      </c>
      <c r="L32" s="27">
        <f t="shared" si="4"/>
        <v>3.6129593672116056</v>
      </c>
      <c r="M32" s="27">
        <f t="shared" si="16"/>
        <v>9.9702335167713159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f>SUM($B$24:B32)</f>
        <v>987.81249999999989</v>
      </c>
      <c r="Y32" s="1">
        <f t="shared" si="5"/>
        <v>115</v>
      </c>
      <c r="Z32" s="1">
        <f t="shared" si="6"/>
        <v>0.24966280821017348</v>
      </c>
      <c r="AA32" s="1">
        <f t="shared" si="7"/>
        <v>19.526427575725929</v>
      </c>
      <c r="AB32" s="1">
        <f t="shared" si="8"/>
        <v>270249.67474219727</v>
      </c>
      <c r="AC32" s="1">
        <f t="shared" si="9"/>
        <v>335.40426284282933</v>
      </c>
      <c r="AD32" s="1">
        <f t="shared" si="10"/>
        <v>1970.4859254053415</v>
      </c>
      <c r="AE32" s="1">
        <f t="shared" si="11"/>
        <v>83.531966016174152</v>
      </c>
    </row>
    <row r="33" spans="1:31" ht="22.05" customHeight="1">
      <c r="A33" s="19">
        <f>'03 Recorded O'!A20</f>
        <v>0.64583333333333337</v>
      </c>
      <c r="B33" s="16">
        <f>'03 Recorded O'!B20</f>
        <v>99.312499999999943</v>
      </c>
      <c r="C33" s="16">
        <f t="shared" si="0"/>
        <v>1.861582782377782</v>
      </c>
      <c r="D33" s="16">
        <f>B33*'01 Traffic inputs'!$B$8/E33</f>
        <v>33.519863092146942</v>
      </c>
      <c r="E33" s="27">
        <f t="shared" si="12"/>
        <v>3.081307334581556</v>
      </c>
      <c r="F33" s="27">
        <f t="shared" si="1"/>
        <v>8681.8170429808943</v>
      </c>
      <c r="G33" s="27">
        <f t="shared" si="13"/>
        <v>26751.346532032185</v>
      </c>
      <c r="H33" s="27">
        <f t="shared" si="2"/>
        <v>7.4786198470386491</v>
      </c>
      <c r="I33" s="27">
        <f t="shared" si="14"/>
        <v>23.043926187227385</v>
      </c>
      <c r="J33" s="27">
        <f t="shared" si="3"/>
        <v>79.792461729805368</v>
      </c>
      <c r="K33" s="27">
        <f t="shared" si="15"/>
        <v>245.8650975723674</v>
      </c>
      <c r="L33" s="27">
        <f t="shared" si="4"/>
        <v>3.3060371613781943</v>
      </c>
      <c r="M33" s="27">
        <f t="shared" si="16"/>
        <v>10.186916553753818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f>SUM($B$24:B33)</f>
        <v>1087.1249999999998</v>
      </c>
      <c r="Y33" s="1">
        <f t="shared" si="5"/>
        <v>121</v>
      </c>
      <c r="Z33" s="1">
        <f t="shared" si="6"/>
        <v>0.21675548103574502</v>
      </c>
      <c r="AA33" s="1">
        <f t="shared" si="7"/>
        <v>22.607734910307485</v>
      </c>
      <c r="AB33" s="1">
        <f t="shared" si="8"/>
        <v>297001.02127422945</v>
      </c>
      <c r="AC33" s="1">
        <f t="shared" si="9"/>
        <v>358.44818903005671</v>
      </c>
      <c r="AD33" s="1">
        <f t="shared" si="10"/>
        <v>2216.3510229777089</v>
      </c>
      <c r="AE33" s="1">
        <f t="shared" si="11"/>
        <v>93.71888256992797</v>
      </c>
    </row>
    <row r="34" spans="1:31" ht="22.05" customHeight="1">
      <c r="A34" s="19">
        <f>'03 Recorded O'!A21</f>
        <v>0.64930555555555558</v>
      </c>
      <c r="B34" s="16">
        <f>'03 Recorded O'!B21</f>
        <v>94.520833333333343</v>
      </c>
      <c r="C34" s="16">
        <f t="shared" si="0"/>
        <v>2.0706353222753799</v>
      </c>
      <c r="D34" s="16">
        <f>B34*'01 Traffic inputs'!$B$8/E34</f>
        <v>30.135678324771888</v>
      </c>
      <c r="E34" s="27">
        <f t="shared" si="12"/>
        <v>3.2619696031817362</v>
      </c>
      <c r="F34" s="27">
        <f t="shared" si="1"/>
        <v>7854.4376436942975</v>
      </c>
      <c r="G34" s="27">
        <f t="shared" si="13"/>
        <v>25620.93684381718</v>
      </c>
      <c r="H34" s="27">
        <f t="shared" si="2"/>
        <v>6.0728066686336932</v>
      </c>
      <c r="I34" s="27">
        <f t="shared" si="14"/>
        <v>19.80931075908245</v>
      </c>
      <c r="J34" s="27">
        <f t="shared" si="3"/>
        <v>70.349021642583395</v>
      </c>
      <c r="K34" s="27">
        <f t="shared" si="15"/>
        <v>229.47637021168111</v>
      </c>
      <c r="L34" s="27">
        <f t="shared" si="4"/>
        <v>3.0627467972070361</v>
      </c>
      <c r="M34" s="27">
        <f t="shared" si="16"/>
        <v>9.9905869547315689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>
        <f>SUM($B$24:B34)</f>
        <v>1181.645833333333</v>
      </c>
      <c r="Y34" s="1">
        <f t="shared" si="5"/>
        <v>126</v>
      </c>
      <c r="Z34" s="1">
        <f t="shared" si="6"/>
        <v>0.70466012559113023</v>
      </c>
      <c r="AA34" s="1">
        <f t="shared" si="7"/>
        <v>25.869704513489221</v>
      </c>
      <c r="AB34" s="1">
        <f t="shared" si="8"/>
        <v>322621.95811804663</v>
      </c>
      <c r="AC34" s="1">
        <f t="shared" si="9"/>
        <v>378.25749978913916</v>
      </c>
      <c r="AD34" s="1">
        <f t="shared" si="10"/>
        <v>2445.82739318939</v>
      </c>
      <c r="AE34" s="1">
        <f t="shared" si="11"/>
        <v>103.70946952465954</v>
      </c>
    </row>
    <row r="35" spans="1:31" ht="22.05" customHeight="1">
      <c r="A35" s="19">
        <f>'03 Recorded O'!A22</f>
        <v>0.65277777777777779</v>
      </c>
      <c r="B35" s="16">
        <f>'03 Recorded O'!B22</f>
        <v>91.562500000000057</v>
      </c>
      <c r="C35" s="16">
        <f t="shared" si="0"/>
        <v>2.2837152138924721</v>
      </c>
      <c r="D35" s="16">
        <f>B35*'01 Traffic inputs'!$B$8/E35</f>
        <v>27.323897314518355</v>
      </c>
      <c r="E35" s="27">
        <f t="shared" si="12"/>
        <v>3.4850445712004934</v>
      </c>
      <c r="F35" s="27">
        <f t="shared" si="1"/>
        <v>7854.437643694313</v>
      </c>
      <c r="G35" s="27">
        <f t="shared" si="13"/>
        <v>27373.06526998966</v>
      </c>
      <c r="H35" s="27">
        <f t="shared" si="2"/>
        <v>6.0728066686336843</v>
      </c>
      <c r="I35" s="27">
        <f t="shared" si="14"/>
        <v>21.164001912471974</v>
      </c>
      <c r="J35" s="27">
        <f t="shared" si="3"/>
        <v>70.349021642583509</v>
      </c>
      <c r="K35" s="27">
        <f t="shared" si="15"/>
        <v>245.16947596475165</v>
      </c>
      <c r="L35" s="27">
        <f t="shared" si="4"/>
        <v>3.0627467972070339</v>
      </c>
      <c r="M35" s="27">
        <f t="shared" si="16"/>
        <v>10.673809098568071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>
        <f>SUM($B$24:B35)</f>
        <v>1273.208333333333</v>
      </c>
      <c r="Y35" s="1">
        <f t="shared" si="5"/>
        <v>131</v>
      </c>
      <c r="Z35" s="1">
        <f t="shared" si="6"/>
        <v>0.87207630786993351</v>
      </c>
      <c r="AA35" s="1">
        <f t="shared" si="7"/>
        <v>29.354749084689715</v>
      </c>
      <c r="AB35" s="1">
        <f t="shared" si="8"/>
        <v>349995.02338803629</v>
      </c>
      <c r="AC35" s="1">
        <f t="shared" si="9"/>
        <v>399.42150170161113</v>
      </c>
      <c r="AD35" s="1">
        <f t="shared" si="10"/>
        <v>2690.9968691541417</v>
      </c>
      <c r="AE35" s="1">
        <f t="shared" si="11"/>
        <v>114.38327862322761</v>
      </c>
    </row>
    <row r="36" spans="1:31" ht="22.05" customHeight="1">
      <c r="A36" s="19">
        <f>'03 Recorded O'!A23</f>
        <v>0.65625</v>
      </c>
      <c r="B36" s="16">
        <f>'03 Recorded O'!B23</f>
        <v>89.708333333333385</v>
      </c>
      <c r="C36" s="16">
        <f t="shared" si="0"/>
        <v>2.501049094679924</v>
      </c>
      <c r="D36" s="16">
        <f>B36*'01 Traffic inputs'!$B$8/E36</f>
        <v>24.949530232227197</v>
      </c>
      <c r="E36" s="27">
        <f t="shared" si="12"/>
        <v>3.7394157644763055</v>
      </c>
      <c r="F36" s="27">
        <f t="shared" si="1"/>
        <v>7316.4692724731176</v>
      </c>
      <c r="G36" s="27">
        <f t="shared" si="13"/>
        <v>27359.320537792461</v>
      </c>
      <c r="H36" s="27">
        <f t="shared" si="2"/>
        <v>4.9083864297901334</v>
      </c>
      <c r="I36" s="27">
        <f t="shared" si="14"/>
        <v>18.354497593698795</v>
      </c>
      <c r="J36" s="27">
        <f t="shared" si="3"/>
        <v>65.877536762512946</v>
      </c>
      <c r="K36" s="27">
        <f t="shared" si="15"/>
        <v>246.3434994946083</v>
      </c>
      <c r="L36" s="27">
        <f t="shared" si="4"/>
        <v>2.881202639172372</v>
      </c>
      <c r="M36" s="27">
        <f t="shared" si="16"/>
        <v>10.774014569571904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>
        <f>SUM($B$24:B36)</f>
        <v>1362.9166666666665</v>
      </c>
      <c r="Y36" s="1">
        <f t="shared" si="5"/>
        <v>136</v>
      </c>
      <c r="Z36" s="1">
        <f t="shared" si="6"/>
        <v>0.81467222610817369</v>
      </c>
      <c r="AA36" s="1">
        <f t="shared" si="7"/>
        <v>33.09416484916602</v>
      </c>
      <c r="AB36" s="1">
        <f t="shared" si="8"/>
        <v>377354.34392582875</v>
      </c>
      <c r="AC36" s="1">
        <f t="shared" si="9"/>
        <v>417.77599929530993</v>
      </c>
      <c r="AD36" s="1">
        <f t="shared" si="10"/>
        <v>2937.34036864875</v>
      </c>
      <c r="AE36" s="1">
        <f t="shared" si="11"/>
        <v>125.15729319279951</v>
      </c>
    </row>
    <row r="37" spans="1:31" ht="22.05" customHeight="1">
      <c r="A37" s="19">
        <f>'03 Recorded O'!A24</f>
        <v>0.65972222222222221</v>
      </c>
      <c r="B37" s="16">
        <f>'03 Recorded O'!B24</f>
        <v>90.104166666666686</v>
      </c>
      <c r="C37" s="16">
        <f t="shared" si="0"/>
        <v>2.7210347997179571</v>
      </c>
      <c r="D37" s="16">
        <f>B37*'01 Traffic inputs'!$B$8/E37</f>
        <v>22.932452023939263</v>
      </c>
      <c r="E37" s="27">
        <f t="shared" si="12"/>
        <v>4.0862762183264465</v>
      </c>
      <c r="F37" s="27">
        <f t="shared" si="1"/>
        <v>6931.8463213424911</v>
      </c>
      <c r="G37" s="27">
        <f t="shared" si="13"/>
        <v>28325.438771995483</v>
      </c>
      <c r="H37" s="27">
        <f t="shared" si="2"/>
        <v>4.0758788464844953</v>
      </c>
      <c r="I37" s="27">
        <f t="shared" si="14"/>
        <v>16.655166799169422</v>
      </c>
      <c r="J37" s="27">
        <f t="shared" si="3"/>
        <v>62.680628166186906</v>
      </c>
      <c r="K37" s="27">
        <f t="shared" si="15"/>
        <v>256.13036022525239</v>
      </c>
      <c r="L37" s="27">
        <f t="shared" si="4"/>
        <v>2.7514068118353232</v>
      </c>
      <c r="M37" s="27">
        <f t="shared" si="16"/>
        <v>11.24300822214407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f>SUM($B$24:B37)</f>
        <v>1453.0208333333333</v>
      </c>
      <c r="Y37" s="1">
        <f t="shared" si="5"/>
        <v>141</v>
      </c>
      <c r="Z37" s="1">
        <f t="shared" si="6"/>
        <v>0.67869502330451681</v>
      </c>
      <c r="AA37" s="1">
        <f t="shared" si="7"/>
        <v>37.180441067492467</v>
      </c>
      <c r="AB37" s="1">
        <f t="shared" si="8"/>
        <v>405679.78269782424</v>
      </c>
      <c r="AC37" s="1">
        <f t="shared" si="9"/>
        <v>434.43116609447935</v>
      </c>
      <c r="AD37" s="1">
        <f t="shared" si="10"/>
        <v>3193.4707288740024</v>
      </c>
      <c r="AE37" s="1">
        <f t="shared" si="11"/>
        <v>136.40030141494358</v>
      </c>
    </row>
    <row r="38" spans="1:31" ht="22.05" customHeight="1">
      <c r="A38" s="19">
        <f>'03 Recorded O'!A25</f>
        <v>0.66319444444444442</v>
      </c>
      <c r="B38" s="16">
        <f>'03 Recorded O'!B25</f>
        <v>89.854166666666686</v>
      </c>
      <c r="C38" s="16">
        <f t="shared" si="0"/>
        <v>2.9418871233619406</v>
      </c>
      <c r="D38" s="16">
        <f>B38*'01 Traffic inputs'!$B$8/E38</f>
        <v>21.210874987172019</v>
      </c>
      <c r="E38" s="27">
        <f t="shared" si="12"/>
        <v>4.4056802649514069</v>
      </c>
      <c r="F38" s="27">
        <f t="shared" si="1"/>
        <v>6931.8463213424848</v>
      </c>
      <c r="G38" s="27">
        <f t="shared" si="13"/>
        <v>30539.498537614592</v>
      </c>
      <c r="H38" s="27">
        <f t="shared" si="2"/>
        <v>4.0758788464844864</v>
      </c>
      <c r="I38" s="27">
        <f t="shared" si="14"/>
        <v>17.957018996289605</v>
      </c>
      <c r="J38" s="27">
        <f t="shared" si="3"/>
        <v>62.680628166186978</v>
      </c>
      <c r="K38" s="27">
        <f t="shared" si="15"/>
        <v>276.15080650652726</v>
      </c>
      <c r="L38" s="27">
        <f t="shared" si="4"/>
        <v>2.7514068118353352</v>
      </c>
      <c r="M38" s="27">
        <f t="shared" si="16"/>
        <v>12.121818691755806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f>SUM($B$24:B38)</f>
        <v>1542.875</v>
      </c>
      <c r="Y38" s="1">
        <f t="shared" si="5"/>
        <v>146</v>
      </c>
      <c r="Z38" s="1">
        <f t="shared" si="6"/>
        <v>0.4457981892512119</v>
      </c>
      <c r="AA38" s="1">
        <f t="shared" si="7"/>
        <v>41.586121332443874</v>
      </c>
      <c r="AB38" s="1">
        <f t="shared" si="8"/>
        <v>436219.28123543883</v>
      </c>
      <c r="AC38" s="1">
        <f t="shared" si="9"/>
        <v>452.38818509076896</v>
      </c>
      <c r="AD38" s="1">
        <f t="shared" si="10"/>
        <v>3469.6215353805296</v>
      </c>
      <c r="AE38" s="1">
        <f t="shared" si="11"/>
        <v>148.52212010669939</v>
      </c>
    </row>
    <row r="39" spans="1:31" ht="22.05" customHeight="1">
      <c r="A39" s="19">
        <f>'03 Recorded O'!A26</f>
        <v>0.66666666666666663</v>
      </c>
      <c r="B39" s="16">
        <f>'03 Recorded O'!B26</f>
        <v>85.437500000000014</v>
      </c>
      <c r="C39" s="16">
        <f t="shared" si="0"/>
        <v>3.1535203382145278</v>
      </c>
      <c r="D39" s="16">
        <f>B39*'01 Traffic inputs'!$B$8/E39</f>
        <v>19.787410039451689</v>
      </c>
      <c r="E39" s="27">
        <f t="shared" si="12"/>
        <v>4.4904815649367293</v>
      </c>
      <c r="F39" s="27">
        <f t="shared" si="1"/>
        <v>6931.8463213424739</v>
      </c>
      <c r="G39" s="27">
        <f t="shared" si="13"/>
        <v>31127.328116962861</v>
      </c>
      <c r="H39" s="27">
        <f t="shared" si="2"/>
        <v>4.0758788464844926</v>
      </c>
      <c r="I39" s="27">
        <f t="shared" si="14"/>
        <v>18.302658821054195</v>
      </c>
      <c r="J39" s="27">
        <f t="shared" si="3"/>
        <v>62.680628166186864</v>
      </c>
      <c r="K39" s="27">
        <f t="shared" si="15"/>
        <v>281.46620525891603</v>
      </c>
      <c r="L39" s="27">
        <f t="shared" si="4"/>
        <v>2.7514068118353219</v>
      </c>
      <c r="M39" s="27">
        <f t="shared" si="16"/>
        <v>12.355141566187854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f>SUM($B$24:B39)</f>
        <v>1628.3125</v>
      </c>
      <c r="Y39" s="1">
        <f t="shared" si="5"/>
        <v>150</v>
      </c>
      <c r="Z39" s="1">
        <f t="shared" si="6"/>
        <v>0.91503736882103259</v>
      </c>
      <c r="AA39" s="1">
        <f t="shared" si="7"/>
        <v>46.076602897380603</v>
      </c>
      <c r="AB39" s="1">
        <f t="shared" si="8"/>
        <v>467346.60935240169</v>
      </c>
      <c r="AC39" s="1">
        <f t="shared" si="9"/>
        <v>470.69084391182315</v>
      </c>
      <c r="AD39" s="1">
        <f t="shared" si="10"/>
        <v>3751.0877406394457</v>
      </c>
      <c r="AE39" s="1">
        <f t="shared" si="11"/>
        <v>160.87726167288724</v>
      </c>
    </row>
    <row r="40" spans="1:31" ht="22.05" customHeight="1">
      <c r="A40" s="19">
        <f>'03 Recorded O'!A27</f>
        <v>0.67013888888888884</v>
      </c>
      <c r="B40" s="16">
        <f>'03 Recorded O'!B27</f>
        <v>79.791666666666671</v>
      </c>
      <c r="C40" s="16">
        <f t="shared" si="0"/>
        <v>3.349054404071262</v>
      </c>
      <c r="D40" s="16">
        <f>B40*'01 Traffic inputs'!$B$8/E40</f>
        <v>18.63212491386971</v>
      </c>
      <c r="E40" s="27">
        <f t="shared" si="12"/>
        <v>4.4537772109697684</v>
      </c>
      <c r="F40" s="27">
        <f t="shared" si="1"/>
        <v>6931.8463213424739</v>
      </c>
      <c r="G40" s="27">
        <f t="shared" si="13"/>
        <v>30872.899175939732</v>
      </c>
      <c r="H40" s="27">
        <f t="shared" si="2"/>
        <v>4.075878846484505</v>
      </c>
      <c r="I40" s="27">
        <f t="shared" si="14"/>
        <v>18.153056321146437</v>
      </c>
      <c r="J40" s="27">
        <f t="shared" si="3"/>
        <v>62.680628166186892</v>
      </c>
      <c r="K40" s="27">
        <f t="shared" si="15"/>
        <v>279.16555329583298</v>
      </c>
      <c r="L40" s="27">
        <f t="shared" si="4"/>
        <v>2.7514068118353214</v>
      </c>
      <c r="M40" s="27">
        <f t="shared" si="16"/>
        <v>12.254152956659141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f>SUM($B$24:B40)</f>
        <v>1708.1041666666667</v>
      </c>
      <c r="Y40" s="1">
        <f t="shared" si="5"/>
        <v>155</v>
      </c>
      <c r="Z40" s="1">
        <f t="shared" si="6"/>
        <v>4.2957652309424665E-2</v>
      </c>
      <c r="AA40" s="1">
        <f t="shared" si="7"/>
        <v>50.530380108350371</v>
      </c>
      <c r="AB40" s="1">
        <f t="shared" si="8"/>
        <v>498219.50852834142</v>
      </c>
      <c r="AC40" s="1">
        <f t="shared" si="9"/>
        <v>488.84390023296959</v>
      </c>
      <c r="AD40" s="1">
        <f t="shared" si="10"/>
        <v>4030.2532939352786</v>
      </c>
      <c r="AE40" s="1">
        <f t="shared" si="11"/>
        <v>173.13141462954638</v>
      </c>
    </row>
    <row r="41" spans="1:31" ht="22.05" customHeight="1">
      <c r="A41" s="19">
        <f>'03 Recorded O'!A28</f>
        <v>0.67361111111111116</v>
      </c>
      <c r="B41" s="16">
        <f>'03 Recorded O'!B28</f>
        <v>74.333333333333343</v>
      </c>
      <c r="C41" s="16">
        <f t="shared" si="0"/>
        <v>3.5239381361536433</v>
      </c>
      <c r="D41" s="16">
        <f>B41*'01 Traffic inputs'!$B$8/E41</f>
        <v>17.707461819437736</v>
      </c>
      <c r="E41" s="27">
        <f t="shared" si="12"/>
        <v>4.3657678020125701</v>
      </c>
      <c r="F41" s="27">
        <f t="shared" si="1"/>
        <v>6931.846321342493</v>
      </c>
      <c r="G41" s="27">
        <f t="shared" si="13"/>
        <v>30262.831478216336</v>
      </c>
      <c r="H41" s="27">
        <f t="shared" si="2"/>
        <v>4.0758788464845059</v>
      </c>
      <c r="I41" s="27">
        <f t="shared" si="14"/>
        <v>17.79434063288619</v>
      </c>
      <c r="J41" s="27">
        <f t="shared" si="3"/>
        <v>62.680628166187013</v>
      </c>
      <c r="K41" s="27">
        <f t="shared" si="15"/>
        <v>273.64906825786147</v>
      </c>
      <c r="L41" s="27">
        <f t="shared" si="4"/>
        <v>2.7514068118353197</v>
      </c>
      <c r="M41" s="27">
        <f t="shared" si="16"/>
        <v>12.012003269348696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>
        <f>SUM($B$24:B41)</f>
        <v>1782.4375</v>
      </c>
      <c r="Y41" s="1">
        <f t="shared" si="5"/>
        <v>158</v>
      </c>
      <c r="Z41" s="1">
        <f t="shared" si="6"/>
        <v>0.85637048025307638</v>
      </c>
      <c r="AA41" s="1">
        <f t="shared" si="7"/>
        <v>54.896147910362942</v>
      </c>
      <c r="AB41" s="1">
        <f t="shared" si="8"/>
        <v>528482.34000655776</v>
      </c>
      <c r="AC41" s="1">
        <f t="shared" si="9"/>
        <v>506.63824086585578</v>
      </c>
      <c r="AD41" s="1">
        <f t="shared" si="10"/>
        <v>4303.9023621931401</v>
      </c>
      <c r="AE41" s="1">
        <f t="shared" si="11"/>
        <v>185.14341789889508</v>
      </c>
    </row>
    <row r="42" spans="1:31" ht="22.05" customHeight="1">
      <c r="A42" s="19">
        <f>'03 Recorded O'!A29</f>
        <v>0.67708333333333337</v>
      </c>
      <c r="B42" s="16">
        <f>'03 Recorded O'!B29</f>
        <v>71.145833333333329</v>
      </c>
      <c r="C42" s="16">
        <f t="shared" si="0"/>
        <v>3.6797397021678493</v>
      </c>
      <c r="D42" s="16">
        <f>B42*'01 Traffic inputs'!$B$8/E42</f>
        <v>16.957721211432279</v>
      </c>
      <c r="E42" s="27">
        <f t="shared" si="12"/>
        <v>4.3633024593413907</v>
      </c>
      <c r="F42" s="27">
        <f t="shared" si="1"/>
        <v>6931.846321342492</v>
      </c>
      <c r="G42" s="27">
        <f t="shared" si="13"/>
        <v>30245.742101690266</v>
      </c>
      <c r="H42" s="27">
        <f t="shared" si="2"/>
        <v>4.0758788464845006</v>
      </c>
      <c r="I42" s="27">
        <f t="shared" si="14"/>
        <v>17.784292194843374</v>
      </c>
      <c r="J42" s="27">
        <f t="shared" si="3"/>
        <v>62.680628166186906</v>
      </c>
      <c r="K42" s="27">
        <f t="shared" si="15"/>
        <v>273.49453903058657</v>
      </c>
      <c r="L42" s="27">
        <f t="shared" si="4"/>
        <v>2.7514068118353254</v>
      </c>
      <c r="M42" s="27">
        <f t="shared" si="16"/>
        <v>12.005220108729731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f>SUM($B$24:B42)</f>
        <v>1853.5833333333333</v>
      </c>
      <c r="Y42" s="1">
        <f t="shared" si="5"/>
        <v>162</v>
      </c>
      <c r="Z42" s="1">
        <f t="shared" si="6"/>
        <v>0.48347589700318333</v>
      </c>
      <c r="AA42" s="1">
        <f t="shared" si="7"/>
        <v>59.259450369704332</v>
      </c>
      <c r="AB42" s="1">
        <f t="shared" si="8"/>
        <v>558728.08210824803</v>
      </c>
      <c r="AC42" s="1">
        <f t="shared" si="9"/>
        <v>524.42253306069915</v>
      </c>
      <c r="AD42" s="1">
        <f t="shared" si="10"/>
        <v>4577.3969012237267</v>
      </c>
      <c r="AE42" s="1">
        <f t="shared" si="11"/>
        <v>197.14863800762481</v>
      </c>
    </row>
    <row r="43" spans="1:31" ht="22.05" customHeight="1">
      <c r="A43" s="19">
        <f>'03 Recorded O'!A30</f>
        <v>0.68055555555555547</v>
      </c>
      <c r="B43" s="16">
        <f>'03 Recorded O'!B30</f>
        <v>70.374999999999972</v>
      </c>
      <c r="C43" s="16">
        <f t="shared" si="0"/>
        <v>3.8192273891516653</v>
      </c>
      <c r="D43" s="16">
        <f>B43*'01 Traffic inputs'!$B$8/E43</f>
        <v>16.338383039785864</v>
      </c>
      <c r="E43" s="27">
        <f t="shared" si="12"/>
        <v>4.4796354585258058</v>
      </c>
      <c r="F43" s="27">
        <f t="shared" si="1"/>
        <v>6931.8463213424975</v>
      </c>
      <c r="G43" s="27">
        <f t="shared" si="13"/>
        <v>31052.144574137521</v>
      </c>
      <c r="H43" s="27">
        <f t="shared" si="2"/>
        <v>4.0758788464844873</v>
      </c>
      <c r="I43" s="27">
        <f t="shared" si="14"/>
        <v>18.258451405367168</v>
      </c>
      <c r="J43" s="27">
        <f t="shared" si="3"/>
        <v>62.680628166187169</v>
      </c>
      <c r="K43" s="27">
        <f t="shared" si="15"/>
        <v>280.78636449592341</v>
      </c>
      <c r="L43" s="27">
        <f t="shared" si="4"/>
        <v>2.7514068118353272</v>
      </c>
      <c r="M43" s="27">
        <f t="shared" si="16"/>
        <v>12.325299515126972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>
        <f>SUM($B$24:B43)</f>
        <v>1923.9583333333333</v>
      </c>
      <c r="Y43" s="1">
        <f t="shared" si="5"/>
        <v>166</v>
      </c>
      <c r="Z43" s="1">
        <f t="shared" si="6"/>
        <v>5.4847845417759909E-2</v>
      </c>
      <c r="AA43" s="1">
        <f t="shared" si="7"/>
        <v>63.739085828230138</v>
      </c>
      <c r="AB43" s="1">
        <f t="shared" si="8"/>
        <v>589780.22668238555</v>
      </c>
      <c r="AC43" s="1">
        <f t="shared" si="9"/>
        <v>542.68098446606632</v>
      </c>
      <c r="AD43" s="1">
        <f t="shared" si="10"/>
        <v>4858.1832657196501</v>
      </c>
      <c r="AE43" s="1">
        <f t="shared" si="11"/>
        <v>209.47393752275178</v>
      </c>
    </row>
    <row r="44" spans="1:31" ht="22.05" customHeight="1">
      <c r="A44" s="19">
        <f>'03 Recorded O'!A31</f>
        <v>0.68402777777777779</v>
      </c>
      <c r="B44" s="16">
        <f>'03 Recorded O'!B31</f>
        <v>72.166666666666643</v>
      </c>
      <c r="C44" s="16">
        <f t="shared" si="0"/>
        <v>3.9514452667557949</v>
      </c>
      <c r="D44" s="16">
        <f>B44*'01 Traffic inputs'!$B$8/E44</f>
        <v>15.791690327836102</v>
      </c>
      <c r="E44" s="27">
        <f t="shared" si="12"/>
        <v>4.7527105569590518</v>
      </c>
      <c r="F44" s="27">
        <f t="shared" si="1"/>
        <v>6931.846321342492</v>
      </c>
      <c r="G44" s="27">
        <f t="shared" si="13"/>
        <v>32945.059190662229</v>
      </c>
      <c r="H44" s="27">
        <f t="shared" si="2"/>
        <v>4.075878846484482</v>
      </c>
      <c r="I44" s="27">
        <f t="shared" si="14"/>
        <v>19.371472422572879</v>
      </c>
      <c r="J44" s="27">
        <f t="shared" si="3"/>
        <v>62.680628166187091</v>
      </c>
      <c r="K44" s="27">
        <f t="shared" si="15"/>
        <v>297.90288320226227</v>
      </c>
      <c r="L44" s="27">
        <f t="shared" si="4"/>
        <v>2.7514068118353134</v>
      </c>
      <c r="M44" s="27">
        <f t="shared" si="16"/>
        <v>13.076640201098741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f>SUM($B$24:B44)</f>
        <v>1996.125</v>
      </c>
      <c r="Y44" s="1">
        <f t="shared" si="5"/>
        <v>169</v>
      </c>
      <c r="Z44" s="1">
        <f t="shared" si="6"/>
        <v>0.70490066372920102</v>
      </c>
      <c r="AA44" s="1">
        <f t="shared" si="7"/>
        <v>68.49179638518919</v>
      </c>
      <c r="AB44" s="1">
        <f t="shared" si="8"/>
        <v>622725.28587304777</v>
      </c>
      <c r="AC44" s="1">
        <f t="shared" si="9"/>
        <v>562.0524568886392</v>
      </c>
      <c r="AD44" s="1">
        <f t="shared" si="10"/>
        <v>5156.0861489219124</v>
      </c>
      <c r="AE44" s="1">
        <f t="shared" si="11"/>
        <v>222.55057772385052</v>
      </c>
    </row>
    <row r="45" spans="1:31" ht="22.05" customHeight="1">
      <c r="A45" s="19">
        <f>'03 Recorded O'!A32</f>
        <v>0.6875</v>
      </c>
      <c r="B45" s="16">
        <f>'03 Recorded O'!B32</f>
        <v>71.500000000000014</v>
      </c>
      <c r="C45" s="16">
        <f t="shared" si="0"/>
        <v>4.0685471539423146</v>
      </c>
      <c r="D45" s="16">
        <f>B45*'01 Traffic inputs'!$B$8/E45</f>
        <v>15.337170159017885</v>
      </c>
      <c r="E45" s="27">
        <f t="shared" si="12"/>
        <v>4.8483520251145933</v>
      </c>
      <c r="F45" s="27">
        <f t="shared" si="1"/>
        <v>6931.8463213425057</v>
      </c>
      <c r="G45" s="27">
        <f t="shared" si="13"/>
        <v>33608.03114986408</v>
      </c>
      <c r="H45" s="27">
        <f t="shared" si="2"/>
        <v>4.0758788464844899</v>
      </c>
      <c r="I45" s="27">
        <f t="shared" si="14"/>
        <v>19.761295459474809</v>
      </c>
      <c r="J45" s="27">
        <f t="shared" si="3"/>
        <v>62.680628166187077</v>
      </c>
      <c r="K45" s="27">
        <f t="shared" si="15"/>
        <v>303.89775050498793</v>
      </c>
      <c r="L45" s="27">
        <f t="shared" si="4"/>
        <v>2.7514068118353294</v>
      </c>
      <c r="M45" s="27">
        <f t="shared" si="16"/>
        <v>13.339788788075907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>
        <f>SUM($B$24:B45)</f>
        <v>2067.625</v>
      </c>
      <c r="Y45" s="1">
        <f t="shared" si="5"/>
        <v>173</v>
      </c>
      <c r="Z45" s="1">
        <f t="shared" si="6"/>
        <v>0.31410159987279024</v>
      </c>
      <c r="AA45" s="1">
        <f t="shared" si="7"/>
        <v>73.340148410303783</v>
      </c>
      <c r="AB45" s="1">
        <f t="shared" si="8"/>
        <v>656333.31702291186</v>
      </c>
      <c r="AC45" s="1">
        <f t="shared" si="9"/>
        <v>581.81375234811401</v>
      </c>
      <c r="AD45" s="1">
        <f t="shared" si="10"/>
        <v>5459.9838994269003</v>
      </c>
      <c r="AE45" s="1">
        <f t="shared" si="11"/>
        <v>235.89036651192643</v>
      </c>
    </row>
    <row r="46" spans="1:31" ht="22.05" customHeight="1">
      <c r="A46" s="19">
        <f>'03 Recorded O'!A33</f>
        <v>0.69097222222222221</v>
      </c>
      <c r="B46" s="16">
        <f>'03 Recorded O'!B33</f>
        <v>67.041666666666657</v>
      </c>
      <c r="C46" s="16">
        <f t="shared" si="0"/>
        <v>4.1678427551415087</v>
      </c>
      <c r="D46" s="16">
        <f>B46*'01 Traffic inputs'!$B$8/E46</f>
        <v>14.97177404858274</v>
      </c>
      <c r="E46" s="27">
        <f t="shared" si="12"/>
        <v>4.6569854118213101</v>
      </c>
      <c r="F46" s="27">
        <f t="shared" si="1"/>
        <v>6931.8463213424748</v>
      </c>
      <c r="G46" s="27">
        <f t="shared" si="13"/>
        <v>32281.50719547912</v>
      </c>
      <c r="H46" s="27">
        <f t="shared" si="2"/>
        <v>4.0758788464844677</v>
      </c>
      <c r="I46" s="27">
        <f t="shared" si="14"/>
        <v>18.981308328429236</v>
      </c>
      <c r="J46" s="27">
        <f t="shared" si="3"/>
        <v>62.680628166186715</v>
      </c>
      <c r="K46" s="27">
        <f t="shared" si="15"/>
        <v>291.90277097372746</v>
      </c>
      <c r="L46" s="27">
        <f t="shared" si="4"/>
        <v>2.7514068118353179</v>
      </c>
      <c r="M46" s="27">
        <f t="shared" si="16"/>
        <v>12.813261384702855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>
        <f>SUM($B$24:B46)</f>
        <v>2134.6666666666665</v>
      </c>
      <c r="Y46" s="1">
        <f t="shared" si="5"/>
        <v>176</v>
      </c>
      <c r="Z46" s="1">
        <f t="shared" si="6"/>
        <v>0.6958320558519876</v>
      </c>
      <c r="AA46" s="1">
        <f t="shared" si="7"/>
        <v>77.997133822125093</v>
      </c>
      <c r="AB46" s="1">
        <f t="shared" si="8"/>
        <v>688614.82421839098</v>
      </c>
      <c r="AC46" s="1">
        <f t="shared" si="9"/>
        <v>600.79506067654324</v>
      </c>
      <c r="AD46" s="1">
        <f t="shared" si="10"/>
        <v>5751.8866704006277</v>
      </c>
      <c r="AE46" s="1">
        <f t="shared" si="11"/>
        <v>248.70362789662929</v>
      </c>
    </row>
    <row r="47" spans="1:31" ht="22.05" customHeight="1">
      <c r="A47" s="19">
        <f>'03 Recorded O'!A34</f>
        <v>0.69444444444444453</v>
      </c>
      <c r="B47" s="16">
        <f>'03 Recorded O'!B34</f>
        <v>64.208333333333343</v>
      </c>
      <c r="C47" s="16">
        <f t="shared" si="0"/>
        <v>4.2472416212706481</v>
      </c>
      <c r="D47" s="16">
        <f>B47*'01 Traffic inputs'!$B$8/E47</f>
        <v>14.691888421768905</v>
      </c>
      <c r="E47" s="27">
        <f t="shared" si="12"/>
        <v>4.5451384294292154</v>
      </c>
      <c r="F47" s="27">
        <f t="shared" si="1"/>
        <v>6931.8463213424875</v>
      </c>
      <c r="G47" s="27">
        <f t="shared" si="13"/>
        <v>31506.201102031278</v>
      </c>
      <c r="H47" s="27">
        <f t="shared" si="2"/>
        <v>4.0758788464845175</v>
      </c>
      <c r="I47" s="27">
        <f t="shared" si="14"/>
        <v>18.525433578854404</v>
      </c>
      <c r="J47" s="27">
        <f t="shared" si="3"/>
        <v>62.680628166187049</v>
      </c>
      <c r="K47" s="27">
        <f t="shared" si="15"/>
        <v>284.89213185890003</v>
      </c>
      <c r="L47" s="27">
        <f t="shared" si="4"/>
        <v>2.7514068118353237</v>
      </c>
      <c r="M47" s="27">
        <f t="shared" si="16"/>
        <v>12.505524835466048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>
        <f>SUM($B$24:B47)</f>
        <v>2198.875</v>
      </c>
      <c r="Y47" s="1">
        <f t="shared" si="5"/>
        <v>179</v>
      </c>
      <c r="Z47" s="1">
        <f t="shared" si="6"/>
        <v>0.93583870382867573</v>
      </c>
      <c r="AA47" s="1">
        <f t="shared" si="7"/>
        <v>82.542272251554309</v>
      </c>
      <c r="AB47" s="1">
        <f t="shared" si="8"/>
        <v>720121.02532042225</v>
      </c>
      <c r="AC47" s="1">
        <f t="shared" si="9"/>
        <v>619.32049425539765</v>
      </c>
      <c r="AD47" s="1">
        <f t="shared" si="10"/>
        <v>6036.7788022595278</v>
      </c>
      <c r="AE47" s="1">
        <f t="shared" si="11"/>
        <v>261.20915273209533</v>
      </c>
    </row>
    <row r="48" spans="1:31" ht="22.05" customHeight="1">
      <c r="A48" s="19">
        <f>'03 Recorded O'!A35</f>
        <v>0.69791666666666663</v>
      </c>
      <c r="B48" s="16">
        <f>'03 Recorded O'!B35</f>
        <v>65.104166666666657</v>
      </c>
      <c r="C48" s="16">
        <f t="shared" si="0"/>
        <v>4.312165932436816</v>
      </c>
      <c r="D48" s="16">
        <f>B48*'01 Traffic inputs'!$B$8/E48</f>
        <v>14.470686188260576</v>
      </c>
      <c r="E48" s="27">
        <f t="shared" si="12"/>
        <v>4.6789994926614753</v>
      </c>
      <c r="F48" s="27">
        <f t="shared" si="1"/>
        <v>6931.8463213424939</v>
      </c>
      <c r="G48" s="27">
        <f t="shared" si="13"/>
        <v>32434.105420768843</v>
      </c>
      <c r="H48" s="27">
        <f t="shared" si="2"/>
        <v>4.0758788464845086</v>
      </c>
      <c r="I48" s="27">
        <f t="shared" si="14"/>
        <v>19.071035054850654</v>
      </c>
      <c r="J48" s="27">
        <f t="shared" si="3"/>
        <v>62.680628166187191</v>
      </c>
      <c r="K48" s="27">
        <f t="shared" si="15"/>
        <v>293.28262738929243</v>
      </c>
      <c r="L48" s="27">
        <f t="shared" si="4"/>
        <v>2.7514068118353325</v>
      </c>
      <c r="M48" s="27">
        <f t="shared" si="16"/>
        <v>12.873831076682848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>
        <f>SUM($B$24:B48)</f>
        <v>2263.9791666666665</v>
      </c>
      <c r="Y48" s="1">
        <f t="shared" si="5"/>
        <v>183</v>
      </c>
      <c r="Z48" s="1">
        <f t="shared" si="6"/>
        <v>0.22549275112094347</v>
      </c>
      <c r="AA48" s="1">
        <f t="shared" si="7"/>
        <v>87.221271744215784</v>
      </c>
      <c r="AB48" s="1">
        <f t="shared" si="8"/>
        <v>752555.1307411911</v>
      </c>
      <c r="AC48" s="1">
        <f t="shared" si="9"/>
        <v>638.3915293102483</v>
      </c>
      <c r="AD48" s="1">
        <f t="shared" si="10"/>
        <v>6330.0614296488202</v>
      </c>
      <c r="AE48" s="1">
        <f t="shared" si="11"/>
        <v>274.08298380877818</v>
      </c>
    </row>
    <row r="49" spans="1:31" ht="22.05" customHeight="1">
      <c r="A49" s="19">
        <f>'03 Recorded O'!A36</f>
        <v>0.70138888888888884</v>
      </c>
      <c r="B49" s="16">
        <f>'03 Recorded O'!B36</f>
        <v>69.999999999999986</v>
      </c>
      <c r="C49" s="16">
        <f t="shared" si="0"/>
        <v>4.3624628847741427</v>
      </c>
      <c r="D49" s="16">
        <f>B49*'01 Traffic inputs'!$B$8/E49</f>
        <v>14.303846622464009</v>
      </c>
      <c r="E49" s="27">
        <f t="shared" si="12"/>
        <v>5.0895400322364992</v>
      </c>
      <c r="F49" s="27">
        <f t="shared" si="1"/>
        <v>6931.8463213424884</v>
      </c>
      <c r="G49" s="27">
        <f t="shared" si="13"/>
        <v>35279.909349783906</v>
      </c>
      <c r="H49" s="27">
        <f t="shared" si="2"/>
        <v>4.0758788464844873</v>
      </c>
      <c r="I49" s="27">
        <f t="shared" si="14"/>
        <v>20.74434855572872</v>
      </c>
      <c r="J49" s="27">
        <f t="shared" si="3"/>
        <v>62.680628166186999</v>
      </c>
      <c r="K49" s="27">
        <f t="shared" si="15"/>
        <v>319.01556629753941</v>
      </c>
      <c r="L49" s="27">
        <f t="shared" si="4"/>
        <v>2.7514068118353316</v>
      </c>
      <c r="M49" s="27">
        <f t="shared" si="16"/>
        <v>14.003395113804117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>
        <f>SUM($B$24:B49)</f>
        <v>2333.9791666666665</v>
      </c>
      <c r="Y49" s="1">
        <f t="shared" si="5"/>
        <v>186</v>
      </c>
      <c r="Z49" s="1">
        <f t="shared" si="6"/>
        <v>0.77090276460304208</v>
      </c>
      <c r="AA49" s="1">
        <f t="shared" si="7"/>
        <v>92.310811776452283</v>
      </c>
      <c r="AB49" s="1">
        <f t="shared" si="8"/>
        <v>787835.040090975</v>
      </c>
      <c r="AC49" s="1">
        <f t="shared" si="9"/>
        <v>659.13587786597702</v>
      </c>
      <c r="AD49" s="1">
        <f t="shared" si="10"/>
        <v>6649.0769959463596</v>
      </c>
      <c r="AE49" s="1">
        <f t="shared" si="11"/>
        <v>288.0863789225823</v>
      </c>
    </row>
    <row r="50" spans="1:31" ht="22.05" customHeight="1">
      <c r="A50" s="19">
        <f>'03 Recorded O'!A37</f>
        <v>0.70486111111111116</v>
      </c>
      <c r="B50" s="16">
        <f>'03 Recorded O'!B37</f>
        <v>69.583333333333314</v>
      </c>
      <c r="C50" s="16">
        <f t="shared" si="0"/>
        <v>4.3965665158661942</v>
      </c>
      <c r="D50" s="16">
        <f>B50*'01 Traffic inputs'!$B$8/E50</f>
        <v>14.192893425998221</v>
      </c>
      <c r="E50" s="27">
        <f t="shared" si="12"/>
        <v>5.0987958899281551</v>
      </c>
      <c r="F50" s="27">
        <f t="shared" si="1"/>
        <v>6931.8463213424993</v>
      </c>
      <c r="G50" s="27">
        <f t="shared" si="13"/>
        <v>35344.069532874739</v>
      </c>
      <c r="H50" s="27">
        <f t="shared" si="2"/>
        <v>4.0758788464844908</v>
      </c>
      <c r="I50" s="27">
        <f t="shared" si="14"/>
        <v>20.782074310300231</v>
      </c>
      <c r="J50" s="27">
        <f t="shared" si="3"/>
        <v>62.680628166187041</v>
      </c>
      <c r="K50" s="27">
        <f t="shared" si="15"/>
        <v>319.59572927186946</v>
      </c>
      <c r="L50" s="27">
        <f t="shared" si="4"/>
        <v>2.7514068118353339</v>
      </c>
      <c r="M50" s="27">
        <f t="shared" si="16"/>
        <v>14.028861743706329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>
        <f>SUM($B$24:B50)</f>
        <v>2403.5625</v>
      </c>
      <c r="Y50" s="1">
        <f t="shared" si="5"/>
        <v>190</v>
      </c>
      <c r="Z50" s="1">
        <f t="shared" si="6"/>
        <v>0.30738320565342675</v>
      </c>
      <c r="AA50" s="1">
        <f t="shared" si="7"/>
        <v>97.409607666380438</v>
      </c>
      <c r="AB50" s="1">
        <f t="shared" si="8"/>
        <v>823179.10962384974</v>
      </c>
      <c r="AC50" s="1">
        <f t="shared" si="9"/>
        <v>679.91795217627725</v>
      </c>
      <c r="AD50" s="1">
        <f t="shared" si="10"/>
        <v>6968.6727252182291</v>
      </c>
      <c r="AE50" s="1">
        <f t="shared" si="11"/>
        <v>302.11524066628863</v>
      </c>
    </row>
    <row r="51" spans="1:31" ht="22.05" customHeight="1">
      <c r="A51" s="19">
        <f>'03 Recorded O'!A38</f>
        <v>0.70833333333333337</v>
      </c>
      <c r="B51" s="16">
        <f>'03 Recorded O'!B38</f>
        <v>66.208333333333314</v>
      </c>
      <c r="C51" s="16">
        <f t="shared" si="0"/>
        <v>4.4113152780017773</v>
      </c>
      <c r="D51" s="16">
        <f>B51*'01 Traffic inputs'!$B$8/E51</f>
        <v>14.145441000595854</v>
      </c>
      <c r="E51" s="27">
        <f t="shared" si="12"/>
        <v>4.8677638727394594</v>
      </c>
      <c r="F51" s="27">
        <f t="shared" si="1"/>
        <v>6931.846321342503</v>
      </c>
      <c r="G51" s="27">
        <f t="shared" si="13"/>
        <v>33742.591094412957</v>
      </c>
      <c r="H51" s="27">
        <f t="shared" si="2"/>
        <v>4.0758788464845255</v>
      </c>
      <c r="I51" s="27">
        <f t="shared" si="14"/>
        <v>19.840415798580352</v>
      </c>
      <c r="J51" s="27">
        <f t="shared" si="3"/>
        <v>62.680628166187077</v>
      </c>
      <c r="K51" s="27">
        <f t="shared" si="15"/>
        <v>305.11449730798086</v>
      </c>
      <c r="L51" s="27">
        <f t="shared" si="4"/>
        <v>2.7514068118353423</v>
      </c>
      <c r="M51" s="27">
        <f t="shared" si="16"/>
        <v>13.393198677861335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f>SUM($B$24:B51)</f>
        <v>2469.7708333333335</v>
      </c>
      <c r="Y51" s="1">
        <f t="shared" si="5"/>
        <v>193</v>
      </c>
      <c r="Z51" s="1">
        <f t="shared" si="6"/>
        <v>0.68670909779674072</v>
      </c>
      <c r="AA51" s="1">
        <f t="shared" si="7"/>
        <v>102.2773715391199</v>
      </c>
      <c r="AB51" s="1">
        <f t="shared" si="8"/>
        <v>856921.7007182627</v>
      </c>
      <c r="AC51" s="1">
        <f t="shared" si="9"/>
        <v>699.75836797485761</v>
      </c>
      <c r="AD51" s="1">
        <f t="shared" si="10"/>
        <v>7273.7872225262099</v>
      </c>
      <c r="AE51" s="1">
        <f t="shared" si="11"/>
        <v>315.50843934414996</v>
      </c>
    </row>
    <row r="52" spans="1:31" ht="22.05" customHeight="1">
      <c r="A52" s="19">
        <f>'03 Recorded O'!A39</f>
        <v>0.71180555555555547</v>
      </c>
      <c r="B52" s="16">
        <f>'03 Recorded O'!B39</f>
        <v>60.375</v>
      </c>
      <c r="C52" s="16">
        <f t="shared" si="0"/>
        <v>4.4083641020313493</v>
      </c>
      <c r="D52" s="16">
        <f>B52*'01 Traffic inputs'!$B$8/E52</f>
        <v>14.154910655235501</v>
      </c>
      <c r="E52" s="27">
        <f t="shared" si="12"/>
        <v>4.4359163776690451</v>
      </c>
      <c r="F52" s="27">
        <f t="shared" si="1"/>
        <v>6931.8463213424739</v>
      </c>
      <c r="G52" s="27">
        <f t="shared" si="13"/>
        <v>30749.090624328004</v>
      </c>
      <c r="H52" s="27">
        <f t="shared" si="2"/>
        <v>4.0758788464844828</v>
      </c>
      <c r="I52" s="27">
        <f t="shared" si="14"/>
        <v>18.080257728515335</v>
      </c>
      <c r="J52" s="27">
        <f t="shared" si="3"/>
        <v>62.680628166186949</v>
      </c>
      <c r="K52" s="27">
        <f t="shared" si="15"/>
        <v>278.04602504497234</v>
      </c>
      <c r="L52" s="27">
        <f t="shared" si="4"/>
        <v>2.7514068118353059</v>
      </c>
      <c r="M52" s="27">
        <f t="shared" si="16"/>
        <v>12.205010538250406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>
        <f>SUM($B$24:B52)</f>
        <v>2530.1458333333335</v>
      </c>
      <c r="Y52" s="1">
        <f t="shared" si="5"/>
        <v>196</v>
      </c>
      <c r="Z52" s="1">
        <f t="shared" si="6"/>
        <v>0.78295685221066869</v>
      </c>
      <c r="AA52" s="1">
        <f t="shared" si="7"/>
        <v>106.71328791678894</v>
      </c>
      <c r="AB52" s="1">
        <f t="shared" si="8"/>
        <v>887670.7913425907</v>
      </c>
      <c r="AC52" s="1">
        <f t="shared" si="9"/>
        <v>717.83862570337294</v>
      </c>
      <c r="AD52" s="1">
        <f t="shared" si="10"/>
        <v>7551.8332475711823</v>
      </c>
      <c r="AE52" s="1">
        <f t="shared" si="11"/>
        <v>327.71344988240037</v>
      </c>
    </row>
    <row r="53" spans="1:31" ht="22.05" customHeight="1">
      <c r="A53" s="19">
        <f>'03 Recorded O'!A40</f>
        <v>0.71527777777777779</v>
      </c>
      <c r="B53" s="16">
        <f>'03 Recorded O'!B40</f>
        <v>58.729166666666643</v>
      </c>
      <c r="C53" s="16">
        <f t="shared" si="0"/>
        <v>4.3904993995511425</v>
      </c>
      <c r="D53" s="16">
        <f>B53*'01 Traffic inputs'!$B$8/E53</f>
        <v>14.212506214300047</v>
      </c>
      <c r="E53" s="27">
        <f t="shared" si="12"/>
        <v>4.297506183102314</v>
      </c>
      <c r="F53" s="27">
        <f t="shared" si="1"/>
        <v>6931.8463213424648</v>
      </c>
      <c r="G53" s="27">
        <f t="shared" si="13"/>
        <v>29789.652426284272</v>
      </c>
      <c r="H53" s="27">
        <f t="shared" si="2"/>
        <v>4.0758788464844704</v>
      </c>
      <c r="I53" s="27">
        <f t="shared" si="14"/>
        <v>17.51611454434294</v>
      </c>
      <c r="J53" s="27">
        <f t="shared" si="3"/>
        <v>62.680628166186985</v>
      </c>
      <c r="K53" s="27">
        <f t="shared" si="15"/>
        <v>269.37038710492561</v>
      </c>
      <c r="L53" s="27">
        <f t="shared" si="4"/>
        <v>2.7514068118353228</v>
      </c>
      <c r="M53" s="27">
        <f t="shared" si="16"/>
        <v>11.824187786092125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>
        <f>SUM($B$24:B53)</f>
        <v>2588.875</v>
      </c>
      <c r="Y53" s="1">
        <f t="shared" si="5"/>
        <v>199</v>
      </c>
      <c r="Z53" s="1">
        <f t="shared" si="6"/>
        <v>0.81032817198862406</v>
      </c>
      <c r="AA53" s="1">
        <f t="shared" si="7"/>
        <v>111.01079409989126</v>
      </c>
      <c r="AB53" s="1">
        <f t="shared" si="8"/>
        <v>917460.44376887497</v>
      </c>
      <c r="AC53" s="1">
        <f t="shared" si="9"/>
        <v>735.35474024771588</v>
      </c>
      <c r="AD53" s="1">
        <f t="shared" si="10"/>
        <v>7821.2036346761079</v>
      </c>
      <c r="AE53" s="1">
        <f t="shared" si="11"/>
        <v>339.53763766849249</v>
      </c>
    </row>
    <row r="54" spans="1:31" ht="22.05" customHeight="1">
      <c r="A54" s="19">
        <f>'03 Recorded O'!A41</f>
        <v>0.71875</v>
      </c>
      <c r="B54" s="16">
        <f>'03 Recorded O'!B41</f>
        <v>58.291666666666657</v>
      </c>
      <c r="C54" s="16">
        <f t="shared" si="0"/>
        <v>4.3587333023111015</v>
      </c>
      <c r="D54" s="16">
        <f>B54*'01 Traffic inputs'!$B$8/E54</f>
        <v>14.316085814866284</v>
      </c>
      <c r="E54" s="27">
        <f t="shared" si="12"/>
        <v>4.2346304791202982</v>
      </c>
      <c r="F54" s="27">
        <f t="shared" si="1"/>
        <v>6931.846321342503</v>
      </c>
      <c r="G54" s="27">
        <f t="shared" si="13"/>
        <v>29353.807708934881</v>
      </c>
      <c r="H54" s="27">
        <f t="shared" si="2"/>
        <v>4.0758788464845352</v>
      </c>
      <c r="I54" s="27">
        <f t="shared" si="14"/>
        <v>17.259840792525097</v>
      </c>
      <c r="J54" s="27">
        <f t="shared" si="3"/>
        <v>62.680628166187212</v>
      </c>
      <c r="K54" s="27">
        <f t="shared" si="15"/>
        <v>265.42929848294261</v>
      </c>
      <c r="L54" s="27">
        <f t="shared" si="4"/>
        <v>2.7514068118353237</v>
      </c>
      <c r="M54" s="27">
        <f t="shared" si="16"/>
        <v>11.651191145857069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>
        <f>SUM($B$24:B54)</f>
        <v>2647.1666666666665</v>
      </c>
      <c r="Y54" s="1">
        <f t="shared" si="5"/>
        <v>202</v>
      </c>
      <c r="Z54" s="1">
        <f t="shared" si="6"/>
        <v>0.83213552912729916</v>
      </c>
      <c r="AA54" s="1">
        <f t="shared" si="7"/>
        <v>115.24542457901156</v>
      </c>
      <c r="AB54" s="1">
        <f t="shared" si="8"/>
        <v>946814.25147780986</v>
      </c>
      <c r="AC54" s="1">
        <f t="shared" si="9"/>
        <v>752.61458104024098</v>
      </c>
      <c r="AD54" s="1">
        <f t="shared" si="10"/>
        <v>8086.6329331590505</v>
      </c>
      <c r="AE54" s="1">
        <f t="shared" si="11"/>
        <v>351.18882881434956</v>
      </c>
    </row>
    <row r="55" spans="1:31" ht="22.05" customHeight="1">
      <c r="A55" s="19">
        <f>'03 Recorded O'!A42</f>
        <v>0.72222222222222221</v>
      </c>
      <c r="B55" s="16">
        <f>'03 Recorded O'!B42</f>
        <v>61.270833333333336</v>
      </c>
      <c r="C55" s="16">
        <f t="shared" si="0"/>
        <v>4.3120806813698414</v>
      </c>
      <c r="D55" s="16">
        <f>B55*'01 Traffic inputs'!$B$8/E55</f>
        <v>14.4709722778606</v>
      </c>
      <c r="E55" s="27">
        <f t="shared" si="12"/>
        <v>4.4034129458016338</v>
      </c>
      <c r="F55" s="27">
        <f t="shared" si="1"/>
        <v>6931.8463213424948</v>
      </c>
      <c r="G55" s="27">
        <f t="shared" si="13"/>
        <v>30523.781829706975</v>
      </c>
      <c r="H55" s="27">
        <f t="shared" si="2"/>
        <v>4.0758788464844766</v>
      </c>
      <c r="I55" s="27">
        <f t="shared" si="14"/>
        <v>17.947777678128773</v>
      </c>
      <c r="J55" s="27">
        <f t="shared" si="3"/>
        <v>62.680628166186843</v>
      </c>
      <c r="K55" s="27">
        <f t="shared" si="15"/>
        <v>276.00868951796565</v>
      </c>
      <c r="L55" s="27">
        <f t="shared" si="4"/>
        <v>2.7514068118353312</v>
      </c>
      <c r="M55" s="27">
        <f t="shared" si="16"/>
        <v>12.115580374402498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f>SUM($B$24:B55)</f>
        <v>2708.4375</v>
      </c>
      <c r="Y55" s="1">
        <f t="shared" si="5"/>
        <v>206</v>
      </c>
      <c r="Z55" s="1">
        <f t="shared" si="6"/>
        <v>2.8473508895407944E-2</v>
      </c>
      <c r="AA55" s="1">
        <f t="shared" si="7"/>
        <v>119.64883752481319</v>
      </c>
      <c r="AB55" s="1">
        <f t="shared" si="8"/>
        <v>977338.03330751683</v>
      </c>
      <c r="AC55" s="1">
        <f t="shared" si="9"/>
        <v>770.56235871836975</v>
      </c>
      <c r="AD55" s="1">
        <f t="shared" si="10"/>
        <v>8362.6416226770161</v>
      </c>
      <c r="AE55" s="1">
        <f t="shared" si="11"/>
        <v>363.30440918875206</v>
      </c>
    </row>
    <row r="56" spans="1:31" ht="22.05" customHeight="1">
      <c r="A56" s="19">
        <f>'03 Recorded O'!A43</f>
        <v>0.72569444444444453</v>
      </c>
      <c r="B56" s="16">
        <f>'03 Recorded O'!B43</f>
        <v>61.062500000000028</v>
      </c>
      <c r="C56" s="16">
        <f t="shared" ref="C56:C80" si="17">E56/B56*60</f>
        <v>4.2484403590338768</v>
      </c>
      <c r="D56" s="16">
        <f>B56*'01 Traffic inputs'!$B$8/E56</f>
        <v>14.687742966030811</v>
      </c>
      <c r="E56" s="27">
        <f t="shared" si="12"/>
        <v>4.3236731570584368</v>
      </c>
      <c r="F56" s="27">
        <f t="shared" ref="F56:F80" si="18">G56/E56</f>
        <v>6931.8463213424975</v>
      </c>
      <c r="G56" s="27">
        <f t="shared" si="13"/>
        <v>29971.037868442829</v>
      </c>
      <c r="H56" s="27">
        <f t="shared" ref="H56:H80" si="19">I56/E56</f>
        <v>4.0758788464845157</v>
      </c>
      <c r="I56" s="27">
        <f t="shared" si="14"/>
        <v>17.622767959967405</v>
      </c>
      <c r="J56" s="27">
        <f t="shared" ref="J56:J80" si="20">K56/E56</f>
        <v>62.680628166186978</v>
      </c>
      <c r="K56" s="27">
        <f t="shared" si="15"/>
        <v>271.01054946970362</v>
      </c>
      <c r="L56" s="27">
        <f t="shared" ref="L56:L80" si="21">M56/E56</f>
        <v>2.7514068118353152</v>
      </c>
      <c r="M56" s="27">
        <f t="shared" si="16"/>
        <v>11.896183776480086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>
        <f>SUM($B$24:B56)</f>
        <v>2769.5</v>
      </c>
      <c r="Y56" s="1">
        <f t="shared" ref="Y56:Y80" si="22">MIN(MATCH(X56,$R$144:$R$528,1),384)</f>
        <v>209</v>
      </c>
      <c r="Z56" s="1">
        <f t="shared" ref="Z56:Z80" si="23">(X56-INDEX($R$144:$R$528,Y56))/(INDEX($R$144:$R$528,Y56+1)-INDEX($R$144:$R$528,Y56))</f>
        <v>0.23680734639487178</v>
      </c>
      <c r="AA56" s="1">
        <f t="shared" ref="AA56:AA80" si="24">INDEX($S$144:$S$528,Y56)+Z56*(INDEX($S$144:$S$528,Y56+1)-INDEX($S$144:$S$528,Y56))</f>
        <v>123.97251068187163</v>
      </c>
      <c r="AB56" s="1">
        <f t="shared" ref="AB56:AB80" si="25">INDEX($T$144:$T$528,Y56)+Z56*(INDEX($T$144:$T$528,Y56+1)-INDEX($T$144:$T$528,Y56))</f>
        <v>1007309.0711759597</v>
      </c>
      <c r="AC56" s="1">
        <f t="shared" ref="AC56:AC80" si="26">INDEX($U$144:$U$528,Y56)+Z56*(INDEX($U$144:$U$528,Y56+1)-INDEX($U$144:$U$528,Y56))</f>
        <v>788.18512667833716</v>
      </c>
      <c r="AD56" s="1">
        <f t="shared" ref="AD56:AD80" si="27">INDEX($V$144:$V$528,Y56)+Z56*(INDEX($V$144:$V$528,Y56+1)-INDEX($V$144:$V$528,Y56))</f>
        <v>8633.6521721467197</v>
      </c>
      <c r="AE56" s="1">
        <f t="shared" ref="AE56:AE80" si="28">INDEX($W$144:$W$528,Y56)+Z56*(INDEX($W$144:$W$528,Y56+1)-INDEX($W$144:$W$528,Y56))</f>
        <v>375.20059296523215</v>
      </c>
    </row>
    <row r="57" spans="1:31" ht="22.05" customHeight="1">
      <c r="A57" s="19">
        <f>'03 Recorded O'!A44</f>
        <v>0.72916666666666663</v>
      </c>
      <c r="B57" s="16">
        <f>'03 Recorded O'!B44</f>
        <v>62.291666666666657</v>
      </c>
      <c r="C57" s="16">
        <f t="shared" si="17"/>
        <v>4.1705377865452835</v>
      </c>
      <c r="D57" s="16">
        <f>B57*'01 Traffic inputs'!$B$8/E57</f>
        <v>14.962099180904689</v>
      </c>
      <c r="E57" s="27">
        <f t="shared" ref="E57:E80" si="29">AA57-AA56</f>
        <v>4.3298291603369421</v>
      </c>
      <c r="F57" s="27">
        <f t="shared" si="18"/>
        <v>6931.8463213424775</v>
      </c>
      <c r="G57" s="27">
        <f t="shared" ref="G57:G80" si="30">AB57-AB56</f>
        <v>30013.710337123019</v>
      </c>
      <c r="H57" s="27">
        <f t="shared" si="19"/>
        <v>4.0758788464844908</v>
      </c>
      <c r="I57" s="27">
        <f t="shared" ref="I57:I80" si="31">AC57-AC56</f>
        <v>17.647859083509047</v>
      </c>
      <c r="J57" s="27">
        <f t="shared" si="20"/>
        <v>62.680628166186715</v>
      </c>
      <c r="K57" s="27">
        <f t="shared" ref="K57:K80" si="32">AD57-AD56</f>
        <v>271.39641162219232</v>
      </c>
      <c r="L57" s="27">
        <f t="shared" si="21"/>
        <v>2.7514068118353392</v>
      </c>
      <c r="M57" s="27">
        <f t="shared" ref="M57:M80" si="33">AE57-AE56</f>
        <v>11.913121445834349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>
        <f>SUM($B$24:B57)</f>
        <v>2831.7916666666665</v>
      </c>
      <c r="Y57" s="1">
        <f t="shared" si="22"/>
        <v>212</v>
      </c>
      <c r="Z57" s="1">
        <f t="shared" si="23"/>
        <v>0.53487878979383952</v>
      </c>
      <c r="AA57" s="1">
        <f t="shared" si="24"/>
        <v>128.30233984220857</v>
      </c>
      <c r="AB57" s="1">
        <f t="shared" si="25"/>
        <v>1037322.7815130827</v>
      </c>
      <c r="AC57" s="1">
        <f t="shared" si="26"/>
        <v>805.8329857618462</v>
      </c>
      <c r="AD57" s="1">
        <f t="shared" si="27"/>
        <v>8905.0485837689121</v>
      </c>
      <c r="AE57" s="1">
        <f t="shared" si="28"/>
        <v>387.1137144110665</v>
      </c>
    </row>
    <row r="58" spans="1:31" ht="22.05" customHeight="1">
      <c r="A58" s="19">
        <f>'03 Recorded O'!A45</f>
        <v>0.73263888888888884</v>
      </c>
      <c r="B58" s="16">
        <f>'03 Recorded O'!B45</f>
        <v>62.208333333333329</v>
      </c>
      <c r="C58" s="16">
        <f t="shared" si="17"/>
        <v>4.0782165939294144</v>
      </c>
      <c r="D58" s="16">
        <f>B58*'01 Traffic inputs'!$B$8/E58</f>
        <v>15.300805772034298</v>
      </c>
      <c r="E58" s="27">
        <f t="shared" si="29"/>
        <v>4.2283176213448712</v>
      </c>
      <c r="F58" s="27">
        <f t="shared" si="18"/>
        <v>6931.8463213424984</v>
      </c>
      <c r="G58" s="27">
        <f t="shared" si="30"/>
        <v>29310.047948987107</v>
      </c>
      <c r="H58" s="27">
        <f t="shared" si="19"/>
        <v>4.0758788464844766</v>
      </c>
      <c r="I58" s="27">
        <f t="shared" si="31"/>
        <v>17.234110349057119</v>
      </c>
      <c r="J58" s="27">
        <f t="shared" si="20"/>
        <v>62.680628166186956</v>
      </c>
      <c r="K58" s="27">
        <f t="shared" si="32"/>
        <v>265.03360459205396</v>
      </c>
      <c r="L58" s="27">
        <f t="shared" si="21"/>
        <v>2.7514068118353245</v>
      </c>
      <c r="M58" s="27">
        <f t="shared" si="33"/>
        <v>11.633821905971615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>
        <f>SUM($B$24:B58)</f>
        <v>2894</v>
      </c>
      <c r="Y58" s="1">
        <f t="shared" si="22"/>
        <v>215</v>
      </c>
      <c r="Z58" s="1">
        <f t="shared" si="23"/>
        <v>0.85575558759608183</v>
      </c>
      <c r="AA58" s="1">
        <f t="shared" si="24"/>
        <v>132.53065746355344</v>
      </c>
      <c r="AB58" s="1">
        <f t="shared" si="25"/>
        <v>1066632.8294620698</v>
      </c>
      <c r="AC58" s="1">
        <f t="shared" si="26"/>
        <v>823.06709611090332</v>
      </c>
      <c r="AD58" s="1">
        <f t="shared" si="27"/>
        <v>9170.082188360966</v>
      </c>
      <c r="AE58" s="1">
        <f t="shared" si="28"/>
        <v>398.74753631703811</v>
      </c>
    </row>
    <row r="59" spans="1:31" ht="22.05" customHeight="1">
      <c r="A59" s="19">
        <f>'03 Recorded O'!A46</f>
        <v>0.73611111111111116</v>
      </c>
      <c r="B59" s="16">
        <f>'03 Recorded O'!B46</f>
        <v>64.604166666666671</v>
      </c>
      <c r="C59" s="16">
        <f t="shared" si="17"/>
        <v>3.9682058438970396</v>
      </c>
      <c r="D59" s="16">
        <f>B59*'01 Traffic inputs'!$B$8/E59</f>
        <v>15.724990702276754</v>
      </c>
      <c r="E59" s="27">
        <f t="shared" si="29"/>
        <v>4.2727105284460833</v>
      </c>
      <c r="F59" s="27">
        <f t="shared" si="18"/>
        <v>6931.8463213425348</v>
      </c>
      <c r="G59" s="27">
        <f t="shared" si="30"/>
        <v>29617.772758770501</v>
      </c>
      <c r="H59" s="27">
        <f t="shared" si="19"/>
        <v>4.0758788464844455</v>
      </c>
      <c r="I59" s="27">
        <f t="shared" si="31"/>
        <v>17.415050460044768</v>
      </c>
      <c r="J59" s="27">
        <f t="shared" si="20"/>
        <v>62.680628166186402</v>
      </c>
      <c r="K59" s="27">
        <f t="shared" si="32"/>
        <v>267.81617989527876</v>
      </c>
      <c r="L59" s="27">
        <f t="shared" si="21"/>
        <v>2.7514068118353223</v>
      </c>
      <c r="M59" s="27">
        <f t="shared" si="33"/>
        <v>11.755964852967054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>
        <f>SUM($B$24:B59)</f>
        <v>2958.6041666666665</v>
      </c>
      <c r="Y59" s="1">
        <f t="shared" si="22"/>
        <v>219</v>
      </c>
      <c r="Z59" s="1">
        <f t="shared" si="23"/>
        <v>0.33604237976804657</v>
      </c>
      <c r="AA59" s="1">
        <f t="shared" si="24"/>
        <v>136.80336799199952</v>
      </c>
      <c r="AB59" s="1">
        <f t="shared" si="25"/>
        <v>1096250.6022208403</v>
      </c>
      <c r="AC59" s="1">
        <f t="shared" si="26"/>
        <v>840.48214657094809</v>
      </c>
      <c r="AD59" s="1">
        <f t="shared" si="27"/>
        <v>9437.8983682562448</v>
      </c>
      <c r="AE59" s="1">
        <f t="shared" si="28"/>
        <v>410.50350117000517</v>
      </c>
    </row>
    <row r="60" spans="1:31" ht="22.05" customHeight="1">
      <c r="A60" s="19">
        <f>'03 Recorded O'!A47</f>
        <v>0.73958333333333337</v>
      </c>
      <c r="B60" s="16">
        <f>'03 Recorded O'!B47</f>
        <v>69.375000000000028</v>
      </c>
      <c r="C60" s="16">
        <f t="shared" si="17"/>
        <v>3.8399727107754491</v>
      </c>
      <c r="D60" s="16">
        <f>B60*'01 Traffic inputs'!$B$8/E60</f>
        <v>16.250115482565523</v>
      </c>
      <c r="E60" s="27">
        <f t="shared" si="29"/>
        <v>4.439968446834115</v>
      </c>
      <c r="F60" s="27">
        <f t="shared" si="18"/>
        <v>6931.8463213424502</v>
      </c>
      <c r="G60" s="27">
        <f t="shared" si="30"/>
        <v>30777.178945063613</v>
      </c>
      <c r="H60" s="27">
        <f t="shared" si="19"/>
        <v>4.0758788464844669</v>
      </c>
      <c r="I60" s="27">
        <f t="shared" si="31"/>
        <v>18.096773471509664</v>
      </c>
      <c r="J60" s="27">
        <f t="shared" si="20"/>
        <v>62.680628166186921</v>
      </c>
      <c r="K60" s="27">
        <f t="shared" si="32"/>
        <v>278.30001128561162</v>
      </c>
      <c r="L60" s="27">
        <f t="shared" si="21"/>
        <v>2.7514068118353117</v>
      </c>
      <c r="M60" s="27">
        <f t="shared" si="33"/>
        <v>12.216159428953233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>
        <f>SUM($B$24:B60)</f>
        <v>3027.9791666666665</v>
      </c>
      <c r="Y60" s="1">
        <f t="shared" si="22"/>
        <v>223</v>
      </c>
      <c r="Z60" s="1">
        <f t="shared" si="23"/>
        <v>0.11096507428752868</v>
      </c>
      <c r="AA60" s="1">
        <f t="shared" si="24"/>
        <v>141.24333643883364</v>
      </c>
      <c r="AB60" s="1">
        <f t="shared" si="25"/>
        <v>1127027.7811659039</v>
      </c>
      <c r="AC60" s="1">
        <f t="shared" si="26"/>
        <v>858.57892004245775</v>
      </c>
      <c r="AD60" s="1">
        <f t="shared" si="27"/>
        <v>9716.1983795418564</v>
      </c>
      <c r="AE60" s="1">
        <f t="shared" si="28"/>
        <v>422.7196605989584</v>
      </c>
    </row>
    <row r="61" spans="1:31" ht="22.05" customHeight="1">
      <c r="A61" s="19">
        <f>'03 Recorded O'!A48</f>
        <v>0.74305555555555547</v>
      </c>
      <c r="B61" s="16">
        <f>'03 Recorded O'!B48</f>
        <v>72.1458333333333</v>
      </c>
      <c r="C61" s="16">
        <f t="shared" si="17"/>
        <v>3.6886774903075299</v>
      </c>
      <c r="D61" s="16">
        <f>B61*'01 Traffic inputs'!$B$8/E61</f>
        <v>16.916632089404718</v>
      </c>
      <c r="E61" s="27">
        <f t="shared" si="29"/>
        <v>4.4353785239357535</v>
      </c>
      <c r="F61" s="27">
        <f t="shared" si="18"/>
        <v>6931.8463213424657</v>
      </c>
      <c r="G61" s="27">
        <f t="shared" si="30"/>
        <v>30745.362304905429</v>
      </c>
      <c r="H61" s="27">
        <f t="shared" si="19"/>
        <v>4.0758788464844722</v>
      </c>
      <c r="I61" s="27">
        <f t="shared" si="31"/>
        <v>18.078065501861261</v>
      </c>
      <c r="J61" s="27">
        <f t="shared" si="20"/>
        <v>62.680628166186352</v>
      </c>
      <c r="K61" s="27">
        <f t="shared" si="32"/>
        <v>278.01231203510542</v>
      </c>
      <c r="L61" s="27">
        <f t="shared" si="21"/>
        <v>2.7514068118353303</v>
      </c>
      <c r="M61" s="27">
        <f t="shared" si="33"/>
        <v>12.203530683824965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>
        <f>SUM($B$24:B61)</f>
        <v>3100.125</v>
      </c>
      <c r="Y61" s="1">
        <f t="shared" si="22"/>
        <v>227</v>
      </c>
      <c r="Z61" s="1">
        <f t="shared" si="23"/>
        <v>8.1470583565055973E-2</v>
      </c>
      <c r="AA61" s="1">
        <f t="shared" si="24"/>
        <v>145.67871496276939</v>
      </c>
      <c r="AB61" s="1">
        <f t="shared" si="25"/>
        <v>1157773.1434708093</v>
      </c>
      <c r="AC61" s="1">
        <f t="shared" si="26"/>
        <v>876.65698554431901</v>
      </c>
      <c r="AD61" s="1">
        <f t="shared" si="27"/>
        <v>9994.2106915769618</v>
      </c>
      <c r="AE61" s="1">
        <f t="shared" si="28"/>
        <v>434.92319128278336</v>
      </c>
    </row>
    <row r="62" spans="1:31" ht="22.05" customHeight="1">
      <c r="A62" s="19">
        <f>'03 Recorded O'!A49</f>
        <v>0.74652777777777779</v>
      </c>
      <c r="B62" s="16">
        <f>'03 Recorded O'!B49</f>
        <v>74.833333333333343</v>
      </c>
      <c r="C62" s="16">
        <f t="shared" si="17"/>
        <v>3.5179248255570386</v>
      </c>
      <c r="D62" s="16">
        <f>B62*'01 Traffic inputs'!$B$8/E62</f>
        <v>17.737729796463352</v>
      </c>
      <c r="E62" s="27">
        <f t="shared" si="29"/>
        <v>4.3876340185419735</v>
      </c>
      <c r="F62" s="27">
        <f t="shared" si="18"/>
        <v>6931.846321342483</v>
      </c>
      <c r="G62" s="27">
        <f t="shared" si="30"/>
        <v>30414.404730827315</v>
      </c>
      <c r="H62" s="27">
        <f t="shared" si="19"/>
        <v>4.0758788464844695</v>
      </c>
      <c r="I62" s="27">
        <f t="shared" si="31"/>
        <v>17.883464682290878</v>
      </c>
      <c r="J62" s="27">
        <f t="shared" si="20"/>
        <v>62.680628166186899</v>
      </c>
      <c r="K62" s="27">
        <f t="shared" si="32"/>
        <v>275.01965644554184</v>
      </c>
      <c r="L62" s="27">
        <f t="shared" si="21"/>
        <v>2.7514068118353165</v>
      </c>
      <c r="M62" s="27">
        <f t="shared" si="33"/>
        <v>12.07216612645675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>
        <f>SUM($B$24:B62)</f>
        <v>3174.9583333333335</v>
      </c>
      <c r="Y62" s="1">
        <f t="shared" si="22"/>
        <v>231</v>
      </c>
      <c r="Z62" s="1">
        <f t="shared" si="23"/>
        <v>0.25170662150876932</v>
      </c>
      <c r="AA62" s="1">
        <f t="shared" si="24"/>
        <v>150.06634898131136</v>
      </c>
      <c r="AB62" s="1">
        <f t="shared" si="25"/>
        <v>1188187.5482016366</v>
      </c>
      <c r="AC62" s="1">
        <f t="shared" si="26"/>
        <v>894.54045022660989</v>
      </c>
      <c r="AD62" s="1">
        <f t="shared" si="27"/>
        <v>10269.230348022504</v>
      </c>
      <c r="AE62" s="1">
        <f t="shared" si="28"/>
        <v>446.99535740924011</v>
      </c>
    </row>
    <row r="63" spans="1:31" ht="22.05" customHeight="1">
      <c r="A63" s="19">
        <f>'03 Recorded O'!A50</f>
        <v>0.75</v>
      </c>
      <c r="B63" s="16">
        <f>'03 Recorded O'!B50</f>
        <v>75.520833333333343</v>
      </c>
      <c r="C63" s="16">
        <f t="shared" si="17"/>
        <v>3.3327076709351586</v>
      </c>
      <c r="D63" s="16">
        <f>B63*'01 Traffic inputs'!$B$8/E63</f>
        <v>18.72351437967308</v>
      </c>
      <c r="E63" s="27">
        <f t="shared" si="29"/>
        <v>4.1948143427569278</v>
      </c>
      <c r="F63" s="27">
        <f t="shared" si="18"/>
        <v>6931.8463213426076</v>
      </c>
      <c r="G63" s="27">
        <f t="shared" si="30"/>
        <v>29077.80837055482</v>
      </c>
      <c r="H63" s="27">
        <f t="shared" si="19"/>
        <v>4.0758788464845406</v>
      </c>
      <c r="I63" s="27">
        <f t="shared" si="31"/>
        <v>17.097555044572914</v>
      </c>
      <c r="J63" s="27">
        <f t="shared" si="20"/>
        <v>62.680628166186722</v>
      </c>
      <c r="K63" s="27">
        <f t="shared" si="32"/>
        <v>262.93359804453394</v>
      </c>
      <c r="L63" s="27">
        <f t="shared" si="21"/>
        <v>2.7514068118353472</v>
      </c>
      <c r="M63" s="27">
        <f t="shared" si="33"/>
        <v>11.541640757046025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>
        <f>SUM($B$24:B63)</f>
        <v>3250.479166666667</v>
      </c>
      <c r="Y63" s="1">
        <f t="shared" si="22"/>
        <v>235</v>
      </c>
      <c r="Z63" s="1">
        <f t="shared" si="23"/>
        <v>0.51738436794930376</v>
      </c>
      <c r="AA63" s="1">
        <f t="shared" si="24"/>
        <v>154.26116332406829</v>
      </c>
      <c r="AB63" s="1">
        <f t="shared" si="25"/>
        <v>1217265.3565721915</v>
      </c>
      <c r="AC63" s="1">
        <f t="shared" si="26"/>
        <v>911.63800527118281</v>
      </c>
      <c r="AD63" s="1">
        <f t="shared" si="27"/>
        <v>10532.163946067038</v>
      </c>
      <c r="AE63" s="1">
        <f t="shared" si="28"/>
        <v>458.53699816628614</v>
      </c>
    </row>
    <row r="64" spans="1:31" ht="22.05" customHeight="1">
      <c r="A64" s="19">
        <f>'03 Recorded O'!A51</f>
        <v>0.75347222222222199</v>
      </c>
      <c r="B64" s="16">
        <f>'03 Recorded O'!B51</f>
        <v>78.208333333333343</v>
      </c>
      <c r="C64" s="16">
        <f t="shared" si="17"/>
        <v>3.1355777661059672</v>
      </c>
      <c r="D64" s="16">
        <f>B64*'01 Traffic inputs'!$B$8/E64</f>
        <v>19.900638623769478</v>
      </c>
      <c r="E64" s="27">
        <f t="shared" si="29"/>
        <v>4.0871385187367366</v>
      </c>
      <c r="F64" s="27">
        <f t="shared" si="18"/>
        <v>6931.8463213424584</v>
      </c>
      <c r="G64" s="27">
        <f t="shared" si="30"/>
        <v>28331.416105922312</v>
      </c>
      <c r="H64" s="27">
        <f t="shared" si="19"/>
        <v>4.0758788464844802</v>
      </c>
      <c r="I64" s="27">
        <f t="shared" si="31"/>
        <v>16.658681431170976</v>
      </c>
      <c r="J64" s="27">
        <f t="shared" si="20"/>
        <v>62.680628166187333</v>
      </c>
      <c r="K64" s="27">
        <f t="shared" si="32"/>
        <v>256.18440975663907</v>
      </c>
      <c r="L64" s="27">
        <f t="shared" si="21"/>
        <v>2.7514068118353232</v>
      </c>
      <c r="M64" s="27">
        <f t="shared" si="33"/>
        <v>11.245380761366789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>
        <f>SUM($B$24:B64)</f>
        <v>3328.6875000000005</v>
      </c>
      <c r="Y64" s="1">
        <f t="shared" si="22"/>
        <v>239</v>
      </c>
      <c r="Z64" s="1">
        <f t="shared" si="23"/>
        <v>0.99954084842582525</v>
      </c>
      <c r="AA64" s="1">
        <f t="shared" si="24"/>
        <v>158.34830184280503</v>
      </c>
      <c r="AB64" s="1">
        <f t="shared" si="25"/>
        <v>1245596.7726781138</v>
      </c>
      <c r="AC64" s="1">
        <f t="shared" si="26"/>
        <v>928.29668670235378</v>
      </c>
      <c r="AD64" s="1">
        <f t="shared" si="27"/>
        <v>10788.348355823677</v>
      </c>
      <c r="AE64" s="1">
        <f t="shared" si="28"/>
        <v>469.78237892765293</v>
      </c>
    </row>
    <row r="65" spans="1:31" ht="22.05" customHeight="1">
      <c r="A65" s="19">
        <f>'03 Recorded O'!A52</f>
        <v>0.75694444444444453</v>
      </c>
      <c r="B65" s="16">
        <f>'03 Recorded O'!B52</f>
        <v>81.0625</v>
      </c>
      <c r="C65" s="16">
        <f t="shared" si="17"/>
        <v>2.9212505860837852</v>
      </c>
      <c r="D65" s="16">
        <f>B65*'01 Traffic inputs'!$B$8/E65</f>
        <v>21.360714584795126</v>
      </c>
      <c r="E65" s="27">
        <f t="shared" si="29"/>
        <v>3.946731260573614</v>
      </c>
      <c r="F65" s="27">
        <f t="shared" si="18"/>
        <v>6931.8463213424784</v>
      </c>
      <c r="G65" s="27">
        <f t="shared" si="30"/>
        <v>27358.134569934569</v>
      </c>
      <c r="H65" s="27">
        <f t="shared" si="19"/>
        <v>4.0758788464844988</v>
      </c>
      <c r="I65" s="27">
        <f t="shared" si="31"/>
        <v>16.086398457731093</v>
      </c>
      <c r="J65" s="27">
        <f t="shared" si="20"/>
        <v>62.680628166187084</v>
      </c>
      <c r="K65" s="27">
        <f t="shared" si="32"/>
        <v>247.38359461588152</v>
      </c>
      <c r="L65" s="27">
        <f t="shared" si="21"/>
        <v>2.751406811835321</v>
      </c>
      <c r="M65" s="27">
        <f t="shared" si="33"/>
        <v>10.859063274825644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>
        <f>SUM($B$24:B65)</f>
        <v>3409.7500000000005</v>
      </c>
      <c r="Y65" s="1">
        <f t="shared" si="22"/>
        <v>244</v>
      </c>
      <c r="Z65" s="1">
        <f t="shared" si="23"/>
        <v>0.72186182418816858</v>
      </c>
      <c r="AA65" s="1">
        <f t="shared" si="24"/>
        <v>162.29503310337864</v>
      </c>
      <c r="AB65" s="1">
        <f t="shared" si="25"/>
        <v>1272954.9072480483</v>
      </c>
      <c r="AC65" s="1">
        <f t="shared" si="26"/>
        <v>944.38308516008487</v>
      </c>
      <c r="AD65" s="1">
        <f t="shared" si="27"/>
        <v>11035.731950439558</v>
      </c>
      <c r="AE65" s="1">
        <f t="shared" si="28"/>
        <v>480.64144220247857</v>
      </c>
    </row>
    <row r="66" spans="1:31" ht="22.05" customHeight="1">
      <c r="A66" s="19">
        <f>'03 Recorded O'!A53</f>
        <v>0.76041666666666663</v>
      </c>
      <c r="B66" s="16">
        <f>'03 Recorded O'!B53</f>
        <v>83.874999999999986</v>
      </c>
      <c r="C66" s="16">
        <f t="shared" si="17"/>
        <v>2.6999702927623841</v>
      </c>
      <c r="D66" s="16">
        <f>B66*'01 Traffic inputs'!$B$8/E66</f>
        <v>23.111365398083233</v>
      </c>
      <c r="E66" s="27">
        <f t="shared" si="29"/>
        <v>3.7743334717574157</v>
      </c>
      <c r="F66" s="27">
        <f t="shared" si="18"/>
        <v>6931.8463213424484</v>
      </c>
      <c r="G66" s="27">
        <f t="shared" si="30"/>
        <v>26163.099591721315</v>
      </c>
      <c r="H66" s="27">
        <f t="shared" si="19"/>
        <v>4.0758788464844837</v>
      </c>
      <c r="I66" s="27">
        <f t="shared" si="31"/>
        <v>15.383725957114393</v>
      </c>
      <c r="J66" s="27">
        <f t="shared" si="20"/>
        <v>62.680628166187454</v>
      </c>
      <c r="K66" s="27">
        <f t="shared" si="32"/>
        <v>236.57759291842194</v>
      </c>
      <c r="L66" s="27">
        <f t="shared" si="21"/>
        <v>2.7514068118353134</v>
      </c>
      <c r="M66" s="27">
        <f t="shared" si="33"/>
        <v>10.384726824331381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>
        <f>SUM($B$24:B66)</f>
        <v>3493.6250000000005</v>
      </c>
      <c r="Y66" s="1">
        <f t="shared" si="22"/>
        <v>249</v>
      </c>
      <c r="Z66" s="1">
        <f t="shared" si="23"/>
        <v>0.6962736588025642</v>
      </c>
      <c r="AA66" s="1">
        <f t="shared" si="24"/>
        <v>166.06936657513606</v>
      </c>
      <c r="AB66" s="1">
        <f t="shared" si="25"/>
        <v>1299118.0068397697</v>
      </c>
      <c r="AC66" s="1">
        <f t="shared" si="26"/>
        <v>959.76681111719927</v>
      </c>
      <c r="AD66" s="1">
        <f t="shared" si="27"/>
        <v>11272.30954335798</v>
      </c>
      <c r="AE66" s="1">
        <f t="shared" si="28"/>
        <v>491.02616902680995</v>
      </c>
    </row>
    <row r="67" spans="1:31" ht="22.05" customHeight="1">
      <c r="A67" s="19">
        <f>'03 Recorded O'!A54</f>
        <v>0.76388888888888873</v>
      </c>
      <c r="B67" s="16">
        <f>'03 Recorded O'!B54</f>
        <v>84.979166666666671</v>
      </c>
      <c r="C67" s="16">
        <f t="shared" si="17"/>
        <v>2.4744487667742985</v>
      </c>
      <c r="D67" s="16">
        <f>B67*'01 Traffic inputs'!$B$8/E67</f>
        <v>25.217737719155174</v>
      </c>
      <c r="E67" s="27">
        <f t="shared" si="29"/>
        <v>3.504609902664015</v>
      </c>
      <c r="F67" s="27">
        <f t="shared" si="18"/>
        <v>7427.8890824920827</v>
      </c>
      <c r="G67" s="27">
        <f t="shared" si="30"/>
        <v>26031.853634391678</v>
      </c>
      <c r="H67" s="27">
        <f t="shared" si="19"/>
        <v>5.1495520609585848</v>
      </c>
      <c r="I67" s="27">
        <f t="shared" si="31"/>
        <v>18.047171147119343</v>
      </c>
      <c r="J67" s="27">
        <f t="shared" si="20"/>
        <v>66.803635809394294</v>
      </c>
      <c r="K67" s="27">
        <f t="shared" si="32"/>
        <v>234.12068359156365</v>
      </c>
      <c r="L67" s="27">
        <f t="shared" si="21"/>
        <v>2.9188026481698661</v>
      </c>
      <c r="M67" s="27">
        <f t="shared" si="33"/>
        <v>10.229264664698064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>
        <f>SUM($B$24:B67)</f>
        <v>3578.604166666667</v>
      </c>
      <c r="Y67" s="1">
        <f t="shared" si="22"/>
        <v>254</v>
      </c>
      <c r="Z67" s="1">
        <f t="shared" si="23"/>
        <v>0.83723324377697561</v>
      </c>
      <c r="AA67" s="1">
        <f t="shared" si="24"/>
        <v>169.57397647780007</v>
      </c>
      <c r="AB67" s="1">
        <f t="shared" si="25"/>
        <v>1325149.8604741613</v>
      </c>
      <c r="AC67" s="1">
        <f t="shared" si="26"/>
        <v>977.81398226431861</v>
      </c>
      <c r="AD67" s="1">
        <f t="shared" si="27"/>
        <v>11506.430226949544</v>
      </c>
      <c r="AE67" s="1">
        <f t="shared" si="28"/>
        <v>501.25543369150802</v>
      </c>
    </row>
    <row r="68" spans="1:31" ht="22.05" customHeight="1">
      <c r="A68" s="19">
        <f>'03 Recorded O'!A55</f>
        <v>0.76736111111111116</v>
      </c>
      <c r="B68" s="16">
        <f>'03 Recorded O'!B55</f>
        <v>86.875000000000014</v>
      </c>
      <c r="C68" s="16">
        <f t="shared" si="17"/>
        <v>2.250337286640407</v>
      </c>
      <c r="D68" s="16">
        <f>B68*'01 Traffic inputs'!$B$8/E68</f>
        <v>27.729176586306302</v>
      </c>
      <c r="E68" s="27">
        <f t="shared" si="29"/>
        <v>3.2583008629480901</v>
      </c>
      <c r="F68" s="27">
        <f t="shared" si="18"/>
        <v>7854.4376436941575</v>
      </c>
      <c r="G68" s="27">
        <f t="shared" si="30"/>
        <v>25592.120952420635</v>
      </c>
      <c r="H68" s="27">
        <f t="shared" si="19"/>
        <v>6.0728066686336026</v>
      </c>
      <c r="I68" s="27">
        <f t="shared" si="31"/>
        <v>19.787031208925782</v>
      </c>
      <c r="J68" s="27">
        <f t="shared" si="20"/>
        <v>70.349021642582912</v>
      </c>
      <c r="K68" s="27">
        <f t="shared" si="32"/>
        <v>229.21827792558179</v>
      </c>
      <c r="L68" s="27">
        <f t="shared" si="21"/>
        <v>3.0627467972069828</v>
      </c>
      <c r="M68" s="27">
        <f t="shared" si="33"/>
        <v>9.9793505323310114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>
        <f>SUM($B$24:B68)</f>
        <v>3665.479166666667</v>
      </c>
      <c r="Y68" s="1">
        <f t="shared" si="22"/>
        <v>260</v>
      </c>
      <c r="Z68" s="1">
        <f t="shared" si="23"/>
        <v>0.21057316814851026</v>
      </c>
      <c r="AA68" s="1">
        <f t="shared" si="24"/>
        <v>172.83227734074816</v>
      </c>
      <c r="AB68" s="1">
        <f t="shared" si="25"/>
        <v>1350741.981426582</v>
      </c>
      <c r="AC68" s="1">
        <f t="shared" si="26"/>
        <v>997.60101347324439</v>
      </c>
      <c r="AD68" s="1">
        <f t="shared" si="27"/>
        <v>11735.648504875126</v>
      </c>
      <c r="AE68" s="1">
        <f t="shared" si="28"/>
        <v>511.23478422383903</v>
      </c>
    </row>
    <row r="69" spans="1:31" ht="22.05" customHeight="1">
      <c r="A69" s="19">
        <f>'03 Recorded O'!A56</f>
        <v>0.77083333333333337</v>
      </c>
      <c r="B69" s="16">
        <f>'03 Recorded O'!B56</f>
        <v>87.562500000000014</v>
      </c>
      <c r="C69" s="16">
        <f t="shared" si="17"/>
        <v>2.0342238863220432</v>
      </c>
      <c r="D69" s="16">
        <f>B69*'01 Traffic inputs'!$B$8/E69</f>
        <v>30.675089610132776</v>
      </c>
      <c r="E69" s="27">
        <f t="shared" si="29"/>
        <v>2.9686954841012323</v>
      </c>
      <c r="F69" s="27">
        <f t="shared" si="18"/>
        <v>7854.4376436941611</v>
      </c>
      <c r="G69" s="27">
        <f t="shared" si="30"/>
        <v>23317.43356298958</v>
      </c>
      <c r="H69" s="27">
        <f t="shared" si="19"/>
        <v>6.072806668633552</v>
      </c>
      <c r="I69" s="27">
        <f t="shared" si="31"/>
        <v>18.028313732992274</v>
      </c>
      <c r="J69" s="27">
        <f t="shared" si="20"/>
        <v>70.349021642581789</v>
      </c>
      <c r="K69" s="27">
        <f t="shared" si="32"/>
        <v>208.84482286127241</v>
      </c>
      <c r="L69" s="27">
        <f t="shared" si="21"/>
        <v>3.0627467972069988</v>
      </c>
      <c r="M69" s="27">
        <f t="shared" si="33"/>
        <v>9.0923625858139303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>
        <f>SUM($B$24:B69)</f>
        <v>3753.041666666667</v>
      </c>
      <c r="Y69" s="1">
        <f t="shared" si="22"/>
        <v>265</v>
      </c>
      <c r="Z69" s="1">
        <f t="shared" si="23"/>
        <v>0.76224628328548683</v>
      </c>
      <c r="AA69" s="1">
        <f t="shared" si="24"/>
        <v>175.8009728248494</v>
      </c>
      <c r="AB69" s="1">
        <f t="shared" si="25"/>
        <v>1374059.4149895716</v>
      </c>
      <c r="AC69" s="1">
        <f t="shared" si="26"/>
        <v>1015.6293272062367</v>
      </c>
      <c r="AD69" s="1">
        <f t="shared" si="27"/>
        <v>11944.493327736398</v>
      </c>
      <c r="AE69" s="1">
        <f t="shared" si="28"/>
        <v>520.32714680965296</v>
      </c>
    </row>
    <row r="70" spans="1:31" ht="22.05" customHeight="1">
      <c r="A70" s="19">
        <f>'03 Recorded O'!A57</f>
        <v>0.77430555555555536</v>
      </c>
      <c r="B70" s="16">
        <f>'03 Recorded O'!B57</f>
        <v>89.416666666666657</v>
      </c>
      <c r="C70" s="16">
        <f t="shared" si="17"/>
        <v>1.8301845551459661</v>
      </c>
      <c r="D70" s="16">
        <f>B70*'01 Traffic inputs'!$B$8/E70</f>
        <v>34.094922189431614</v>
      </c>
      <c r="E70" s="27">
        <f t="shared" si="29"/>
        <v>2.7274833717661409</v>
      </c>
      <c r="F70" s="27">
        <f t="shared" si="18"/>
        <v>8976.073664498952</v>
      </c>
      <c r="G70" s="27">
        <f t="shared" si="30"/>
        <v>24482.091663668863</v>
      </c>
      <c r="H70" s="27">
        <f t="shared" si="19"/>
        <v>7.9785958395757373</v>
      </c>
      <c r="I70" s="27">
        <f t="shared" si="31"/>
        <v>21.761487482485336</v>
      </c>
      <c r="J70" s="27">
        <f t="shared" si="20"/>
        <v>83.151011360083942</v>
      </c>
      <c r="K70" s="27">
        <f t="shared" si="32"/>
        <v>226.79300083016642</v>
      </c>
      <c r="L70" s="27">
        <f t="shared" si="21"/>
        <v>3.3925631259727038</v>
      </c>
      <c r="M70" s="27">
        <f t="shared" si="33"/>
        <v>9.2531595137575096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>
        <f>SUM($B$24:B70)</f>
        <v>3842.4583333333335</v>
      </c>
      <c r="Y70" s="1">
        <f t="shared" si="22"/>
        <v>271</v>
      </c>
      <c r="Z70" s="1">
        <f t="shared" si="23"/>
        <v>0.59324561286018729</v>
      </c>
      <c r="AA70" s="1">
        <f t="shared" si="24"/>
        <v>178.52845619661554</v>
      </c>
      <c r="AB70" s="1">
        <f t="shared" si="25"/>
        <v>1398541.5066532404</v>
      </c>
      <c r="AC70" s="1">
        <f t="shared" si="26"/>
        <v>1037.390814688722</v>
      </c>
      <c r="AD70" s="1">
        <f t="shared" si="27"/>
        <v>12171.286328566564</v>
      </c>
      <c r="AE70" s="1">
        <f t="shared" si="28"/>
        <v>529.58030632341047</v>
      </c>
    </row>
    <row r="71" spans="1:31" ht="22.05" customHeight="1">
      <c r="A71" s="19">
        <f>'03 Recorded O'!A58</f>
        <v>0.77777777777777779</v>
      </c>
      <c r="B71" s="16">
        <f>'03 Recorded O'!B58</f>
        <v>90.041666666666657</v>
      </c>
      <c r="C71" s="16">
        <f t="shared" si="17"/>
        <v>1.6430463889361702</v>
      </c>
      <c r="D71" s="16">
        <f>B71*'01 Traffic inputs'!$B$8/E71</f>
        <v>37.978233858876983</v>
      </c>
      <c r="E71" s="27">
        <f t="shared" si="29"/>
        <v>2.4657105878410164</v>
      </c>
      <c r="F71" s="27">
        <f t="shared" si="18"/>
        <v>9725.5949630614123</v>
      </c>
      <c r="G71" s="27">
        <f t="shared" si="30"/>
        <v>23980.502473473782</v>
      </c>
      <c r="H71" s="27">
        <f t="shared" si="19"/>
        <v>9.2521191106683247</v>
      </c>
      <c r="I71" s="27">
        <f t="shared" si="31"/>
        <v>22.813048051141095</v>
      </c>
      <c r="J71" s="27">
        <f t="shared" si="20"/>
        <v>91.705804340394565</v>
      </c>
      <c r="K71" s="27">
        <f t="shared" si="32"/>
        <v>226.11997272858753</v>
      </c>
      <c r="L71" s="27">
        <f t="shared" si="21"/>
        <v>3.6129593672116695</v>
      </c>
      <c r="M71" s="27">
        <f t="shared" si="33"/>
        <v>8.9085121651731924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>
        <f>SUM($B$24:B71)</f>
        <v>3932.5</v>
      </c>
      <c r="Y71" s="1">
        <f t="shared" si="22"/>
        <v>277</v>
      </c>
      <c r="Z71" s="1">
        <f t="shared" si="23"/>
        <v>0.65767694695495849</v>
      </c>
      <c r="AA71" s="1">
        <f t="shared" si="24"/>
        <v>180.99416678445655</v>
      </c>
      <c r="AB71" s="1">
        <f t="shared" si="25"/>
        <v>1422522.0091267142</v>
      </c>
      <c r="AC71" s="1">
        <f t="shared" si="26"/>
        <v>1060.2038627398631</v>
      </c>
      <c r="AD71" s="1">
        <f t="shared" si="27"/>
        <v>12397.406301295152</v>
      </c>
      <c r="AE71" s="1">
        <f t="shared" si="28"/>
        <v>538.48881848858366</v>
      </c>
    </row>
    <row r="72" spans="1:31" ht="22.05" customHeight="1">
      <c r="A72" s="19">
        <f>'03 Recorded O'!A59</f>
        <v>0.78125</v>
      </c>
      <c r="B72" s="16">
        <f>'03 Recorded O'!B59</f>
        <v>91.604166666666643</v>
      </c>
      <c r="C72" s="16">
        <f t="shared" si="17"/>
        <v>1.4765374245098006</v>
      </c>
      <c r="D72" s="16">
        <f>B72*'01 Traffic inputs'!$B$8/E72</f>
        <v>42.26103515169455</v>
      </c>
      <c r="E72" s="27">
        <f t="shared" si="29"/>
        <v>2.2542830054061085</v>
      </c>
      <c r="F72" s="27">
        <f t="shared" si="18"/>
        <v>9725.5949630612959</v>
      </c>
      <c r="G72" s="27">
        <f t="shared" si="30"/>
        <v>21924.243442692328</v>
      </c>
      <c r="H72" s="27">
        <f t="shared" si="19"/>
        <v>9.2521191106682128</v>
      </c>
      <c r="I72" s="27">
        <f t="shared" si="31"/>
        <v>20.856894875172429</v>
      </c>
      <c r="J72" s="27">
        <f t="shared" si="20"/>
        <v>91.705804340392476</v>
      </c>
      <c r="K72" s="27">
        <f t="shared" si="32"/>
        <v>206.73083622164449</v>
      </c>
      <c r="L72" s="27">
        <f t="shared" si="21"/>
        <v>3.6129593672114719</v>
      </c>
      <c r="M72" s="27">
        <f t="shared" si="33"/>
        <v>8.144632900727629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>
        <f>SUM($B$24:B72)</f>
        <v>4024.1041666666665</v>
      </c>
      <c r="Y72" s="1">
        <f t="shared" si="22"/>
        <v>284</v>
      </c>
      <c r="Z72" s="1">
        <f t="shared" si="23"/>
        <v>6.3623566763028216E-2</v>
      </c>
      <c r="AA72" s="1">
        <f t="shared" si="24"/>
        <v>183.24844978986266</v>
      </c>
      <c r="AB72" s="1">
        <f t="shared" si="25"/>
        <v>1444446.2525694065</v>
      </c>
      <c r="AC72" s="1">
        <f t="shared" si="26"/>
        <v>1081.0607576150355</v>
      </c>
      <c r="AD72" s="1">
        <f t="shared" si="27"/>
        <v>12604.137137516796</v>
      </c>
      <c r="AE72" s="1">
        <f t="shared" si="28"/>
        <v>546.63345138931129</v>
      </c>
    </row>
    <row r="73" spans="1:31" ht="22.05" customHeight="1">
      <c r="A73" s="19">
        <f>'03 Recorded O'!A60</f>
        <v>0.78472222222222199</v>
      </c>
      <c r="B73" s="16">
        <f>'03 Recorded O'!B60</f>
        <v>95.875000000000057</v>
      </c>
      <c r="C73" s="16">
        <f t="shared" si="17"/>
        <v>1.3303290905290228</v>
      </c>
      <c r="D73" s="16">
        <f>B73*'01 Traffic inputs'!$B$8/E73</f>
        <v>46.905687054612216</v>
      </c>
      <c r="E73" s="27">
        <f t="shared" si="29"/>
        <v>2.1257550259078357</v>
      </c>
      <c r="F73" s="27">
        <f t="shared" si="18"/>
        <v>10907.444189108674</v>
      </c>
      <c r="G73" s="27">
        <f t="shared" si="30"/>
        <v>23186.554304806981</v>
      </c>
      <c r="H73" s="27">
        <f t="shared" si="19"/>
        <v>12.031293276023872</v>
      </c>
      <c r="I73" s="27">
        <f t="shared" si="31"/>
        <v>25.575582149678894</v>
      </c>
      <c r="J73" s="27">
        <f t="shared" si="20"/>
        <v>110.33292226033582</v>
      </c>
      <c r="K73" s="27">
        <f t="shared" si="32"/>
        <v>234.54076401800739</v>
      </c>
      <c r="L73" s="27">
        <f t="shared" si="21"/>
        <v>4.1299720027509457</v>
      </c>
      <c r="M73" s="27">
        <f t="shared" si="33"/>
        <v>8.7793087417064726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>
        <f>SUM($B$24:B73)</f>
        <v>4119.979166666667</v>
      </c>
      <c r="Y73" s="1">
        <f t="shared" si="22"/>
        <v>291</v>
      </c>
      <c r="Z73" s="1">
        <f t="shared" si="23"/>
        <v>8.150410545235276E-2</v>
      </c>
      <c r="AA73" s="1">
        <f t="shared" si="24"/>
        <v>185.3742048157705</v>
      </c>
      <c r="AB73" s="1">
        <f t="shared" si="25"/>
        <v>1467632.8068742135</v>
      </c>
      <c r="AC73" s="1">
        <f t="shared" si="26"/>
        <v>1106.6363397647144</v>
      </c>
      <c r="AD73" s="1">
        <f t="shared" si="27"/>
        <v>12838.677901534804</v>
      </c>
      <c r="AE73" s="1">
        <f t="shared" si="28"/>
        <v>555.41276013101776</v>
      </c>
    </row>
    <row r="74" spans="1:31" ht="22.05" customHeight="1">
      <c r="A74" s="19">
        <f>'03 Recorded O'!A61</f>
        <v>0.78819444444444453</v>
      </c>
      <c r="B74" s="16">
        <f>'03 Recorded O'!B61</f>
        <v>97.666666666666544</v>
      </c>
      <c r="C74" s="16">
        <f t="shared" si="17"/>
        <v>1.2084834234533186</v>
      </c>
      <c r="D74" s="16">
        <f>B74*'01 Traffic inputs'!$B$8/E74</f>
        <v>51.634965601505101</v>
      </c>
      <c r="E74" s="27">
        <f t="shared" si="29"/>
        <v>1.9671424615101216</v>
      </c>
      <c r="F74" s="27">
        <f t="shared" si="18"/>
        <v>15415.754727367797</v>
      </c>
      <c r="G74" s="27">
        <f t="shared" si="30"/>
        <v>30324.985700430581</v>
      </c>
      <c r="H74" s="27">
        <f t="shared" si="19"/>
        <v>20.233289371893221</v>
      </c>
      <c r="I74" s="27">
        <f t="shared" si="31"/>
        <v>39.801762659472615</v>
      </c>
      <c r="J74" s="27">
        <f t="shared" si="20"/>
        <v>103.50969794999466</v>
      </c>
      <c r="K74" s="27">
        <f t="shared" si="32"/>
        <v>203.6183220155217</v>
      </c>
      <c r="L74" s="27">
        <f t="shared" si="21"/>
        <v>4.5444100235049261</v>
      </c>
      <c r="M74" s="27">
        <f t="shared" si="33"/>
        <v>8.93950191974875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>
        <f>SUM($B$24:B74)</f>
        <v>4217.6458333333339</v>
      </c>
      <c r="Y74" s="1">
        <f t="shared" si="22"/>
        <v>298</v>
      </c>
      <c r="Z74" s="1">
        <f t="shared" si="23"/>
        <v>0.64582286756378293</v>
      </c>
      <c r="AA74" s="1">
        <f t="shared" si="24"/>
        <v>187.34134727728062</v>
      </c>
      <c r="AB74" s="1">
        <f t="shared" si="25"/>
        <v>1497957.7925746441</v>
      </c>
      <c r="AC74" s="1">
        <f t="shared" si="26"/>
        <v>1146.438102424187</v>
      </c>
      <c r="AD74" s="1">
        <f t="shared" si="27"/>
        <v>13042.296223550326</v>
      </c>
      <c r="AE74" s="1">
        <f t="shared" si="28"/>
        <v>564.35226205076651</v>
      </c>
    </row>
    <row r="75" spans="1:31" ht="22.05" customHeight="1">
      <c r="A75" s="19">
        <f>'03 Recorded O'!A62</f>
        <v>0.79166666666666663</v>
      </c>
      <c r="B75" s="16">
        <f>'03 Recorded O'!B62</f>
        <v>98.479166666666657</v>
      </c>
      <c r="C75" s="16">
        <f t="shared" si="17"/>
        <v>1.1147331833595109</v>
      </c>
      <c r="D75" s="16">
        <f>B75*'01 Traffic inputs'!$B$8/E75</f>
        <v>55.977520837716646</v>
      </c>
      <c r="E75" s="27">
        <f t="shared" si="29"/>
        <v>1.8296332492154193</v>
      </c>
      <c r="F75" s="27">
        <f t="shared" si="18"/>
        <v>15845.52799594675</v>
      </c>
      <c r="G75" s="27">
        <f t="shared" si="30"/>
        <v>28991.504872757941</v>
      </c>
      <c r="H75" s="27">
        <f t="shared" si="19"/>
        <v>20.885654518874198</v>
      </c>
      <c r="I75" s="27">
        <f t="shared" si="31"/>
        <v>38.213087939358502</v>
      </c>
      <c r="J75" s="27">
        <f t="shared" si="20"/>
        <v>98.655405882153602</v>
      </c>
      <c r="K75" s="27">
        <f t="shared" si="32"/>
        <v>180.50321081683069</v>
      </c>
      <c r="L75" s="27">
        <f t="shared" si="21"/>
        <v>4.4998305826135692</v>
      </c>
      <c r="M75" s="27">
        <f t="shared" si="33"/>
        <v>8.2330396497861784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>
        <f>SUM($B$24:B75)</f>
        <v>4316.1250000000009</v>
      </c>
      <c r="Y75" s="1">
        <f t="shared" si="22"/>
        <v>306</v>
      </c>
      <c r="Z75" s="1">
        <f t="shared" si="23"/>
        <v>0.82733751033141345</v>
      </c>
      <c r="AA75" s="1">
        <f t="shared" si="24"/>
        <v>189.17098052649604</v>
      </c>
      <c r="AB75" s="1">
        <f t="shared" si="25"/>
        <v>1526949.297447402</v>
      </c>
      <c r="AC75" s="1">
        <f t="shared" si="26"/>
        <v>1184.6511903635455</v>
      </c>
      <c r="AD75" s="1">
        <f t="shared" si="27"/>
        <v>13222.799434367156</v>
      </c>
      <c r="AE75" s="1">
        <f t="shared" si="28"/>
        <v>572.58530170055269</v>
      </c>
    </row>
    <row r="76" spans="1:31" ht="22.05" customHeight="1">
      <c r="A76" s="19">
        <f>'03 Recorded O'!A63</f>
        <v>0.79513888888888873</v>
      </c>
      <c r="B76" s="16">
        <f>'03 Recorded O'!B63</f>
        <v>96.854166666666643</v>
      </c>
      <c r="C76" s="16">
        <f t="shared" si="17"/>
        <v>1.04852707957022</v>
      </c>
      <c r="D76" s="16">
        <f>B76*'01 Traffic inputs'!$B$8/E76</f>
        <v>59.512053828479388</v>
      </c>
      <c r="E76" s="27">
        <f t="shared" si="29"/>
        <v>1.6925702753201222</v>
      </c>
      <c r="F76" s="27">
        <f t="shared" si="18"/>
        <v>15845.527995946599</v>
      </c>
      <c r="G76" s="27">
        <f t="shared" si="30"/>
        <v>26819.669682692038</v>
      </c>
      <c r="H76" s="27">
        <f t="shared" si="19"/>
        <v>20.885654518874222</v>
      </c>
      <c r="I76" s="27">
        <f t="shared" si="31"/>
        <v>35.350438019251897</v>
      </c>
      <c r="J76" s="27">
        <f t="shared" si="20"/>
        <v>98.655405882152678</v>
      </c>
      <c r="K76" s="27">
        <f t="shared" si="32"/>
        <v>166.98120749577356</v>
      </c>
      <c r="L76" s="27">
        <f t="shared" si="21"/>
        <v>4.4998305826136322</v>
      </c>
      <c r="M76" s="27">
        <f t="shared" si="33"/>
        <v>7.6162794881082618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>
        <f>SUM($B$24:B76)</f>
        <v>4412.9791666666679</v>
      </c>
      <c r="Y76" s="1">
        <f t="shared" si="22"/>
        <v>315</v>
      </c>
      <c r="Z76" s="1">
        <f t="shared" si="23"/>
        <v>0.62077018245045512</v>
      </c>
      <c r="AA76" s="1">
        <f t="shared" si="24"/>
        <v>190.86355080181616</v>
      </c>
      <c r="AB76" s="1">
        <f t="shared" si="25"/>
        <v>1553768.9671300941</v>
      </c>
      <c r="AC76" s="1">
        <f t="shared" si="26"/>
        <v>1220.0016283827974</v>
      </c>
      <c r="AD76" s="1">
        <f t="shared" si="27"/>
        <v>13389.78064186293</v>
      </c>
      <c r="AE76" s="1">
        <f t="shared" si="28"/>
        <v>580.20158118866095</v>
      </c>
    </row>
    <row r="77" spans="1:31" ht="22.05" customHeight="1">
      <c r="A77" s="19">
        <f>'03 Recorded O'!A64</f>
        <v>0.79861111111111116</v>
      </c>
      <c r="B77" s="16">
        <f>'03 Recorded O'!B64</f>
        <v>98.4375</v>
      </c>
      <c r="C77" s="16">
        <f t="shared" si="17"/>
        <v>1.0065513141622171</v>
      </c>
      <c r="D77" s="16">
        <f>B77*'01 Traffic inputs'!$B$8/E77</f>
        <v>61.993858755168006</v>
      </c>
      <c r="E77" s="27">
        <f t="shared" si="29"/>
        <v>1.6513732497973876</v>
      </c>
      <c r="F77" s="27">
        <f t="shared" si="18"/>
        <v>15845.52799594667</v>
      </c>
      <c r="G77" s="27">
        <f t="shared" si="30"/>
        <v>26166.88106142194</v>
      </c>
      <c r="H77" s="27">
        <f t="shared" si="19"/>
        <v>20.885654518873995</v>
      </c>
      <c r="I77" s="27">
        <f t="shared" si="31"/>
        <v>34.490011176978442</v>
      </c>
      <c r="J77" s="27">
        <f t="shared" si="20"/>
        <v>98.655405882153701</v>
      </c>
      <c r="K77" s="27">
        <f t="shared" si="32"/>
        <v>162.91689822169246</v>
      </c>
      <c r="L77" s="27">
        <f t="shared" si="21"/>
        <v>4.4998305826135505</v>
      </c>
      <c r="M77" s="27">
        <f t="shared" si="33"/>
        <v>7.4308998527482117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f>SUM($B$24:B77)</f>
        <v>4511.4166666666679</v>
      </c>
      <c r="Y77" s="1">
        <f t="shared" si="22"/>
        <v>325</v>
      </c>
      <c r="Z77" s="1">
        <f t="shared" si="23"/>
        <v>0.67014216554137551</v>
      </c>
      <c r="AA77" s="1">
        <f t="shared" si="24"/>
        <v>192.51492405161355</v>
      </c>
      <c r="AB77" s="1">
        <f t="shared" si="25"/>
        <v>1579935.848191516</v>
      </c>
      <c r="AC77" s="1">
        <f t="shared" si="26"/>
        <v>1254.4916395597759</v>
      </c>
      <c r="AD77" s="1">
        <f t="shared" si="27"/>
        <v>13552.697540084622</v>
      </c>
      <c r="AE77" s="1">
        <f t="shared" si="28"/>
        <v>587.63248104140916</v>
      </c>
    </row>
    <row r="78" spans="1:31" ht="22.05" customHeight="1">
      <c r="A78" s="19">
        <f>'03 Recorded O'!A65</f>
        <v>0.80208333333333337</v>
      </c>
      <c r="B78" s="16">
        <f>'03 Recorded O'!B65</f>
        <v>96.520833333333314</v>
      </c>
      <c r="C78" s="16">
        <f t="shared" si="17"/>
        <v>0.98380653955703901</v>
      </c>
      <c r="D78" s="16">
        <f>B78*'01 Traffic inputs'!$B$8/E78</f>
        <v>63.427104304568822</v>
      </c>
      <c r="E78" s="27">
        <f t="shared" si="29"/>
        <v>1.5826304506138058</v>
      </c>
      <c r="F78" s="27">
        <f t="shared" si="18"/>
        <v>15845.527995946404</v>
      </c>
      <c r="G78" s="27">
        <f t="shared" si="30"/>
        <v>25077.615112438332</v>
      </c>
      <c r="H78" s="27">
        <f t="shared" si="19"/>
        <v>20.885654518874144</v>
      </c>
      <c r="I78" s="27">
        <f t="shared" si="31"/>
        <v>33.054272822570056</v>
      </c>
      <c r="J78" s="27">
        <f t="shared" si="20"/>
        <v>98.655405882149978</v>
      </c>
      <c r="K78" s="27">
        <f t="shared" si="32"/>
        <v>156.13504946675494</v>
      </c>
      <c r="L78" s="27">
        <f t="shared" si="21"/>
        <v>4.4998305826135594</v>
      </c>
      <c r="M78" s="27">
        <f t="shared" si="33"/>
        <v>7.121568902647482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f>SUM($B$24:B78)</f>
        <v>4607.9375000000009</v>
      </c>
      <c r="Y78" s="1">
        <f t="shared" si="22"/>
        <v>337</v>
      </c>
      <c r="Z78" s="1">
        <f t="shared" si="23"/>
        <v>0.3064693484318407</v>
      </c>
      <c r="AA78" s="1">
        <f t="shared" si="24"/>
        <v>194.09755450222735</v>
      </c>
      <c r="AB78" s="1">
        <f t="shared" si="25"/>
        <v>1605013.4633039543</v>
      </c>
      <c r="AC78" s="1">
        <f t="shared" si="26"/>
        <v>1287.5459123823459</v>
      </c>
      <c r="AD78" s="1">
        <f t="shared" si="27"/>
        <v>13708.832589551377</v>
      </c>
      <c r="AE78" s="1">
        <f t="shared" si="28"/>
        <v>594.75404994405665</v>
      </c>
    </row>
    <row r="79" spans="1:31" ht="22.05" customHeight="1">
      <c r="A79" s="19">
        <f>'03 Recorded O'!A66</f>
        <v>0.80555555555555536</v>
      </c>
      <c r="B79" s="16">
        <f>'03 Recorded O'!B66</f>
        <v>93.687500000000043</v>
      </c>
      <c r="C79" s="16">
        <f t="shared" si="17"/>
        <v>0.97469462474907043</v>
      </c>
      <c r="D79" s="16">
        <f>B79*'01 Traffic inputs'!$B$8/E79</f>
        <v>64.020051424891932</v>
      </c>
      <c r="E79" s="27">
        <f t="shared" si="29"/>
        <v>1.5219450442696427</v>
      </c>
      <c r="F79" s="27">
        <f t="shared" si="18"/>
        <v>15845.527995946131</v>
      </c>
      <c r="G79" s="27">
        <f t="shared" si="30"/>
        <v>24116.022807266098</v>
      </c>
      <c r="H79" s="27">
        <f t="shared" si="19"/>
        <v>20.885654518873515</v>
      </c>
      <c r="I79" s="27">
        <f t="shared" si="31"/>
        <v>31.786818391327415</v>
      </c>
      <c r="J79" s="27">
        <f t="shared" si="20"/>
        <v>98.655405882148173</v>
      </c>
      <c r="K79" s="27">
        <f t="shared" si="32"/>
        <v>150.14810607274558</v>
      </c>
      <c r="L79" s="27">
        <f t="shared" si="21"/>
        <v>4.499830582613507</v>
      </c>
      <c r="M79" s="27">
        <f t="shared" si="33"/>
        <v>6.8484948552616061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>
        <f>SUM($B$24:B79)</f>
        <v>4701.6250000000009</v>
      </c>
      <c r="Y79" s="1">
        <f t="shared" si="22"/>
        <v>352</v>
      </c>
      <c r="Z79" s="1">
        <f t="shared" si="23"/>
        <v>3.6511662696445471E-2</v>
      </c>
      <c r="AA79" s="1">
        <f t="shared" si="24"/>
        <v>195.619499546497</v>
      </c>
      <c r="AB79" s="1">
        <f t="shared" si="25"/>
        <v>1629129.4861112204</v>
      </c>
      <c r="AC79" s="1">
        <f t="shared" si="26"/>
        <v>1319.3327307736733</v>
      </c>
      <c r="AD79" s="1">
        <f t="shared" si="27"/>
        <v>13858.980695624123</v>
      </c>
      <c r="AE79" s="1">
        <f t="shared" si="28"/>
        <v>601.60254479931825</v>
      </c>
    </row>
    <row r="80" spans="1:31" ht="22.05" customHeight="1">
      <c r="A80" s="20">
        <f>'03 Recorded O'!A67</f>
        <v>0.80902777777777779</v>
      </c>
      <c r="B80" s="17">
        <f>'03 Recorded O'!B67</f>
        <v>87.625000000000043</v>
      </c>
      <c r="C80" s="17">
        <f t="shared" si="17"/>
        <v>0.9726510202149582</v>
      </c>
      <c r="D80" s="17">
        <f>B80*'01 Traffic inputs'!$B$8/E80</f>
        <v>64.154561814175324</v>
      </c>
      <c r="E80" s="28">
        <f t="shared" si="29"/>
        <v>1.4204757607722627</v>
      </c>
      <c r="F80" s="28">
        <f t="shared" si="18"/>
        <v>20071.079711529721</v>
      </c>
      <c r="G80" s="28">
        <f t="shared" si="30"/>
        <v>28510.482222755905</v>
      </c>
      <c r="H80" s="28">
        <f t="shared" si="19"/>
        <v>29.264565769126126</v>
      </c>
      <c r="I80" s="28">
        <f t="shared" si="31"/>
        <v>41.569606324569349</v>
      </c>
      <c r="J80" s="28">
        <f t="shared" si="20"/>
        <v>130.97293688451947</v>
      </c>
      <c r="K80" s="28">
        <f t="shared" si="32"/>
        <v>186.04388216161533</v>
      </c>
      <c r="L80" s="28">
        <f t="shared" si="21"/>
        <v>5.3594492291593241</v>
      </c>
      <c r="M80" s="28">
        <f t="shared" si="33"/>
        <v>7.6129677211104081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>
        <f>SUM($B$24:B80)</f>
        <v>4789.2500000000009</v>
      </c>
      <c r="Y80" s="1">
        <f t="shared" si="22"/>
        <v>384</v>
      </c>
      <c r="Z80" s="1">
        <f t="shared" si="23"/>
        <v>1</v>
      </c>
      <c r="AA80" s="1">
        <f t="shared" si="24"/>
        <v>197.03997530726926</v>
      </c>
      <c r="AB80" s="1">
        <f t="shared" si="25"/>
        <v>1657639.9683339763</v>
      </c>
      <c r="AC80" s="1">
        <f t="shared" si="26"/>
        <v>1360.9023370982427</v>
      </c>
      <c r="AD80" s="1">
        <f t="shared" si="27"/>
        <v>14045.024577785738</v>
      </c>
      <c r="AE80" s="1">
        <f t="shared" si="28"/>
        <v>609.21551252042866</v>
      </c>
    </row>
    <row r="81" spans="1:31" ht="22.05" customHeight="1">
      <c r="A81" s="1"/>
      <c r="B81" s="1"/>
      <c r="C81" s="1"/>
      <c r="D81" s="1"/>
      <c r="E81" s="29"/>
      <c r="F81" s="29"/>
      <c r="G81" s="29"/>
      <c r="H81" s="29"/>
      <c r="I81" s="29"/>
      <c r="J81" s="29"/>
      <c r="K81" s="29"/>
      <c r="L81" s="29"/>
      <c r="M81" s="29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8.95" customHeight="1">
      <c r="A82" s="21" t="s">
        <v>78</v>
      </c>
      <c r="B82" s="21">
        <f>SUM(B24:B80)</f>
        <v>4789.2500000000009</v>
      </c>
      <c r="C82" s="21">
        <f>E82/B82*60</f>
        <v>2.4685281658790319</v>
      </c>
      <c r="D82" s="21">
        <f>B82*'01 Traffic inputs'!$B$8/E82</f>
        <v>25.278220788613471</v>
      </c>
      <c r="E82" s="30">
        <f>SUM(E24:E80)</f>
        <v>197.03997530726926</v>
      </c>
      <c r="F82" s="30">
        <f>G82/E82</f>
        <v>8412.7089731360829</v>
      </c>
      <c r="G82" s="30">
        <f>SUM(G24:G80)</f>
        <v>1657639.9683339763</v>
      </c>
      <c r="H82" s="30">
        <f>I82/E82</f>
        <v>6.9067321744027641</v>
      </c>
      <c r="I82" s="30">
        <f>SUM(I24:I80)</f>
        <v>1360.9023370982427</v>
      </c>
      <c r="J82" s="30">
        <f>K82/E82</f>
        <v>71.280076826459009</v>
      </c>
      <c r="K82" s="30">
        <f>SUM(K24:K80)</f>
        <v>14045.024577785738</v>
      </c>
      <c r="L82" s="30">
        <f>M82/E82</f>
        <v>3.0918371339135735</v>
      </c>
      <c r="M82" s="30">
        <f>SUM(M24:M80)</f>
        <v>609.21551252042866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2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2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2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2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2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2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40.049999999999997" customHeight="1">
      <c r="A89" s="4" t="s">
        <v>107</v>
      </c>
      <c r="B89" s="4" t="s">
        <v>108</v>
      </c>
      <c r="C89" s="4" t="s">
        <v>109</v>
      </c>
      <c r="D89" s="4" t="s">
        <v>110</v>
      </c>
      <c r="E89" s="4" t="s">
        <v>111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2.05" customHeight="1">
      <c r="A90" s="1">
        <f>1</f>
        <v>1</v>
      </c>
      <c r="B90" s="1">
        <f>1</f>
        <v>1</v>
      </c>
      <c r="C90" s="1">
        <f>10000</f>
        <v>10000</v>
      </c>
      <c r="D90" s="1">
        <f t="shared" ref="D90:D121" si="34">(B90+C90)/2</f>
        <v>5000.5</v>
      </c>
      <c r="E90" s="1">
        <f t="shared" ref="E90:E121" si="35">EXP(D90*LN(4)+2*GAMMALN(D90+1)-GAMMALN(2*D90+2))</f>
        <v>1.2531575016344356E-2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2.05" customHeight="1">
      <c r="A91" s="1">
        <f>2</f>
        <v>2</v>
      </c>
      <c r="B91" s="1">
        <f>IF(E90&gt;'01 Traffic inputs'!$B$16,D90,B90)</f>
        <v>1</v>
      </c>
      <c r="C91" s="1">
        <f>IF(E90&gt;'01 Traffic inputs'!$B$16,C90,D90)</f>
        <v>5000.5</v>
      </c>
      <c r="D91" s="1">
        <f t="shared" si="34"/>
        <v>2500.75</v>
      </c>
      <c r="E91" s="1">
        <f t="shared" si="35"/>
        <v>1.771922349483495E-2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2.05" customHeight="1">
      <c r="A92" s="1">
        <f>3</f>
        <v>3</v>
      </c>
      <c r="B92" s="1">
        <f>IF(E91&gt;'01 Traffic inputs'!$B$16,D91,B91)</f>
        <v>1</v>
      </c>
      <c r="C92" s="1">
        <f>IF(E91&gt;'01 Traffic inputs'!$B$16,C91,D91)</f>
        <v>2500.75</v>
      </c>
      <c r="D92" s="1">
        <f t="shared" si="34"/>
        <v>1250.875</v>
      </c>
      <c r="E92" s="1">
        <f t="shared" si="35"/>
        <v>2.5050005281298516E-2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2.05" customHeight="1">
      <c r="A93" s="1">
        <f>4</f>
        <v>4</v>
      </c>
      <c r="B93" s="1">
        <f>IF(E92&gt;'01 Traffic inputs'!$B$16,D92,B92)</f>
        <v>1</v>
      </c>
      <c r="C93" s="1">
        <f>IF(E92&gt;'01 Traffic inputs'!$B$16,C92,D92)</f>
        <v>1250.875</v>
      </c>
      <c r="D93" s="1">
        <f t="shared" si="34"/>
        <v>625.9375</v>
      </c>
      <c r="E93" s="1">
        <f t="shared" si="35"/>
        <v>3.5401316047067685E-2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2.05" customHeight="1">
      <c r="A94" s="1">
        <f>5</f>
        <v>5</v>
      </c>
      <c r="B94" s="1">
        <f>IF(E93&gt;'01 Traffic inputs'!$B$16,D93,B93)</f>
        <v>1</v>
      </c>
      <c r="C94" s="1">
        <f>IF(E93&gt;'01 Traffic inputs'!$B$16,C93,D93)</f>
        <v>625.9375</v>
      </c>
      <c r="D94" s="1">
        <f t="shared" si="34"/>
        <v>313.46875</v>
      </c>
      <c r="E94" s="1">
        <f t="shared" si="35"/>
        <v>4.9995259122795906E-2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2.05" customHeight="1">
      <c r="A95" s="1">
        <f>6</f>
        <v>6</v>
      </c>
      <c r="B95" s="1">
        <f>IF(E94&gt;'01 Traffic inputs'!$B$16,D94,B94)</f>
        <v>1</v>
      </c>
      <c r="C95" s="1">
        <f>IF(E94&gt;'01 Traffic inputs'!$B$16,C94,D94)</f>
        <v>313.46875</v>
      </c>
      <c r="D95" s="1">
        <f t="shared" si="34"/>
        <v>157.234375</v>
      </c>
      <c r="E95" s="1">
        <f t="shared" si="35"/>
        <v>7.0507870893046221E-2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2.05" customHeight="1">
      <c r="A96" s="1">
        <f>7</f>
        <v>7</v>
      </c>
      <c r="B96" s="1">
        <f>IF(E95&gt;'01 Traffic inputs'!$B$16,D95,B95)</f>
        <v>1</v>
      </c>
      <c r="C96" s="1">
        <f>IF(E95&gt;'01 Traffic inputs'!$B$16,C95,D95)</f>
        <v>157.234375</v>
      </c>
      <c r="D96" s="1">
        <f t="shared" si="34"/>
        <v>79.1171875</v>
      </c>
      <c r="E96" s="1">
        <f t="shared" si="35"/>
        <v>9.9165288868229423E-2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2.05" customHeight="1">
      <c r="A97" s="1">
        <f>8</f>
        <v>8</v>
      </c>
      <c r="B97" s="1">
        <f>IF(E96&gt;'01 Traffic inputs'!$B$16,D96,B96)</f>
        <v>1</v>
      </c>
      <c r="C97" s="1">
        <f>IF(E96&gt;'01 Traffic inputs'!$B$16,C96,D96)</f>
        <v>79.1171875</v>
      </c>
      <c r="D97" s="1">
        <f t="shared" si="34"/>
        <v>40.05859375</v>
      </c>
      <c r="E97" s="1">
        <f t="shared" si="35"/>
        <v>0.13872829591973573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2.05" customHeight="1">
      <c r="A98" s="1">
        <f>9</f>
        <v>9</v>
      </c>
      <c r="B98" s="1">
        <f>IF(E97&gt;'01 Traffic inputs'!$B$16,D97,B97)</f>
        <v>1</v>
      </c>
      <c r="C98" s="1">
        <f>IF(E97&gt;'01 Traffic inputs'!$B$16,C97,D97)</f>
        <v>40.05859375</v>
      </c>
      <c r="D98" s="1">
        <f t="shared" si="34"/>
        <v>20.529296875</v>
      </c>
      <c r="E98" s="1">
        <f t="shared" si="35"/>
        <v>0.1921105975721282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22.05" customHeight="1">
      <c r="A99" s="1">
        <f>10</f>
        <v>10</v>
      </c>
      <c r="B99" s="1">
        <f>IF(E98&gt;'01 Traffic inputs'!$B$16,D98,B98)</f>
        <v>1</v>
      </c>
      <c r="C99" s="1">
        <f>IF(E98&gt;'01 Traffic inputs'!$B$16,C98,D98)</f>
        <v>20.529296875</v>
      </c>
      <c r="D99" s="1">
        <f t="shared" si="34"/>
        <v>10.7646484375</v>
      </c>
      <c r="E99" s="1">
        <f t="shared" si="35"/>
        <v>0.261137041220735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22.05" customHeight="1">
      <c r="A100" s="1">
        <f>11</f>
        <v>11</v>
      </c>
      <c r="B100" s="1">
        <f>IF(E99&gt;'01 Traffic inputs'!$B$16,D99,B99)</f>
        <v>1</v>
      </c>
      <c r="C100" s="1">
        <f>IF(E99&gt;'01 Traffic inputs'!$B$16,C99,D99)</f>
        <v>10.7646484375</v>
      </c>
      <c r="D100" s="1">
        <f t="shared" si="34"/>
        <v>5.88232421875</v>
      </c>
      <c r="E100" s="1">
        <f t="shared" si="35"/>
        <v>0.3439999198219621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22.05" customHeight="1">
      <c r="A101" s="1">
        <f>12</f>
        <v>12</v>
      </c>
      <c r="B101" s="1">
        <f>IF(E100&gt;'01 Traffic inputs'!$B$16,D100,B100)</f>
        <v>1</v>
      </c>
      <c r="C101" s="1">
        <f>IF(E100&gt;'01 Traffic inputs'!$B$16,C100,D100)</f>
        <v>5.88232421875</v>
      </c>
      <c r="D101" s="1">
        <f t="shared" si="34"/>
        <v>3.441162109375</v>
      </c>
      <c r="E101" s="1">
        <f t="shared" si="35"/>
        <v>0.43250859649008816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22.05" customHeight="1">
      <c r="A102" s="1">
        <f>13</f>
        <v>13</v>
      </c>
      <c r="B102" s="1">
        <f>IF(E101&gt;'01 Traffic inputs'!$B$16,D101,B101)</f>
        <v>1</v>
      </c>
      <c r="C102" s="1">
        <f>IF(E101&gt;'01 Traffic inputs'!$B$16,C101,D101)</f>
        <v>3.441162109375</v>
      </c>
      <c r="D102" s="1">
        <f t="shared" si="34"/>
        <v>2.2205810546875</v>
      </c>
      <c r="E102" s="1">
        <f t="shared" si="35"/>
        <v>0.51329632758959198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22.05" customHeight="1">
      <c r="A103" s="1">
        <f>14</f>
        <v>14</v>
      </c>
      <c r="B103" s="1">
        <f>IF(E102&gt;'01 Traffic inputs'!$B$16,D102,B102)</f>
        <v>2.2205810546875</v>
      </c>
      <c r="C103" s="1">
        <f>IF(E102&gt;'01 Traffic inputs'!$B$16,C102,D102)</f>
        <v>3.441162109375</v>
      </c>
      <c r="D103" s="1">
        <f t="shared" si="34"/>
        <v>2.83087158203125</v>
      </c>
      <c r="E103" s="1">
        <f t="shared" si="35"/>
        <v>0.46776483576417294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22.05" customHeight="1">
      <c r="A104" s="1">
        <f>15</f>
        <v>15</v>
      </c>
      <c r="B104" s="1">
        <f>IF(E103&gt;'01 Traffic inputs'!$B$16,D103,B103)</f>
        <v>2.83087158203125</v>
      </c>
      <c r="C104" s="1">
        <f>IF(E103&gt;'01 Traffic inputs'!$B$16,C103,D103)</f>
        <v>3.441162109375</v>
      </c>
      <c r="D104" s="1">
        <f t="shared" si="34"/>
        <v>3.136016845703125</v>
      </c>
      <c r="E104" s="1">
        <f t="shared" si="35"/>
        <v>0.44910484831316189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22.05" customHeight="1">
      <c r="A105" s="1">
        <f>16</f>
        <v>16</v>
      </c>
      <c r="B105" s="1">
        <f>IF(E104&gt;'01 Traffic inputs'!$B$16,D104,B104)</f>
        <v>3.136016845703125</v>
      </c>
      <c r="C105" s="1">
        <f>IF(E104&gt;'01 Traffic inputs'!$B$16,C104,D104)</f>
        <v>3.441162109375</v>
      </c>
      <c r="D105" s="1">
        <f t="shared" si="34"/>
        <v>3.2885894775390625</v>
      </c>
      <c r="E105" s="1">
        <f t="shared" si="35"/>
        <v>0.44057302736823195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2.05" customHeight="1">
      <c r="A106" s="1">
        <f>17</f>
        <v>17</v>
      </c>
      <c r="B106" s="1">
        <f>IF(E105&gt;'01 Traffic inputs'!$B$16,D105,B105)</f>
        <v>3.2885894775390625</v>
      </c>
      <c r="C106" s="1">
        <f>IF(E105&gt;'01 Traffic inputs'!$B$16,C105,D105)</f>
        <v>3.441162109375</v>
      </c>
      <c r="D106" s="1">
        <f t="shared" si="34"/>
        <v>3.3648757934570313</v>
      </c>
      <c r="E106" s="1">
        <f t="shared" si="35"/>
        <v>0.43648507972648964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2.05" customHeight="1">
      <c r="A107" s="1">
        <f>18</f>
        <v>18</v>
      </c>
      <c r="B107" s="1">
        <f>IF(E106&gt;'01 Traffic inputs'!$B$16,D106,B106)</f>
        <v>3.3648757934570313</v>
      </c>
      <c r="C107" s="1">
        <f>IF(E106&gt;'01 Traffic inputs'!$B$16,C106,D106)</f>
        <v>3.441162109375</v>
      </c>
      <c r="D107" s="1">
        <f t="shared" si="34"/>
        <v>3.4030189514160156</v>
      </c>
      <c r="E107" s="1">
        <f t="shared" si="35"/>
        <v>0.43448322272994389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22.05" customHeight="1">
      <c r="A108" s="1">
        <f>19</f>
        <v>19</v>
      </c>
      <c r="B108" s="1">
        <f>IF(E107&gt;'01 Traffic inputs'!$B$16,D107,B107)</f>
        <v>3.3648757934570313</v>
      </c>
      <c r="C108" s="1">
        <f>IF(E107&gt;'01 Traffic inputs'!$B$16,C107,D107)</f>
        <v>3.4030189514160156</v>
      </c>
      <c r="D108" s="1">
        <f t="shared" si="34"/>
        <v>3.3839473724365234</v>
      </c>
      <c r="E108" s="1">
        <f t="shared" si="35"/>
        <v>0.43548070846791559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2.05" customHeight="1">
      <c r="A109" s="1">
        <f>20</f>
        <v>20</v>
      </c>
      <c r="B109" s="1">
        <f>IF(E108&gt;'01 Traffic inputs'!$B$16,D108,B108)</f>
        <v>3.3839473724365234</v>
      </c>
      <c r="C109" s="1">
        <f>IF(E108&gt;'01 Traffic inputs'!$B$16,C108,D108)</f>
        <v>3.4030189514160156</v>
      </c>
      <c r="D109" s="1">
        <f t="shared" si="34"/>
        <v>3.3934831619262695</v>
      </c>
      <c r="E109" s="1">
        <f t="shared" si="35"/>
        <v>0.43498110982178534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2.05" customHeight="1">
      <c r="A110" s="1">
        <f>21</f>
        <v>21</v>
      </c>
      <c r="B110" s="1">
        <f>IF(E109&gt;'01 Traffic inputs'!$B$16,D109,B109)</f>
        <v>3.3934831619262695</v>
      </c>
      <c r="C110" s="1">
        <f>IF(E109&gt;'01 Traffic inputs'!$B$16,C109,D109)</f>
        <v>3.4030189514160156</v>
      </c>
      <c r="D110" s="1">
        <f t="shared" si="34"/>
        <v>3.3982510566711426</v>
      </c>
      <c r="E110" s="1">
        <f t="shared" si="35"/>
        <v>0.43473195294141609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2.05" customHeight="1">
      <c r="A111" s="1">
        <f>22</f>
        <v>22</v>
      </c>
      <c r="B111" s="1">
        <f>IF(E110&gt;'01 Traffic inputs'!$B$16,D110,B110)</f>
        <v>3.3934831619262695</v>
      </c>
      <c r="C111" s="1">
        <f>IF(E110&gt;'01 Traffic inputs'!$B$16,C110,D110)</f>
        <v>3.3982510566711426</v>
      </c>
      <c r="D111" s="1">
        <f t="shared" si="34"/>
        <v>3.3958671092987061</v>
      </c>
      <c r="E111" s="1">
        <f t="shared" si="35"/>
        <v>0.43485647797194832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2.05" customHeight="1">
      <c r="A112" s="1">
        <f>23</f>
        <v>23</v>
      </c>
      <c r="B112" s="1">
        <f>IF(E111&gt;'01 Traffic inputs'!$B$16,D111,B111)</f>
        <v>3.3958671092987061</v>
      </c>
      <c r="C112" s="1">
        <f>IF(E111&gt;'01 Traffic inputs'!$B$16,C111,D111)</f>
        <v>3.3982510566711426</v>
      </c>
      <c r="D112" s="1">
        <f t="shared" si="34"/>
        <v>3.3970590829849243</v>
      </c>
      <c r="E112" s="1">
        <f t="shared" si="35"/>
        <v>0.43479420211378567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2.05" customHeight="1">
      <c r="A113" s="1">
        <f>24</f>
        <v>24</v>
      </c>
      <c r="B113" s="1">
        <f>IF(E112&gt;'01 Traffic inputs'!$B$16,D112,B112)</f>
        <v>3.3958671092987061</v>
      </c>
      <c r="C113" s="1">
        <f>IF(E112&gt;'01 Traffic inputs'!$B$16,C112,D112)</f>
        <v>3.3970590829849243</v>
      </c>
      <c r="D113" s="1">
        <f t="shared" si="34"/>
        <v>3.3964630961418152</v>
      </c>
      <c r="E113" s="1">
        <f t="shared" si="35"/>
        <v>0.43482533670595475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2.05" customHeight="1">
      <c r="A114" s="1">
        <f>25</f>
        <v>25</v>
      </c>
      <c r="B114" s="1">
        <f>IF(E113&gt;'01 Traffic inputs'!$B$16,D113,B113)</f>
        <v>3.3958671092987061</v>
      </c>
      <c r="C114" s="1">
        <f>IF(E113&gt;'01 Traffic inputs'!$B$16,C113,D113)</f>
        <v>3.3964630961418152</v>
      </c>
      <c r="D114" s="1">
        <f t="shared" si="34"/>
        <v>3.3961651027202606</v>
      </c>
      <c r="E114" s="1">
        <f t="shared" si="35"/>
        <v>0.4348409065045753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2.05" customHeight="1">
      <c r="A115" s="1">
        <f>26</f>
        <v>26</v>
      </c>
      <c r="B115" s="1">
        <f>IF(E114&gt;'01 Traffic inputs'!$B$16,D114,B114)</f>
        <v>3.3961651027202606</v>
      </c>
      <c r="C115" s="1">
        <f>IF(E114&gt;'01 Traffic inputs'!$B$16,C114,D114)</f>
        <v>3.3964630961418152</v>
      </c>
      <c r="D115" s="1">
        <f t="shared" si="34"/>
        <v>3.3963140994310379</v>
      </c>
      <c r="E115" s="1">
        <f t="shared" si="35"/>
        <v>0.43483312139668917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2.05" customHeight="1">
      <c r="A116" s="1">
        <f>27</f>
        <v>27</v>
      </c>
      <c r="B116" s="1">
        <f>IF(E115&gt;'01 Traffic inputs'!$B$16,D115,B115)</f>
        <v>3.3963140994310379</v>
      </c>
      <c r="C116" s="1">
        <f>IF(E115&gt;'01 Traffic inputs'!$B$16,C115,D115)</f>
        <v>3.3964630961418152</v>
      </c>
      <c r="D116" s="1">
        <f t="shared" si="34"/>
        <v>3.3963885977864265</v>
      </c>
      <c r="E116" s="1">
        <f t="shared" si="35"/>
        <v>0.43482922899917947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2.05" customHeight="1">
      <c r="A117" s="1">
        <f>28</f>
        <v>28</v>
      </c>
      <c r="B117" s="1">
        <f>IF(E116&gt;'01 Traffic inputs'!$B$16,D116,B116)</f>
        <v>3.3963140994310379</v>
      </c>
      <c r="C117" s="1">
        <f>IF(E116&gt;'01 Traffic inputs'!$B$16,C116,D116)</f>
        <v>3.3963885977864265</v>
      </c>
      <c r="D117" s="1">
        <f t="shared" si="34"/>
        <v>3.3963513486087322</v>
      </c>
      <c r="E117" s="1">
        <f t="shared" si="35"/>
        <v>0.4348311751849005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2.05" customHeight="1">
      <c r="A118" s="1">
        <f>29</f>
        <v>29</v>
      </c>
      <c r="B118" s="1">
        <f>IF(E117&gt;'01 Traffic inputs'!$B$16,D117,B117)</f>
        <v>3.3963513486087322</v>
      </c>
      <c r="C118" s="1">
        <f>IF(E117&gt;'01 Traffic inputs'!$B$16,C117,D117)</f>
        <v>3.3963885977864265</v>
      </c>
      <c r="D118" s="1">
        <f t="shared" si="34"/>
        <v>3.3963699731975794</v>
      </c>
      <c r="E118" s="1">
        <f t="shared" si="35"/>
        <v>0.43483020208878181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2.05" customHeight="1">
      <c r="A119" s="1">
        <f>30</f>
        <v>30</v>
      </c>
      <c r="B119" s="1">
        <f>IF(E118&gt;'01 Traffic inputs'!$B$16,D118,B118)</f>
        <v>3.3963699731975794</v>
      </c>
      <c r="C119" s="1">
        <f>IF(E118&gt;'01 Traffic inputs'!$B$16,C118,D118)</f>
        <v>3.3963885977864265</v>
      </c>
      <c r="D119" s="1">
        <f t="shared" si="34"/>
        <v>3.396379285492003</v>
      </c>
      <c r="E119" s="1">
        <f t="shared" si="35"/>
        <v>0.43482971554316618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2.05" customHeight="1">
      <c r="A120" s="1">
        <f>31</f>
        <v>31</v>
      </c>
      <c r="B120" s="1">
        <f>IF(E119&gt;'01 Traffic inputs'!$B$16,D119,B119)</f>
        <v>3.396379285492003</v>
      </c>
      <c r="C120" s="1">
        <f>IF(E119&gt;'01 Traffic inputs'!$B$16,C119,D119)</f>
        <v>3.3963885977864265</v>
      </c>
      <c r="D120" s="1">
        <f t="shared" si="34"/>
        <v>3.3963839416392148</v>
      </c>
      <c r="E120" s="1">
        <f t="shared" si="35"/>
        <v>0.43482947227096846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2.05" customHeight="1">
      <c r="A121" s="1">
        <f>32</f>
        <v>32</v>
      </c>
      <c r="B121" s="1">
        <f>IF(E120&gt;'01 Traffic inputs'!$B$16,D120,B120)</f>
        <v>3.3963839416392148</v>
      </c>
      <c r="C121" s="1">
        <f>IF(E120&gt;'01 Traffic inputs'!$B$16,C120,D120)</f>
        <v>3.3963885977864265</v>
      </c>
      <c r="D121" s="1">
        <f t="shared" si="34"/>
        <v>3.3963862697128206</v>
      </c>
      <c r="E121" s="1">
        <f t="shared" si="35"/>
        <v>0.43482935063502448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2.05" customHeight="1">
      <c r="A122" s="1">
        <f>33</f>
        <v>33</v>
      </c>
      <c r="B122" s="1">
        <f>IF(E121&gt;'01 Traffic inputs'!$B$16,D121,B121)</f>
        <v>3.3963839416392148</v>
      </c>
      <c r="C122" s="1">
        <f>IF(E121&gt;'01 Traffic inputs'!$B$16,C121,D121)</f>
        <v>3.3963862697128206</v>
      </c>
      <c r="D122" s="1">
        <f t="shared" ref="D122:D139" si="36">(B122+C122)/2</f>
        <v>3.3963851056760177</v>
      </c>
      <c r="E122" s="1">
        <f t="shared" ref="E122:E139" si="37">EXP(D122*LN(4)+2*GAMMALN(D122+1)-GAMMALN(2*D122+2))</f>
        <v>0.43482941145298332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2.05" customHeight="1">
      <c r="A123" s="1">
        <f>34</f>
        <v>34</v>
      </c>
      <c r="B123" s="1">
        <f>IF(E122&gt;'01 Traffic inputs'!$B$16,D122,B122)</f>
        <v>3.3963851056760177</v>
      </c>
      <c r="C123" s="1">
        <f>IF(E122&gt;'01 Traffic inputs'!$B$16,C122,D122)</f>
        <v>3.3963862697128206</v>
      </c>
      <c r="D123" s="1">
        <f t="shared" si="36"/>
        <v>3.3963856876944192</v>
      </c>
      <c r="E123" s="1">
        <f t="shared" si="37"/>
        <v>0.43482938104400132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2.05" customHeight="1">
      <c r="A124" s="1">
        <f>35</f>
        <v>35</v>
      </c>
      <c r="B124" s="1">
        <f>IF(E123&gt;'01 Traffic inputs'!$B$16,D123,B123)</f>
        <v>3.3963856876944192</v>
      </c>
      <c r="C124" s="1">
        <f>IF(E123&gt;'01 Traffic inputs'!$B$16,C123,D123)</f>
        <v>3.3963862697128206</v>
      </c>
      <c r="D124" s="1">
        <f t="shared" si="36"/>
        <v>3.3963859787036199</v>
      </c>
      <c r="E124" s="1">
        <f t="shared" si="37"/>
        <v>0.43482936583951187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2.05" customHeight="1">
      <c r="A125" s="1">
        <f>36</f>
        <v>36</v>
      </c>
      <c r="B125" s="1">
        <f>IF(E124&gt;'01 Traffic inputs'!$B$16,D124,B124)</f>
        <v>3.3963856876944192</v>
      </c>
      <c r="C125" s="1">
        <f>IF(E124&gt;'01 Traffic inputs'!$B$16,C124,D124)</f>
        <v>3.3963859787036199</v>
      </c>
      <c r="D125" s="1">
        <f t="shared" si="36"/>
        <v>3.3963858331990195</v>
      </c>
      <c r="E125" s="1">
        <f t="shared" si="37"/>
        <v>0.43482937344175654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2.05" customHeight="1">
      <c r="A126" s="1">
        <f>37</f>
        <v>37</v>
      </c>
      <c r="B126" s="1">
        <f>IF(E125&gt;'01 Traffic inputs'!$B$16,D125,B125)</f>
        <v>3.3963858331990195</v>
      </c>
      <c r="C126" s="1">
        <f>IF(E125&gt;'01 Traffic inputs'!$B$16,C125,D125)</f>
        <v>3.3963859787036199</v>
      </c>
      <c r="D126" s="1">
        <f t="shared" si="36"/>
        <v>3.3963859059513197</v>
      </c>
      <c r="E126" s="1">
        <f t="shared" si="37"/>
        <v>0.43482936964063457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2.05" customHeight="1">
      <c r="A127" s="1">
        <f>38</f>
        <v>38</v>
      </c>
      <c r="B127" s="1">
        <f>IF(E126&gt;'01 Traffic inputs'!$B$16,D126,B126)</f>
        <v>3.3963859059513197</v>
      </c>
      <c r="C127" s="1">
        <f>IF(E126&gt;'01 Traffic inputs'!$B$16,C126,D126)</f>
        <v>3.3963859787036199</v>
      </c>
      <c r="D127" s="1">
        <f t="shared" si="36"/>
        <v>3.3963859423274698</v>
      </c>
      <c r="E127" s="1">
        <f t="shared" si="37"/>
        <v>0.4348293677400728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2.05" customHeight="1">
      <c r="A128" s="1">
        <f>39</f>
        <v>39</v>
      </c>
      <c r="B128" s="1">
        <f>IF(E127&gt;'01 Traffic inputs'!$B$16,D127,B127)</f>
        <v>3.3963859059513197</v>
      </c>
      <c r="C128" s="1">
        <f>IF(E127&gt;'01 Traffic inputs'!$B$16,C127,D127)</f>
        <v>3.3963859423274698</v>
      </c>
      <c r="D128" s="1">
        <f t="shared" si="36"/>
        <v>3.3963859241393948</v>
      </c>
      <c r="E128" s="1">
        <f t="shared" si="37"/>
        <v>0.43482936869035371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2.05" customHeight="1">
      <c r="A129" s="1">
        <f>40</f>
        <v>40</v>
      </c>
      <c r="B129" s="1">
        <f>IF(E128&gt;'01 Traffic inputs'!$B$16,D128,B128)</f>
        <v>3.3963859241393948</v>
      </c>
      <c r="C129" s="1">
        <f>IF(E128&gt;'01 Traffic inputs'!$B$16,C128,D128)</f>
        <v>3.3963859423274698</v>
      </c>
      <c r="D129" s="1">
        <f t="shared" si="36"/>
        <v>3.3963859332334323</v>
      </c>
      <c r="E129" s="1">
        <f t="shared" si="37"/>
        <v>0.43482936821521212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2.05" customHeight="1">
      <c r="A130" s="1">
        <f>41</f>
        <v>41</v>
      </c>
      <c r="B130" s="1">
        <f>IF(E129&gt;'01 Traffic inputs'!$B$16,D129,B129)</f>
        <v>3.3963859332334323</v>
      </c>
      <c r="C130" s="1">
        <f>IF(E129&gt;'01 Traffic inputs'!$B$16,C129,D129)</f>
        <v>3.3963859423274698</v>
      </c>
      <c r="D130" s="1">
        <f t="shared" si="36"/>
        <v>3.3963859377804511</v>
      </c>
      <c r="E130" s="1">
        <f t="shared" si="37"/>
        <v>0.43482936797764282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2.05" customHeight="1">
      <c r="A131" s="1">
        <f>42</f>
        <v>42</v>
      </c>
      <c r="B131" s="1">
        <f>IF(E130&gt;'01 Traffic inputs'!$B$16,D130,B130)</f>
        <v>3.3963859332334323</v>
      </c>
      <c r="C131" s="1">
        <f>IF(E130&gt;'01 Traffic inputs'!$B$16,C130,D130)</f>
        <v>3.3963859377804511</v>
      </c>
      <c r="D131" s="1">
        <f t="shared" si="36"/>
        <v>3.3963859355069417</v>
      </c>
      <c r="E131" s="1">
        <f t="shared" si="37"/>
        <v>0.43482936809642825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2.05" customHeight="1">
      <c r="A132" s="1">
        <f>43</f>
        <v>43</v>
      </c>
      <c r="B132" s="1">
        <f>IF(E131&gt;'01 Traffic inputs'!$B$16,D131,B131)</f>
        <v>3.3963859332334323</v>
      </c>
      <c r="C132" s="1">
        <f>IF(E131&gt;'01 Traffic inputs'!$B$16,C131,D131)</f>
        <v>3.3963859355069417</v>
      </c>
      <c r="D132" s="1">
        <f t="shared" si="36"/>
        <v>3.396385934370187</v>
      </c>
      <c r="E132" s="1">
        <f t="shared" si="37"/>
        <v>0.4348293681558198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2.05" customHeight="1">
      <c r="A133" s="1">
        <f>44</f>
        <v>44</v>
      </c>
      <c r="B133" s="1">
        <f>IF(E132&gt;'01 Traffic inputs'!$B$16,D132,B132)</f>
        <v>3.396385934370187</v>
      </c>
      <c r="C133" s="1">
        <f>IF(E132&gt;'01 Traffic inputs'!$B$16,C132,D132)</f>
        <v>3.3963859355069417</v>
      </c>
      <c r="D133" s="1">
        <f t="shared" si="36"/>
        <v>3.3963859349385643</v>
      </c>
      <c r="E133" s="1">
        <f t="shared" si="37"/>
        <v>0.43482936812612361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2.05" customHeight="1">
      <c r="A134" s="1">
        <f>45</f>
        <v>45</v>
      </c>
      <c r="B134" s="1">
        <f>IF(E133&gt;'01 Traffic inputs'!$B$16,D133,B133)</f>
        <v>3.396385934370187</v>
      </c>
      <c r="C134" s="1">
        <f>IF(E133&gt;'01 Traffic inputs'!$B$16,C133,D133)</f>
        <v>3.3963859349385643</v>
      </c>
      <c r="D134" s="1">
        <f t="shared" si="36"/>
        <v>3.3963859346543757</v>
      </c>
      <c r="E134" s="1">
        <f t="shared" si="37"/>
        <v>0.43482936814097095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2.05" customHeight="1">
      <c r="A135" s="1">
        <f>46</f>
        <v>46</v>
      </c>
      <c r="B135" s="1">
        <f>IF(E134&gt;'01 Traffic inputs'!$B$16,D134,B134)</f>
        <v>3.396385934370187</v>
      </c>
      <c r="C135" s="1">
        <f>IF(E134&gt;'01 Traffic inputs'!$B$16,C134,D134)</f>
        <v>3.3963859346543757</v>
      </c>
      <c r="D135" s="1">
        <f t="shared" si="36"/>
        <v>3.3963859345122813</v>
      </c>
      <c r="E135" s="1">
        <f t="shared" si="37"/>
        <v>0.43482936814839612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2.05" customHeight="1">
      <c r="A136" s="1">
        <f>47</f>
        <v>47</v>
      </c>
      <c r="B136" s="1">
        <f>IF(E135&gt;'01 Traffic inputs'!$B$16,D135,B135)</f>
        <v>3.396385934370187</v>
      </c>
      <c r="C136" s="1">
        <f>IF(E135&gt;'01 Traffic inputs'!$B$16,C135,D135)</f>
        <v>3.3963859345122813</v>
      </c>
      <c r="D136" s="1">
        <f t="shared" si="36"/>
        <v>3.3963859344412342</v>
      </c>
      <c r="E136" s="1">
        <f t="shared" si="37"/>
        <v>0.43482936815210832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2.05" customHeight="1">
      <c r="A137" s="1">
        <f>48</f>
        <v>48</v>
      </c>
      <c r="B137" s="1">
        <f>IF(E136&gt;'01 Traffic inputs'!$B$16,D136,B136)</f>
        <v>3.396385934370187</v>
      </c>
      <c r="C137" s="1">
        <f>IF(E136&gt;'01 Traffic inputs'!$B$16,C136,D136)</f>
        <v>3.3963859344412342</v>
      </c>
      <c r="D137" s="1">
        <f t="shared" si="36"/>
        <v>3.3963859344057106</v>
      </c>
      <c r="E137" s="1">
        <f t="shared" si="37"/>
        <v>0.43482936815396445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2.05" customHeight="1">
      <c r="A138" s="1">
        <f>49</f>
        <v>49</v>
      </c>
      <c r="B138" s="1">
        <f>IF(E137&gt;'01 Traffic inputs'!$B$16,D137,B137)</f>
        <v>3.3963859344057106</v>
      </c>
      <c r="C138" s="1">
        <f>IF(E137&gt;'01 Traffic inputs'!$B$16,C137,D137)</f>
        <v>3.3963859344412342</v>
      </c>
      <c r="D138" s="1">
        <f t="shared" si="36"/>
        <v>3.3963859344234724</v>
      </c>
      <c r="E138" s="1">
        <f t="shared" si="37"/>
        <v>0.43482936815303602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2.05" customHeight="1">
      <c r="A139" s="1">
        <f>50</f>
        <v>50</v>
      </c>
      <c r="B139" s="1">
        <f>IF(E138&gt;'01 Traffic inputs'!$B$16,D138,B138)</f>
        <v>3.3963859344057106</v>
      </c>
      <c r="C139" s="1">
        <f>IF(E138&gt;'01 Traffic inputs'!$B$16,C138,D138)</f>
        <v>3.3963859344234724</v>
      </c>
      <c r="D139" s="1">
        <f t="shared" si="36"/>
        <v>3.3963859344145915</v>
      </c>
      <c r="E139" s="1">
        <f t="shared" si="37"/>
        <v>0.43482936815349943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2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2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2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40.049999999999997" customHeight="1">
      <c r="A143" s="4" t="s">
        <v>50</v>
      </c>
      <c r="B143" s="4" t="s">
        <v>112</v>
      </c>
      <c r="C143" s="4" t="s">
        <v>113</v>
      </c>
      <c r="D143" s="4" t="s">
        <v>114</v>
      </c>
      <c r="E143" s="4" t="s">
        <v>115</v>
      </c>
      <c r="F143" s="4" t="s">
        <v>116</v>
      </c>
      <c r="G143" s="4" t="s">
        <v>69</v>
      </c>
      <c r="H143" s="4" t="s">
        <v>117</v>
      </c>
      <c r="I143" s="4" t="s">
        <v>118</v>
      </c>
      <c r="J143" s="4" t="s">
        <v>119</v>
      </c>
      <c r="K143" s="4" t="s">
        <v>120</v>
      </c>
      <c r="L143" s="4" t="s">
        <v>121</v>
      </c>
      <c r="M143" s="4" t="s">
        <v>122</v>
      </c>
      <c r="N143" s="4" t="s">
        <v>123</v>
      </c>
      <c r="O143" s="4" t="s">
        <v>124</v>
      </c>
      <c r="P143" s="4" t="s">
        <v>125</v>
      </c>
      <c r="Q143" s="4" t="s">
        <v>126</v>
      </c>
      <c r="R143" s="4" t="s">
        <v>99</v>
      </c>
      <c r="S143" s="4" t="s">
        <v>102</v>
      </c>
      <c r="T143" s="4" t="s">
        <v>103</v>
      </c>
      <c r="U143" s="4" t="s">
        <v>104</v>
      </c>
      <c r="V143" s="4" t="s">
        <v>105</v>
      </c>
      <c r="W143" s="4" t="s">
        <v>106</v>
      </c>
      <c r="X143" s="1"/>
      <c r="Y143" s="1"/>
      <c r="Z143" s="1"/>
      <c r="AA143" s="1"/>
      <c r="AB143" s="1"/>
      <c r="AC143" s="1"/>
      <c r="AD143" s="1"/>
      <c r="AE143" s="1"/>
    </row>
    <row r="144" spans="1:31" ht="22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/>
      <c r="Y144" s="1"/>
      <c r="Z144" s="1"/>
      <c r="AA144" s="1"/>
      <c r="AB144" s="1"/>
      <c r="AC144" s="1"/>
      <c r="AD144" s="1"/>
      <c r="AE144" s="1"/>
    </row>
    <row r="145" spans="1:31" ht="22.05" customHeight="1">
      <c r="A145" s="1">
        <f>'01 Traffic inputs'!B95</f>
        <v>9.7794136763029726E-6</v>
      </c>
      <c r="B145" s="1">
        <f>'01 Traffic inputs'!C95</f>
        <v>2.509705173370926E-5</v>
      </c>
      <c r="C145" s="1">
        <f>IF('01 Traffic inputs'!$B$16&lt;=2/3,(4*A145*(1-A145))^$B$16,1-ABS(2*A145-1)^$B$17)</f>
        <v>1.07147632316534E-15</v>
      </c>
      <c r="D145" s="1">
        <f>IF('01 Traffic inputs'!$B$16&lt;=2/3,4*$B$16*(1-2*A145)*(4*A145*(1-A145))^($B$16-1),-2*$B$17*SIGN(2*A145-1)*ABS(2*A145-1)^($B$17-1))</f>
        <v>3.7211960189413646E-10</v>
      </c>
      <c r="E145" s="1">
        <f t="shared" ref="E145:E208" si="38">$B$7*B145*(1+$B$11/$B$9*D145)</f>
        <v>0.12019605501624349</v>
      </c>
      <c r="F145" s="1">
        <f t="shared" ref="F145:F208" si="39">$B$10+$B$11*C145</f>
        <v>1.6209128967613833E-2</v>
      </c>
      <c r="G145" s="1">
        <f t="shared" ref="G145:G208" si="40">E145*F145</f>
        <v>1.9482733571566982E-3</v>
      </c>
      <c r="H145" s="1">
        <f>'01 Traffic inputs'!$B$8/F145</f>
        <v>64.161374869554152</v>
      </c>
      <c r="I145" s="1">
        <f>MATCH(H145,'02 Emission rates'!$A$7:$A$15,1)</f>
        <v>6</v>
      </c>
      <c r="J145" s="1">
        <f>INDEX('02 Emission rates'!$D$7:$D$15,I145)</f>
        <v>20615.635195313702</v>
      </c>
      <c r="K145" s="1">
        <f>INDEX('02 Emission rates'!$E$7:$E$15,I145)</f>
        <v>30.344373182827162</v>
      </c>
      <c r="L145" s="1">
        <f>INDEX('02 Emission rates'!$F$7:$F$15,I145)</f>
        <v>135.13776314017983</v>
      </c>
      <c r="M145" s="1">
        <f>INDEX('02 Emission rates'!$G$7:$G$15,I145)</f>
        <v>5.4702300406244557</v>
      </c>
      <c r="N145" s="1">
        <f t="shared" ref="N145:N208" si="41">G145*J145</f>
        <v>40.16489279189161</v>
      </c>
      <c r="O145" s="1">
        <f t="shared" ref="O145:O208" si="42">G145*K145</f>
        <v>5.911913381172236E-2</v>
      </c>
      <c r="P145" s="1">
        <f t="shared" ref="P145:P208" si="43">G145*L145</f>
        <v>0.26328530347176488</v>
      </c>
      <c r="Q145" s="1">
        <f t="shared" ref="Q145:Q208" si="44">G145*M145</f>
        <v>1.065750344566683E-2</v>
      </c>
      <c r="R145" s="1">
        <f t="shared" ref="R145:R208" si="45">R144+E145</f>
        <v>0.12019605501624349</v>
      </c>
      <c r="S145" s="1">
        <f t="shared" ref="S145:S208" si="46">S144+G145</f>
        <v>1.9482733571566982E-3</v>
      </c>
      <c r="T145" s="1">
        <f t="shared" ref="T145:T208" si="47">T144+N145</f>
        <v>40.16489279189161</v>
      </c>
      <c r="U145" s="1">
        <f t="shared" ref="U145:U208" si="48">U144+O145</f>
        <v>5.911913381172236E-2</v>
      </c>
      <c r="V145" s="1">
        <f t="shared" ref="V145:V208" si="49">V144+P145</f>
        <v>0.26328530347176488</v>
      </c>
      <c r="W145" s="1">
        <f t="shared" ref="W145:W208" si="50">W144+Q145</f>
        <v>1.065750344566683E-2</v>
      </c>
      <c r="X145" s="1"/>
      <c r="Y145" s="1"/>
      <c r="Z145" s="1"/>
      <c r="AA145" s="1"/>
      <c r="AB145" s="1"/>
      <c r="AC145" s="1"/>
      <c r="AD145" s="1"/>
      <c r="AE145" s="1"/>
    </row>
    <row r="146" spans="1:31" ht="22.05" customHeight="1">
      <c r="A146" s="1">
        <f>'01 Traffic inputs'!B96</f>
        <v>5.1526431070203493E-5</v>
      </c>
      <c r="B146" s="1">
        <f>'01 Traffic inputs'!C96</f>
        <v>5.8419533286588016E-5</v>
      </c>
      <c r="C146" s="1">
        <f>IF('01 Traffic inputs'!$B$16&lt;=2/3,(4*A146*(1-A146))^$B$16,1-ABS(2*A146-1)^$B$17)</f>
        <v>3.0279681190417965E-13</v>
      </c>
      <c r="D146" s="1">
        <f>IF('01 Traffic inputs'!$B$16&lt;=2/3,4*$B$16*(1-2*A146)*(4*A146*(1-A146))^($B$16-1),-2*$B$17*SIGN(2*A146-1)*ABS(2*A146-1)^($B$17-1))</f>
        <v>1.9957948150130253E-8</v>
      </c>
      <c r="E146" s="1">
        <f t="shared" si="38"/>
        <v>0.27978574986475147</v>
      </c>
      <c r="F146" s="1">
        <f t="shared" si="39"/>
        <v>1.6209128967631131E-2</v>
      </c>
      <c r="G146" s="1">
        <f t="shared" si="40"/>
        <v>4.5350833028631405E-3</v>
      </c>
      <c r="H146" s="1">
        <f>'01 Traffic inputs'!$B$8/F146</f>
        <v>64.161374869485684</v>
      </c>
      <c r="I146" s="1">
        <f>MATCH(H146,'02 Emission rates'!$A$7:$A$15,1)</f>
        <v>6</v>
      </c>
      <c r="J146" s="1">
        <f>INDEX('02 Emission rates'!$D$7:$D$15,I146)</f>
        <v>20615.635195313702</v>
      </c>
      <c r="K146" s="1">
        <f>INDEX('02 Emission rates'!$E$7:$E$15,I146)</f>
        <v>30.344373182827162</v>
      </c>
      <c r="L146" s="1">
        <f>INDEX('02 Emission rates'!$F$7:$F$15,I146)</f>
        <v>135.13776314017983</v>
      </c>
      <c r="M146" s="1">
        <f>INDEX('02 Emission rates'!$G$7:$G$15,I146)</f>
        <v>5.4702300406244557</v>
      </c>
      <c r="N146" s="1">
        <f t="shared" si="41"/>
        <v>93.493622952184865</v>
      </c>
      <c r="O146" s="1">
        <f t="shared" si="42"/>
        <v>0.1376142601572875</v>
      </c>
      <c r="P146" s="1">
        <f t="shared" si="43"/>
        <v>0.61286101320330355</v>
      </c>
      <c r="Q146" s="1">
        <f t="shared" si="44"/>
        <v>2.4807948920056326E-2</v>
      </c>
      <c r="R146" s="1">
        <f t="shared" si="45"/>
        <v>0.39998180488099494</v>
      </c>
      <c r="S146" s="1">
        <f t="shared" si="46"/>
        <v>6.4833566600198383E-3</v>
      </c>
      <c r="T146" s="1">
        <f t="shared" si="47"/>
        <v>133.65851574407648</v>
      </c>
      <c r="U146" s="1">
        <f t="shared" si="48"/>
        <v>0.19673339396900985</v>
      </c>
      <c r="V146" s="1">
        <f t="shared" si="49"/>
        <v>0.87614631667506848</v>
      </c>
      <c r="W146" s="1">
        <f t="shared" si="50"/>
        <v>3.5465452365723155E-2</v>
      </c>
      <c r="X146" s="1"/>
      <c r="Y146" s="1"/>
      <c r="Z146" s="1"/>
      <c r="AA146" s="1"/>
      <c r="AB146" s="1"/>
      <c r="AC146" s="1"/>
      <c r="AD146" s="1"/>
      <c r="AE146" s="1"/>
    </row>
    <row r="147" spans="1:31" ht="22.05" customHeight="1">
      <c r="A147" s="1">
        <f>'01 Traffic inputs'!B97</f>
        <v>1.2662959432385712E-4</v>
      </c>
      <c r="B147" s="1">
        <f>'01 Traffic inputs'!C97</f>
        <v>9.1787459676077822E-5</v>
      </c>
      <c r="C147" s="1">
        <f>IF('01 Traffic inputs'!$B$16&lt;=2/3,(4*A147*(1-A147))^$B$16,1-ABS(2*A147-1)^$B$17)</f>
        <v>6.4172168910079415E-12</v>
      </c>
      <c r="D147" s="1">
        <f>IF('01 Traffic inputs'!$B$16&lt;=2/3,4*$B$16*(1-2*A147)*(4*A147*(1-A147))^($B$16-1),-2*$B$17*SIGN(2*A147-1)*ABS(2*A147-1)^($B$17-1))</f>
        <v>1.7209709166183784E-7</v>
      </c>
      <c r="E147" s="1">
        <f t="shared" si="38"/>
        <v>0.43959309222858456</v>
      </c>
      <c r="F147" s="1">
        <f t="shared" si="39"/>
        <v>1.6209128967981733E-2</v>
      </c>
      <c r="G147" s="1">
        <f t="shared" si="40"/>
        <v>7.1254211253670152E-3</v>
      </c>
      <c r="H147" s="1">
        <f>'01 Traffic inputs'!$B$8/F147</f>
        <v>64.16137486809788</v>
      </c>
      <c r="I147" s="1">
        <f>MATCH(H147,'02 Emission rates'!$A$7:$A$15,1)</f>
        <v>6</v>
      </c>
      <c r="J147" s="1">
        <f>INDEX('02 Emission rates'!$D$7:$D$15,I147)</f>
        <v>20615.635195313702</v>
      </c>
      <c r="K147" s="1">
        <f>INDEX('02 Emission rates'!$E$7:$E$15,I147)</f>
        <v>30.344373182827162</v>
      </c>
      <c r="L147" s="1">
        <f>INDEX('02 Emission rates'!$F$7:$F$15,I147)</f>
        <v>135.13776314017983</v>
      </c>
      <c r="M147" s="1">
        <f>INDEX('02 Emission rates'!$G$7:$G$15,I147)</f>
        <v>5.4702300406244557</v>
      </c>
      <c r="N147" s="1">
        <f t="shared" si="41"/>
        <v>146.89508253354799</v>
      </c>
      <c r="O147" s="1">
        <f t="shared" si="42"/>
        <v>0.216216437712937</v>
      </c>
      <c r="P147" s="1">
        <f t="shared" si="43"/>
        <v>0.96291347231388125</v>
      </c>
      <c r="Q147" s="1">
        <f t="shared" si="44"/>
        <v>3.897769269208276E-2</v>
      </c>
      <c r="R147" s="1">
        <f t="shared" si="45"/>
        <v>0.83957489710957955</v>
      </c>
      <c r="S147" s="1">
        <f t="shared" si="46"/>
        <v>1.3608777785386853E-2</v>
      </c>
      <c r="T147" s="1">
        <f t="shared" si="47"/>
        <v>280.55359827762447</v>
      </c>
      <c r="U147" s="1">
        <f t="shared" si="48"/>
        <v>0.41294983168194688</v>
      </c>
      <c r="V147" s="1">
        <f t="shared" si="49"/>
        <v>1.8390597889889497</v>
      </c>
      <c r="W147" s="1">
        <f t="shared" si="50"/>
        <v>7.4443145057805915E-2</v>
      </c>
      <c r="X147" s="1"/>
      <c r="Y147" s="1"/>
      <c r="Z147" s="1"/>
      <c r="AA147" s="1"/>
      <c r="AB147" s="1"/>
      <c r="AC147" s="1"/>
      <c r="AD147" s="1"/>
      <c r="AE147" s="1"/>
    </row>
    <row r="148" spans="1:31" ht="22.05" customHeight="1">
      <c r="A148" s="1">
        <f>'01 Traffic inputs'!B98</f>
        <v>2.3510057205705648E-4</v>
      </c>
      <c r="B148" s="1">
        <f>'01 Traffic inputs'!C98</f>
        <v>1.251535445433506E-4</v>
      </c>
      <c r="C148" s="1">
        <f>IF('01 Traffic inputs'!$B$16&lt;=2/3,(4*A148*(1-A148))^$B$16,1-ABS(2*A148-1)^$B$17)</f>
        <v>5.2463628468265458E-11</v>
      </c>
      <c r="D148" s="1">
        <f>IF('01 Traffic inputs'!$B$16&lt;=2/3,4*$B$16*(1-2*A148)*(4*A148*(1-A148))^($B$16-1),-2*$B$17*SIGN(2*A148-1)*ABS(2*A148-1)^($B$17-1))</f>
        <v>7.5773881188823764E-7</v>
      </c>
      <c r="E148" s="1">
        <f t="shared" si="38"/>
        <v>0.59939161905724403</v>
      </c>
      <c r="F148" s="1">
        <f t="shared" si="39"/>
        <v>1.620912897062202E-2</v>
      </c>
      <c r="G148" s="1">
        <f t="shared" si="40"/>
        <v>9.7156160572088122E-3</v>
      </c>
      <c r="H148" s="1">
        <f>'01 Traffic inputs'!$B$8/F148</f>
        <v>64.161374857646706</v>
      </c>
      <c r="I148" s="1">
        <f>MATCH(H148,'02 Emission rates'!$A$7:$A$15,1)</f>
        <v>6</v>
      </c>
      <c r="J148" s="1">
        <f>INDEX('02 Emission rates'!$D$7:$D$15,I148)</f>
        <v>20615.635195313702</v>
      </c>
      <c r="K148" s="1">
        <f>INDEX('02 Emission rates'!$E$7:$E$15,I148)</f>
        <v>30.344373182827162</v>
      </c>
      <c r="L148" s="1">
        <f>INDEX('02 Emission rates'!$F$7:$F$15,I148)</f>
        <v>135.13776314017983</v>
      </c>
      <c r="M148" s="1">
        <f>INDEX('02 Emission rates'!$G$7:$G$15,I148)</f>
        <v>5.4702300406244557</v>
      </c>
      <c r="N148" s="1">
        <f t="shared" si="41"/>
        <v>200.29359633314894</v>
      </c>
      <c r="O148" s="1">
        <f t="shared" si="42"/>
        <v>0.29481427934101206</v>
      </c>
      <c r="P148" s="1">
        <f t="shared" si="43"/>
        <v>1.3129466215000123</v>
      </c>
      <c r="Q148" s="1">
        <f t="shared" si="44"/>
        <v>5.3146654819316977E-2</v>
      </c>
      <c r="R148" s="1">
        <f t="shared" si="45"/>
        <v>1.4389665161668237</v>
      </c>
      <c r="S148" s="1">
        <f t="shared" si="46"/>
        <v>2.3324393842595666E-2</v>
      </c>
      <c r="T148" s="1">
        <f t="shared" si="47"/>
        <v>480.84719461077339</v>
      </c>
      <c r="U148" s="1">
        <f t="shared" si="48"/>
        <v>0.70776411102295889</v>
      </c>
      <c r="V148" s="1">
        <f t="shared" si="49"/>
        <v>3.152006410488962</v>
      </c>
      <c r="W148" s="1">
        <f t="shared" si="50"/>
        <v>0.12758979987712288</v>
      </c>
      <c r="X148" s="1"/>
      <c r="Y148" s="1"/>
      <c r="Z148" s="1"/>
      <c r="AA148" s="1"/>
      <c r="AB148" s="1"/>
      <c r="AC148" s="1"/>
      <c r="AD148" s="1"/>
      <c r="AE148" s="1"/>
    </row>
    <row r="149" spans="1:31" ht="22.05" customHeight="1">
      <c r="A149" s="1">
        <f>'01 Traffic inputs'!B99</f>
        <v>3.7693416640777189E-4</v>
      </c>
      <c r="B149" s="1">
        <f>'01 Traffic inputs'!C99</f>
        <v>1.585121349076745E-4</v>
      </c>
      <c r="C149" s="1">
        <f>IF('01 Traffic inputs'!$B$16&lt;=2/3,(4*A149*(1-A149))^$B$16,1-ABS(2*A149-1)^$B$17)</f>
        <v>2.6058433788835518E-10</v>
      </c>
      <c r="D149" s="1">
        <f>IF('01 Traffic inputs'!$B$16&lt;=2/3,4*$B$16*(1-2*A149)*(4*A149*(1-A149))^($B$16-1),-2*$B$17*SIGN(2*A149-1)*ABS(2*A149-1)^($B$17-1))</f>
        <v>2.3471240585016842E-6</v>
      </c>
      <c r="E149" s="1">
        <f t="shared" si="38"/>
        <v>0.75915426506883643</v>
      </c>
      <c r="F149" s="1">
        <f t="shared" si="39"/>
        <v>1.620912898255561E-2</v>
      </c>
      <c r="G149" s="1">
        <f t="shared" si="40"/>
        <v>1.2305229400157981E-2</v>
      </c>
      <c r="H149" s="1">
        <f>'01 Traffic inputs'!$B$8/F149</f>
        <v>64.161374810409399</v>
      </c>
      <c r="I149" s="1">
        <f>MATCH(H149,'02 Emission rates'!$A$7:$A$15,1)</f>
        <v>6</v>
      </c>
      <c r="J149" s="1">
        <f>INDEX('02 Emission rates'!$D$7:$D$15,I149)</f>
        <v>20615.635195313702</v>
      </c>
      <c r="K149" s="1">
        <f>INDEX('02 Emission rates'!$E$7:$E$15,I149)</f>
        <v>30.344373182827162</v>
      </c>
      <c r="L149" s="1">
        <f>INDEX('02 Emission rates'!$F$7:$F$15,I149)</f>
        <v>135.13776314017983</v>
      </c>
      <c r="M149" s="1">
        <f>INDEX('02 Emission rates'!$G$7:$G$15,I149)</f>
        <v>5.4702300406244557</v>
      </c>
      <c r="N149" s="1">
        <f t="shared" si="41"/>
        <v>253.68012030830579</v>
      </c>
      <c r="O149" s="1">
        <f t="shared" si="42"/>
        <v>0.37339447301869022</v>
      </c>
      <c r="P149" s="1">
        <f t="shared" si="43"/>
        <v>1.6629011760641264</v>
      </c>
      <c r="Q149" s="1">
        <f t="shared" si="44"/>
        <v>6.7312435521519443E-2</v>
      </c>
      <c r="R149" s="1">
        <f t="shared" si="45"/>
        <v>2.19812078123566</v>
      </c>
      <c r="S149" s="1">
        <f t="shared" si="46"/>
        <v>3.562962324275365E-2</v>
      </c>
      <c r="T149" s="1">
        <f t="shared" si="47"/>
        <v>734.52731491907912</v>
      </c>
      <c r="U149" s="1">
        <f t="shared" si="48"/>
        <v>1.0811585840416491</v>
      </c>
      <c r="V149" s="1">
        <f t="shared" si="49"/>
        <v>4.8149075865530886</v>
      </c>
      <c r="W149" s="1">
        <f t="shared" si="50"/>
        <v>0.19490223539864232</v>
      </c>
      <c r="X149" s="1"/>
      <c r="Y149" s="1"/>
      <c r="Z149" s="1"/>
      <c r="AA149" s="1"/>
      <c r="AB149" s="1"/>
      <c r="AC149" s="1"/>
      <c r="AD149" s="1"/>
      <c r="AE149" s="1"/>
    </row>
    <row r="150" spans="1:31" ht="22.05" customHeight="1">
      <c r="A150" s="1">
        <f>'01 Traffic inputs'!B100</f>
        <v>5.5212139683713524E-4</v>
      </c>
      <c r="B150" s="1">
        <f>'01 Traffic inputs'!C100</f>
        <v>1.9186040104664516E-4</v>
      </c>
      <c r="C150" s="1">
        <f>IF('01 Traffic inputs'!$B$16&lt;=2/3,(4*A150*(1-A150))^$B$16,1-ABS(2*A150-1)^$B$17)</f>
        <v>9.5215034885526121E-10</v>
      </c>
      <c r="D150" s="1">
        <f>IF('01 Traffic inputs'!$B$16&lt;=2/3,4*$B$16*(1-2*A150)*(4*A150*(1-A150))^($B$16-1),-2*$B$17*SIGN(2*A150-1)*ABS(2*A150-1)^($B$17-1))</f>
        <v>5.8539364632733119E-6</v>
      </c>
      <c r="E150" s="1">
        <f t="shared" si="38"/>
        <v>0.91886749503117648</v>
      </c>
      <c r="F150" s="1">
        <f t="shared" si="39"/>
        <v>1.6209129022209834E-2</v>
      </c>
      <c r="G150" s="1">
        <f t="shared" si="40"/>
        <v>1.4894041781275093E-2</v>
      </c>
      <c r="H150" s="1">
        <f>'01 Traffic inputs'!$B$8/F150</f>
        <v>64.161374653444184</v>
      </c>
      <c r="I150" s="1">
        <f>MATCH(H150,'02 Emission rates'!$A$7:$A$15,1)</f>
        <v>6</v>
      </c>
      <c r="J150" s="1">
        <f>INDEX('02 Emission rates'!$D$7:$D$15,I150)</f>
        <v>20615.635195313702</v>
      </c>
      <c r="K150" s="1">
        <f>INDEX('02 Emission rates'!$E$7:$E$15,I150)</f>
        <v>30.344373182827162</v>
      </c>
      <c r="L150" s="1">
        <f>INDEX('02 Emission rates'!$F$7:$F$15,I150)</f>
        <v>135.13776314017983</v>
      </c>
      <c r="M150" s="1">
        <f>INDEX('02 Emission rates'!$G$7:$G$15,I150)</f>
        <v>5.4702300406244557</v>
      </c>
      <c r="N150" s="1">
        <f t="shared" si="41"/>
        <v>307.05013194652759</v>
      </c>
      <c r="O150" s="1">
        <f t="shared" si="42"/>
        <v>0.45195036201163125</v>
      </c>
      <c r="P150" s="1">
        <f t="shared" si="43"/>
        <v>2.0127474904378957</v>
      </c>
      <c r="Q150" s="1">
        <f t="shared" si="44"/>
        <v>8.1473834778246795E-2</v>
      </c>
      <c r="R150" s="1">
        <f t="shared" si="45"/>
        <v>3.1169882762668366</v>
      </c>
      <c r="S150" s="1">
        <f t="shared" si="46"/>
        <v>5.0523665024028747E-2</v>
      </c>
      <c r="T150" s="1">
        <f t="shared" si="47"/>
        <v>1041.5774468656068</v>
      </c>
      <c r="U150" s="1">
        <f t="shared" si="48"/>
        <v>1.5331089460532803</v>
      </c>
      <c r="V150" s="1">
        <f t="shared" si="49"/>
        <v>6.8276550769909843</v>
      </c>
      <c r="W150" s="1">
        <f t="shared" si="50"/>
        <v>0.27637607017688914</v>
      </c>
      <c r="X150" s="1"/>
      <c r="Y150" s="1"/>
      <c r="Z150" s="1"/>
      <c r="AA150" s="1"/>
      <c r="AB150" s="1"/>
      <c r="AC150" s="1"/>
      <c r="AD150" s="1"/>
      <c r="AE150" s="1"/>
    </row>
    <row r="151" spans="1:31" ht="22.05" customHeight="1">
      <c r="A151" s="1">
        <f>'01 Traffic inputs'!B101</f>
        <v>7.6065073077052903E-4</v>
      </c>
      <c r="B151" s="1">
        <f>'01 Traffic inputs'!C101</f>
        <v>2.2519595688633441E-4</v>
      </c>
      <c r="C151" s="1">
        <f>IF('01 Traffic inputs'!$B$16&lt;=2/3,(4*A151*(1-A151))^$B$16,1-ABS(2*A151-1)^$B$17)</f>
        <v>2.8249271431356359E-9</v>
      </c>
      <c r="D151" s="1">
        <f>IF('01 Traffic inputs'!$B$16&lt;=2/3,4*$B$16*(1-2*A151)*(4*A151*(1-A151))^($B$16-1),-2*$B$17*SIGN(2*A151-1)*ABS(2*A151-1)^($B$17-1))</f>
        <v>1.2603996519465438E-5</v>
      </c>
      <c r="E151" s="1">
        <f t="shared" si="38"/>
        <v>1.078519911698014</v>
      </c>
      <c r="F151" s="1">
        <f t="shared" si="39"/>
        <v>1.6209129129594387E-2</v>
      </c>
      <c r="G151" s="1">
        <f t="shared" si="40"/>
        <v>1.7481868517551843E-2</v>
      </c>
      <c r="H151" s="1">
        <f>'01 Traffic inputs'!$B$8/F151</f>
        <v>64.161374228378747</v>
      </c>
      <c r="I151" s="1">
        <f>MATCH(H151,'02 Emission rates'!$A$7:$A$15,1)</f>
        <v>6</v>
      </c>
      <c r="J151" s="1">
        <f>INDEX('02 Emission rates'!$D$7:$D$15,I151)</f>
        <v>20615.635195313702</v>
      </c>
      <c r="K151" s="1">
        <f>INDEX('02 Emission rates'!$E$7:$E$15,I151)</f>
        <v>30.344373182827162</v>
      </c>
      <c r="L151" s="1">
        <f>INDEX('02 Emission rates'!$F$7:$F$15,I151)</f>
        <v>135.13776314017983</v>
      </c>
      <c r="M151" s="1">
        <f>INDEX('02 Emission rates'!$G$7:$G$15,I151)</f>
        <v>5.4702300406244557</v>
      </c>
      <c r="N151" s="1">
        <f t="shared" si="41"/>
        <v>360.39982389028836</v>
      </c>
      <c r="O151" s="1">
        <f t="shared" si="42"/>
        <v>0.53047634222971063</v>
      </c>
      <c r="P151" s="1">
        <f t="shared" si="43"/>
        <v>2.3624606069726877</v>
      </c>
      <c r="Q151" s="1">
        <f t="shared" si="44"/>
        <v>9.5629842330959017E-2</v>
      </c>
      <c r="R151" s="1">
        <f t="shared" si="45"/>
        <v>4.195508187964851</v>
      </c>
      <c r="S151" s="1">
        <f t="shared" si="46"/>
        <v>6.8005533541580593E-2</v>
      </c>
      <c r="T151" s="1">
        <f t="shared" si="47"/>
        <v>1401.9772707558952</v>
      </c>
      <c r="U151" s="1">
        <f t="shared" si="48"/>
        <v>2.063585288282991</v>
      </c>
      <c r="V151" s="1">
        <f t="shared" si="49"/>
        <v>9.190115683963672</v>
      </c>
      <c r="W151" s="1">
        <f t="shared" si="50"/>
        <v>0.37200591250784815</v>
      </c>
      <c r="X151" s="1"/>
      <c r="Y151" s="1"/>
      <c r="Z151" s="1"/>
      <c r="AA151" s="1"/>
      <c r="AB151" s="1"/>
      <c r="AC151" s="1"/>
      <c r="AD151" s="1"/>
      <c r="AE151" s="1"/>
    </row>
    <row r="152" spans="1:31" ht="22.05" customHeight="1">
      <c r="A152" s="1">
        <f>'01 Traffic inputs'!B102</f>
        <v>1.002508313603101E-3</v>
      </c>
      <c r="B152" s="1">
        <f>'01 Traffic inputs'!C102</f>
        <v>2.5851652267457222E-4</v>
      </c>
      <c r="C152" s="1">
        <f>IF('01 Traffic inputs'!$B$16&lt;=2/3,(4*A152*(1-A152))^$B$16,1-ABS(2*A152-1)^$B$17)</f>
        <v>7.2091824919212468E-9</v>
      </c>
      <c r="D152" s="1">
        <f>IF('01 Traffic inputs'!$B$16&lt;=2/3,4*$B$16*(1-2*A152)*(4*A152*(1-A152))^($B$16-1),-2*$B$17*SIGN(2*A152-1)*ABS(2*A152-1)^($B$17-1))</f>
        <v>2.4399393468308416E-5</v>
      </c>
      <c r="E152" s="1">
        <f t="shared" si="38"/>
        <v>1.238100645518236</v>
      </c>
      <c r="F152" s="1">
        <f t="shared" si="39"/>
        <v>1.6209129380986488E-2</v>
      </c>
      <c r="G152" s="1">
        <f t="shared" si="40"/>
        <v>2.0068533549887975E-2</v>
      </c>
      <c r="H152" s="1">
        <f>'01 Traffic inputs'!$B$8/F152</f>
        <v>64.161373233281338</v>
      </c>
      <c r="I152" s="1">
        <f>MATCH(H152,'02 Emission rates'!$A$7:$A$15,1)</f>
        <v>6</v>
      </c>
      <c r="J152" s="1">
        <f>INDEX('02 Emission rates'!$D$7:$D$15,I152)</f>
        <v>20615.635195313702</v>
      </c>
      <c r="K152" s="1">
        <f>INDEX('02 Emission rates'!$E$7:$E$15,I152)</f>
        <v>30.344373182827162</v>
      </c>
      <c r="L152" s="1">
        <f>INDEX('02 Emission rates'!$F$7:$F$15,I152)</f>
        <v>135.13776314017983</v>
      </c>
      <c r="M152" s="1">
        <f>INDEX('02 Emission rates'!$G$7:$G$15,I152)</f>
        <v>5.4702300406244557</v>
      </c>
      <c r="N152" s="1">
        <f t="shared" si="41"/>
        <v>413.72556656940435</v>
      </c>
      <c r="O152" s="1">
        <f t="shared" si="42"/>
        <v>0.60896707126988792</v>
      </c>
      <c r="P152" s="1">
        <f t="shared" si="43"/>
        <v>2.7120167334355134</v>
      </c>
      <c r="Q152" s="1">
        <f t="shared" si="44"/>
        <v>0.10977949509587695</v>
      </c>
      <c r="R152" s="1">
        <f t="shared" si="45"/>
        <v>5.4336088334830865</v>
      </c>
      <c r="S152" s="1">
        <f t="shared" si="46"/>
        <v>8.8074067091468561E-2</v>
      </c>
      <c r="T152" s="1">
        <f t="shared" si="47"/>
        <v>1815.7028373252997</v>
      </c>
      <c r="U152" s="1">
        <f t="shared" si="48"/>
        <v>2.6725523595528791</v>
      </c>
      <c r="V152" s="1">
        <f t="shared" si="49"/>
        <v>11.902132417399185</v>
      </c>
      <c r="W152" s="1">
        <f t="shared" si="50"/>
        <v>0.48178540760372512</v>
      </c>
      <c r="X152" s="1"/>
      <c r="Y152" s="1"/>
      <c r="Z152" s="1"/>
      <c r="AA152" s="1"/>
      <c r="AB152" s="1"/>
      <c r="AC152" s="1"/>
      <c r="AD152" s="1"/>
      <c r="AE152" s="1"/>
    </row>
    <row r="153" spans="1:31" ht="22.05" customHeight="1">
      <c r="A153" s="1">
        <f>'01 Traffic inputs'!B103</f>
        <v>1.2776780305446267E-3</v>
      </c>
      <c r="B153" s="1">
        <f>'01 Traffic inputs'!C103</f>
        <v>2.918198521325239E-4</v>
      </c>
      <c r="C153" s="1">
        <f>IF('01 Traffic inputs'!$B$16&lt;=2/3,(4*A153*(1-A153))^$B$16,1-ABS(2*A153-1)^$B$17)</f>
        <v>1.6414690595394519E-8</v>
      </c>
      <c r="D153" s="1">
        <f>IF('01 Traffic inputs'!$B$16&lt;=2/3,4*$B$16*(1-2*A153)*(4*A153*(1-A153))^($B$16-1),-2*$B$17*SIGN(2*A153-1)*ABS(2*A153-1)^($B$17-1))</f>
        <v>4.3578507612963431E-5</v>
      </c>
      <c r="E153" s="1">
        <f t="shared" si="38"/>
        <v>1.3975990117055477</v>
      </c>
      <c r="F153" s="1">
        <f t="shared" si="39"/>
        <v>1.6209129908828019E-2</v>
      </c>
      <c r="G153" s="1">
        <f t="shared" si="40"/>
        <v>2.2653863941184873E-2</v>
      </c>
      <c r="H153" s="1">
        <f>'01 Traffic inputs'!$B$8/F153</f>
        <v>64.161371143900979</v>
      </c>
      <c r="I153" s="1">
        <f>MATCH(H153,'02 Emission rates'!$A$7:$A$15,1)</f>
        <v>6</v>
      </c>
      <c r="J153" s="1">
        <f>INDEX('02 Emission rates'!$D$7:$D$15,I153)</f>
        <v>20615.635195313702</v>
      </c>
      <c r="K153" s="1">
        <f>INDEX('02 Emission rates'!$E$7:$E$15,I153)</f>
        <v>30.344373182827162</v>
      </c>
      <c r="L153" s="1">
        <f>INDEX('02 Emission rates'!$F$7:$F$15,I153)</f>
        <v>135.13776314017983</v>
      </c>
      <c r="M153" s="1">
        <f>INDEX('02 Emission rates'!$G$7:$G$15,I153)</f>
        <v>5.4702300406244557</v>
      </c>
      <c r="N153" s="1">
        <f t="shared" si="41"/>
        <v>467.02379477573885</v>
      </c>
      <c r="O153" s="1">
        <f t="shared" si="42"/>
        <v>0.68741730146430546</v>
      </c>
      <c r="P153" s="1">
        <f t="shared" si="43"/>
        <v>3.0613924994937021</v>
      </c>
      <c r="Q153" s="1">
        <f t="shared" si="44"/>
        <v>0.12392184706728862</v>
      </c>
      <c r="R153" s="1">
        <f t="shared" si="45"/>
        <v>6.8312078451886347</v>
      </c>
      <c r="S153" s="1">
        <f t="shared" si="46"/>
        <v>0.11072793103265344</v>
      </c>
      <c r="T153" s="1">
        <f t="shared" si="47"/>
        <v>2282.7266321010384</v>
      </c>
      <c r="U153" s="1">
        <f t="shared" si="48"/>
        <v>3.3599696610171845</v>
      </c>
      <c r="V153" s="1">
        <f t="shared" si="49"/>
        <v>14.963524916892887</v>
      </c>
      <c r="W153" s="1">
        <f t="shared" si="50"/>
        <v>0.60570725467101372</v>
      </c>
      <c r="X153" s="1"/>
      <c r="Y153" s="1"/>
      <c r="Z153" s="1"/>
      <c r="AA153" s="1"/>
      <c r="AB153" s="1"/>
      <c r="AC153" s="1"/>
      <c r="AD153" s="1"/>
      <c r="AE153" s="1"/>
    </row>
    <row r="154" spans="1:31" ht="22.05" customHeight="1">
      <c r="A154" s="1">
        <f>'01 Traffic inputs'!B104</f>
        <v>1.5861415279543323E-3</v>
      </c>
      <c r="B154" s="1">
        <f>'01 Traffic inputs'!C104</f>
        <v>3.2510371204802138E-4</v>
      </c>
      <c r="C154" s="1">
        <f>IF('01 Traffic inputs'!$B$16&lt;=2/3,(4*A154*(1-A154))^$B$16,1-ABS(2*A154-1)^$B$17)</f>
        <v>3.4179629408205456E-8</v>
      </c>
      <c r="D154" s="1">
        <f>IF('01 Traffic inputs'!$B$16&lt;=2/3,4*$B$16*(1-2*A154)*(4*A154*(1-A154))^($B$16-1),-2*$B$17*SIGN(2*A154-1)*ABS(2*A154-1)^($B$17-1))</f>
        <v>7.3072161123535664E-5</v>
      </c>
      <c r="E154" s="1">
        <f t="shared" si="38"/>
        <v>1.5570044191147192</v>
      </c>
      <c r="F154" s="1">
        <f t="shared" si="39"/>
        <v>1.6209130927465166E-2</v>
      </c>
      <c r="G154" s="1">
        <f t="shared" si="40"/>
        <v>2.5237688484072332E-2</v>
      </c>
      <c r="H154" s="1">
        <f>'01 Traffic inputs'!$B$8/F154</f>
        <v>64.161367111781288</v>
      </c>
      <c r="I154" s="1">
        <f>MATCH(H154,'02 Emission rates'!$A$7:$A$15,1)</f>
        <v>6</v>
      </c>
      <c r="J154" s="1">
        <f>INDEX('02 Emission rates'!$D$7:$D$15,I154)</f>
        <v>20615.635195313702</v>
      </c>
      <c r="K154" s="1">
        <f>INDEX('02 Emission rates'!$E$7:$E$15,I154)</f>
        <v>30.344373182827162</v>
      </c>
      <c r="L154" s="1">
        <f>INDEX('02 Emission rates'!$F$7:$F$15,I154)</f>
        <v>135.13776314017983</v>
      </c>
      <c r="M154" s="1">
        <f>INDEX('02 Emission rates'!$G$7:$G$15,I154)</f>
        <v>5.4702300406244557</v>
      </c>
      <c r="N154" s="1">
        <f t="shared" si="41"/>
        <v>520.29097896060489</v>
      </c>
      <c r="O154" s="1">
        <f t="shared" si="42"/>
        <v>0.76582183763263034</v>
      </c>
      <c r="P154" s="1">
        <f t="shared" si="43"/>
        <v>3.410564768566211</v>
      </c>
      <c r="Q154" s="1">
        <f t="shared" si="44"/>
        <v>0.13805596170149434</v>
      </c>
      <c r="R154" s="1">
        <f t="shared" si="45"/>
        <v>8.3882122643033536</v>
      </c>
      <c r="S154" s="1">
        <f t="shared" si="46"/>
        <v>0.13596561951672576</v>
      </c>
      <c r="T154" s="1">
        <f t="shared" si="47"/>
        <v>2803.017611061643</v>
      </c>
      <c r="U154" s="1">
        <f t="shared" si="48"/>
        <v>4.1257914986498152</v>
      </c>
      <c r="V154" s="1">
        <f t="shared" si="49"/>
        <v>18.374089685459097</v>
      </c>
      <c r="W154" s="1">
        <f t="shared" si="50"/>
        <v>0.74376321637250808</v>
      </c>
      <c r="X154" s="1"/>
      <c r="Y154" s="1"/>
      <c r="Z154" s="1"/>
      <c r="AA154" s="1"/>
      <c r="AB154" s="1"/>
      <c r="AC154" s="1"/>
      <c r="AD154" s="1"/>
      <c r="AE154" s="1"/>
    </row>
    <row r="155" spans="1:31" ht="22.05" customHeight="1">
      <c r="A155" s="1">
        <f>'01 Traffic inputs'!B105</f>
        <v>1.927878222445667E-3</v>
      </c>
      <c r="B155" s="1">
        <f>'01 Traffic inputs'!C105</f>
        <v>3.5836587549676951E-4</v>
      </c>
      <c r="C155" s="1">
        <f>IF('01 Traffic inputs'!$B$16&lt;=2/3,(4*A155*(1-A155))^$B$16,1-ABS(2*A155-1)^$B$17)</f>
        <v>6.6231439164786948E-8</v>
      </c>
      <c r="D155" s="1">
        <f>IF('01 Traffic inputs'!$B$16&lt;=2/3,4*$B$16*(1-2*A155)*(4*A155*(1-A155))^($B$16-1),-2*$B$17*SIGN(2*A155-1)*ABS(2*A155-1)^($B$17-1))</f>
        <v>1.1645601711743279E-4</v>
      </c>
      <c r="E155" s="1">
        <f t="shared" si="38"/>
        <v>1.7163063449780644</v>
      </c>
      <c r="F155" s="1">
        <f t="shared" si="39"/>
        <v>1.6209132765307915E-2</v>
      </c>
      <c r="G155" s="1">
        <f t="shared" si="40"/>
        <v>2.7819837411689814E-2</v>
      </c>
      <c r="H155" s="1">
        <f>'01 Traffic inputs'!$B$8/F155</f>
        <v>64.161359836962518</v>
      </c>
      <c r="I155" s="1">
        <f>MATCH(H155,'02 Emission rates'!$A$7:$A$15,1)</f>
        <v>6</v>
      </c>
      <c r="J155" s="1">
        <f>INDEX('02 Emission rates'!$D$7:$D$15,I155)</f>
        <v>20615.635195313702</v>
      </c>
      <c r="K155" s="1">
        <f>INDEX('02 Emission rates'!$E$7:$E$15,I155)</f>
        <v>30.344373182827162</v>
      </c>
      <c r="L155" s="1">
        <f>INDEX('02 Emission rates'!$F$7:$F$15,I155)</f>
        <v>135.13776314017983</v>
      </c>
      <c r="M155" s="1">
        <f>INDEX('02 Emission rates'!$G$7:$G$15,I155)</f>
        <v>5.4702300406244557</v>
      </c>
      <c r="N155" s="1">
        <f t="shared" si="41"/>
        <v>573.52361927233733</v>
      </c>
      <c r="O155" s="1">
        <f t="shared" si="42"/>
        <v>0.84417552830589226</v>
      </c>
      <c r="P155" s="1">
        <f t="shared" si="43"/>
        <v>3.7595105987392516</v>
      </c>
      <c r="Q155" s="1">
        <f t="shared" si="44"/>
        <v>0.15218091033471373</v>
      </c>
      <c r="R155" s="1">
        <f t="shared" si="45"/>
        <v>10.104518609281419</v>
      </c>
      <c r="S155" s="1">
        <f t="shared" si="46"/>
        <v>0.16378545692841556</v>
      </c>
      <c r="T155" s="1">
        <f t="shared" si="47"/>
        <v>3376.5412303339804</v>
      </c>
      <c r="U155" s="1">
        <f t="shared" si="48"/>
        <v>4.9699670269557075</v>
      </c>
      <c r="V155" s="1">
        <f t="shared" si="49"/>
        <v>22.133600284198348</v>
      </c>
      <c r="W155" s="1">
        <f t="shared" si="50"/>
        <v>0.89594412670722179</v>
      </c>
      <c r="X155" s="1"/>
      <c r="Y155" s="1"/>
      <c r="Z155" s="1"/>
      <c r="AA155" s="1"/>
      <c r="AB155" s="1"/>
      <c r="AC155" s="1"/>
      <c r="AD155" s="1"/>
      <c r="AE155" s="1"/>
    </row>
    <row r="156" spans="1:31" ht="22.05" customHeight="1">
      <c r="A156" s="1">
        <f>'01 Traffic inputs'!B106</f>
        <v>2.3028653057023396E-3</v>
      </c>
      <c r="B156" s="1">
        <f>'01 Traffic inputs'!C106</f>
        <v>3.9160411929540259E-4</v>
      </c>
      <c r="C156" s="1">
        <f>IF('01 Traffic inputs'!$B$16&lt;=2/3,(4*A156*(1-A156))^$B$16,1-ABS(2*A156-1)^$B$17)</f>
        <v>1.2096878806372224E-7</v>
      </c>
      <c r="D156" s="1">
        <f>IF('01 Traffic inputs'!$B$16&lt;=2/3,4*$B$16*(1-2*A156)*(4*A156*(1-A156))^($B$16-1),-2*$B$17*SIGN(2*A156-1)*ABS(2*A156-1)^($B$17-1))</f>
        <v>1.7799927671428384E-4</v>
      </c>
      <c r="E156" s="1">
        <f t="shared" si="38"/>
        <v>1.8754943304452685</v>
      </c>
      <c r="F156" s="1">
        <f t="shared" si="39"/>
        <v>1.6209135903933799E-2</v>
      </c>
      <c r="G156" s="1">
        <f t="shared" si="40"/>
        <v>3.0400142489244681E-2</v>
      </c>
      <c r="H156" s="1">
        <f>'01 Traffic inputs'!$B$8/F156</f>
        <v>64.161347413196935</v>
      </c>
      <c r="I156" s="1">
        <f>MATCH(H156,'02 Emission rates'!$A$7:$A$15,1)</f>
        <v>6</v>
      </c>
      <c r="J156" s="1">
        <f>INDEX('02 Emission rates'!$D$7:$D$15,I156)</f>
        <v>20615.635195313702</v>
      </c>
      <c r="K156" s="1">
        <f>INDEX('02 Emission rates'!$E$7:$E$15,I156)</f>
        <v>30.344373182827162</v>
      </c>
      <c r="L156" s="1">
        <f>INDEX('02 Emission rates'!$F$7:$F$15,I156)</f>
        <v>135.13776314017983</v>
      </c>
      <c r="M156" s="1">
        <f>INDEX('02 Emission rates'!$G$7:$G$15,I156)</f>
        <v>5.4702300406244557</v>
      </c>
      <c r="N156" s="1">
        <f t="shared" si="41"/>
        <v>626.71824744382411</v>
      </c>
      <c r="O156" s="1">
        <f t="shared" si="42"/>
        <v>0.92247326850476086</v>
      </c>
      <c r="P156" s="1">
        <f t="shared" si="43"/>
        <v>4.1082072551392645</v>
      </c>
      <c r="Q156" s="1">
        <f t="shared" si="44"/>
        <v>0.16629577268393017</v>
      </c>
      <c r="R156" s="1">
        <f t="shared" si="45"/>
        <v>11.980012939726688</v>
      </c>
      <c r="S156" s="1">
        <f t="shared" si="46"/>
        <v>0.19418559941766025</v>
      </c>
      <c r="T156" s="1">
        <f t="shared" si="47"/>
        <v>4003.2594777778045</v>
      </c>
      <c r="U156" s="1">
        <f t="shared" si="48"/>
        <v>5.8924402954604682</v>
      </c>
      <c r="V156" s="1">
        <f t="shared" si="49"/>
        <v>26.241807539337614</v>
      </c>
      <c r="W156" s="1">
        <f t="shared" si="50"/>
        <v>1.0622398993911519</v>
      </c>
      <c r="X156" s="1"/>
      <c r="Y156" s="1"/>
      <c r="Z156" s="1"/>
      <c r="AA156" s="1"/>
      <c r="AB156" s="1"/>
      <c r="AC156" s="1"/>
      <c r="AD156" s="1"/>
      <c r="AE156" s="1"/>
    </row>
    <row r="157" spans="1:31" ht="22.05" customHeight="1">
      <c r="A157" s="1">
        <f>'01 Traffic inputs'!B107</f>
        <v>2.7110777476466175E-3</v>
      </c>
      <c r="B157" s="1">
        <f>'01 Traffic inputs'!C107</f>
        <v>4.2481622300186752E-4</v>
      </c>
      <c r="C157" s="1">
        <f>IF('01 Traffic inputs'!$B$16&lt;=2/3,(4*A157*(1-A157))^$B$16,1-ABS(2*A157-1)^$B$17)</f>
        <v>2.1027286372029421E-7</v>
      </c>
      <c r="D157" s="1">
        <f>IF('01 Traffic inputs'!$B$16&lt;=2/3,4*$B$16*(1-2*A157)*(4*A157*(1-A157))^($B$16-1),-2*$B$17*SIGN(2*A157-1)*ABS(2*A157-1)^($B$17-1))</f>
        <v>2.6270968051856118E-4</v>
      </c>
      <c r="E157" s="1">
        <f t="shared" si="38"/>
        <v>2.0345579840121486</v>
      </c>
      <c r="F157" s="1">
        <f t="shared" si="39"/>
        <v>1.6209141024607143E-2</v>
      </c>
      <c r="G157" s="1">
        <f t="shared" si="40"/>
        <v>3.2978437285593319E-2</v>
      </c>
      <c r="H157" s="1">
        <f>'01 Traffic inputs'!$B$8/F157</f>
        <v>64.161327143813082</v>
      </c>
      <c r="I157" s="1">
        <f>MATCH(H157,'02 Emission rates'!$A$7:$A$15,1)</f>
        <v>6</v>
      </c>
      <c r="J157" s="1">
        <f>INDEX('02 Emission rates'!$D$7:$D$15,I157)</f>
        <v>20615.635195313702</v>
      </c>
      <c r="K157" s="1">
        <f>INDEX('02 Emission rates'!$E$7:$E$15,I157)</f>
        <v>30.344373182827162</v>
      </c>
      <c r="L157" s="1">
        <f>INDEX('02 Emission rates'!$F$7:$F$15,I157)</f>
        <v>135.13776314017983</v>
      </c>
      <c r="M157" s="1">
        <f>INDEX('02 Emission rates'!$G$7:$G$15,I157)</f>
        <v>5.4702300406244557</v>
      </c>
      <c r="N157" s="1">
        <f t="shared" si="41"/>
        <v>679.87143239132331</v>
      </c>
      <c r="O157" s="1">
        <f t="shared" si="42"/>
        <v>1.0007100079805054</v>
      </c>
      <c r="P157" s="1">
        <f t="shared" si="43"/>
        <v>4.4566322466337853</v>
      </c>
      <c r="Q157" s="1">
        <f t="shared" si="44"/>
        <v>0.18039963833250222</v>
      </c>
      <c r="R157" s="1">
        <f t="shared" si="45"/>
        <v>14.014570923738837</v>
      </c>
      <c r="S157" s="1">
        <f t="shared" si="46"/>
        <v>0.22716403670325358</v>
      </c>
      <c r="T157" s="1">
        <f t="shared" si="47"/>
        <v>4683.1309101691277</v>
      </c>
      <c r="U157" s="1">
        <f t="shared" si="48"/>
        <v>6.893150303440974</v>
      </c>
      <c r="V157" s="1">
        <f t="shared" si="49"/>
        <v>30.698439785971399</v>
      </c>
      <c r="W157" s="1">
        <f t="shared" si="50"/>
        <v>1.2426395377236541</v>
      </c>
      <c r="X157" s="1"/>
      <c r="Y157" s="1"/>
      <c r="Z157" s="1"/>
      <c r="AA157" s="1"/>
      <c r="AB157" s="1"/>
      <c r="AC157" s="1"/>
      <c r="AD157" s="1"/>
      <c r="AE157" s="1"/>
    </row>
    <row r="158" spans="1:31" ht="22.05" customHeight="1">
      <c r="A158" s="1">
        <f>'01 Traffic inputs'!B108</f>
        <v>3.1524882989558689E-3</v>
      </c>
      <c r="B158" s="1">
        <f>'01 Traffic inputs'!C108</f>
        <v>4.5799996853102573E-4</v>
      </c>
      <c r="C158" s="1">
        <f>IF('01 Traffic inputs'!$B$16&lt;=2/3,(4*A158*(1-A158))^$B$16,1-ABS(2*A158-1)^$B$17)</f>
        <v>3.5045526963936521E-7</v>
      </c>
      <c r="D158" s="1">
        <f>IF('01 Traffic inputs'!$B$16&lt;=2/3,4*$B$16*(1-2*A158)*(4*A158*(1-A158))^($B$16-1),-2*$B$17*SIGN(2*A158-1)*ABS(2*A158-1)^($B$17-1))</f>
        <v>3.763747938958158E-4</v>
      </c>
      <c r="E158" s="1">
        <f t="shared" si="38"/>
        <v>2.1934869883158137</v>
      </c>
      <c r="F158" s="1">
        <f t="shared" si="39"/>
        <v>1.6209149062631212E-2</v>
      </c>
      <c r="G158" s="1">
        <f t="shared" si="40"/>
        <v>3.5554557560553028E-2</v>
      </c>
      <c r="H158" s="1">
        <f>'01 Traffic inputs'!$B$8/F158</f>
        <v>64.16129532657888</v>
      </c>
      <c r="I158" s="1">
        <f>MATCH(H158,'02 Emission rates'!$A$7:$A$15,1)</f>
        <v>6</v>
      </c>
      <c r="J158" s="1">
        <f>INDEX('02 Emission rates'!$D$7:$D$15,I158)</f>
        <v>20615.635195313702</v>
      </c>
      <c r="K158" s="1">
        <f>INDEX('02 Emission rates'!$E$7:$E$15,I158)</f>
        <v>30.344373182827162</v>
      </c>
      <c r="L158" s="1">
        <f>INDEX('02 Emission rates'!$F$7:$F$15,I158)</f>
        <v>135.13776314017983</v>
      </c>
      <c r="M158" s="1">
        <f>INDEX('02 Emission rates'!$G$7:$G$15,I158)</f>
        <v>5.4702300406244557</v>
      </c>
      <c r="N158" s="1">
        <f t="shared" si="41"/>
        <v>732.97978819914385</v>
      </c>
      <c r="O158" s="1">
        <f t="shared" si="42"/>
        <v>1.0788807629677299</v>
      </c>
      <c r="P158" s="1">
        <f t="shared" si="43"/>
        <v>4.8047633781719048</v>
      </c>
      <c r="Q158" s="1">
        <f t="shared" si="44"/>
        <v>0.19449160884884853</v>
      </c>
      <c r="R158" s="1">
        <f t="shared" si="45"/>
        <v>16.208057912054652</v>
      </c>
      <c r="S158" s="1">
        <f t="shared" si="46"/>
        <v>0.26271859426380662</v>
      </c>
      <c r="T158" s="1">
        <f t="shared" si="47"/>
        <v>5416.1106983682712</v>
      </c>
      <c r="U158" s="1">
        <f t="shared" si="48"/>
        <v>7.9720310664087037</v>
      </c>
      <c r="V158" s="1">
        <f t="shared" si="49"/>
        <v>35.503203164143301</v>
      </c>
      <c r="W158" s="1">
        <f t="shared" si="50"/>
        <v>1.4371311465725025</v>
      </c>
      <c r="X158" s="1"/>
      <c r="Y158" s="1"/>
      <c r="Z158" s="1"/>
      <c r="AA158" s="1"/>
      <c r="AB158" s="1"/>
      <c r="AC158" s="1"/>
      <c r="AD158" s="1"/>
      <c r="AE158" s="1"/>
    </row>
    <row r="159" spans="1:31" ht="22.05" customHeight="1">
      <c r="A159" s="1">
        <f>'01 Traffic inputs'!B109</f>
        <v>3.6270674933423508E-3</v>
      </c>
      <c r="B159" s="1">
        <f>'01 Traffic inputs'!C109</f>
        <v>4.911531400330942E-4</v>
      </c>
      <c r="C159" s="1">
        <f>IF('01 Traffic inputs'!$B$16&lt;=2/3,(4*A159*(1-A159))^$B$16,1-ABS(2*A159-1)^$B$17)</f>
        <v>5.633488511161741E-7</v>
      </c>
      <c r="D159" s="1">
        <f>IF('01 Traffic inputs'!$B$16&lt;=2/3,4*$B$16*(1-2*A159)*(4*A159*(1-A159))^($B$16-1),-2*$B$17*SIGN(2*A159-1)*ABS(2*A159-1)^($B$17-1))</f>
        <v>5.2559953865261532E-4</v>
      </c>
      <c r="E159" s="1">
        <f t="shared" si="38"/>
        <v>2.3522711085491603</v>
      </c>
      <c r="F159" s="1">
        <f t="shared" si="39"/>
        <v>1.6209161269895883E-2</v>
      </c>
      <c r="G159" s="1">
        <f t="shared" si="40"/>
        <v>3.8128341748990102E-2</v>
      </c>
      <c r="H159" s="1">
        <f>'01 Traffic inputs'!$B$8/F159</f>
        <v>64.161247006132157</v>
      </c>
      <c r="I159" s="1">
        <f>MATCH(H159,'02 Emission rates'!$A$7:$A$15,1)</f>
        <v>6</v>
      </c>
      <c r="J159" s="1">
        <f>INDEX('02 Emission rates'!$D$7:$D$15,I159)</f>
        <v>20615.635195313702</v>
      </c>
      <c r="K159" s="1">
        <f>INDEX('02 Emission rates'!$E$7:$E$15,I159)</f>
        <v>30.344373182827162</v>
      </c>
      <c r="L159" s="1">
        <f>INDEX('02 Emission rates'!$F$7:$F$15,I159)</f>
        <v>135.13776314017983</v>
      </c>
      <c r="M159" s="1">
        <f>INDEX('02 Emission rates'!$G$7:$G$15,I159)</f>
        <v>5.4702300406244557</v>
      </c>
      <c r="N159" s="1">
        <f t="shared" si="41"/>
        <v>786.03998409942915</v>
      </c>
      <c r="O159" s="1">
        <f t="shared" si="42"/>
        <v>1.1569806308737245</v>
      </c>
      <c r="P159" s="1">
        <f t="shared" si="43"/>
        <v>5.1525788162028547</v>
      </c>
      <c r="Q159" s="1">
        <f t="shared" si="44"/>
        <v>0.20857080043452125</v>
      </c>
      <c r="R159" s="1">
        <f t="shared" si="45"/>
        <v>18.560329020603813</v>
      </c>
      <c r="S159" s="1">
        <f t="shared" si="46"/>
        <v>0.30084693601279672</v>
      </c>
      <c r="T159" s="1">
        <f t="shared" si="47"/>
        <v>6202.1506824676999</v>
      </c>
      <c r="U159" s="1">
        <f t="shared" si="48"/>
        <v>9.1290116972824276</v>
      </c>
      <c r="V159" s="1">
        <f t="shared" si="49"/>
        <v>40.655781980346156</v>
      </c>
      <c r="W159" s="1">
        <f t="shared" si="50"/>
        <v>1.6457019470070238</v>
      </c>
      <c r="X159" s="1"/>
      <c r="Y159" s="1"/>
      <c r="Z159" s="1"/>
      <c r="AA159" s="1"/>
      <c r="AB159" s="1"/>
      <c r="AC159" s="1"/>
      <c r="AD159" s="1"/>
      <c r="AE159" s="1"/>
    </row>
    <row r="160" spans="1:31" ht="22.05" customHeight="1">
      <c r="A160" s="1">
        <f>'01 Traffic inputs'!B110</f>
        <v>4.1347836497839796E-3</v>
      </c>
      <c r="B160" s="1">
        <f>'01 Traffic inputs'!C110</f>
        <v>5.2427352389644024E-4</v>
      </c>
      <c r="C160" s="1">
        <f>IF('01 Traffic inputs'!$B$16&lt;=2/3,(4*A160*(1-A160))^$B$16,1-ABS(2*A160-1)^$B$17)</f>
        <v>8.7754680323131847E-7</v>
      </c>
      <c r="D160" s="1">
        <f>IF('01 Traffic inputs'!$B$16&lt;=2/3,4*$B$16*(1-2*A160)*(4*A160*(1-A160))^($B$16-1),-2*$B$17*SIGN(2*A160-1)*ABS(2*A160-1)^($B$17-1))</f>
        <v>7.17839923905774E-4</v>
      </c>
      <c r="E160" s="1">
        <f t="shared" si="38"/>
        <v>2.5109002017709425</v>
      </c>
      <c r="F160" s="1">
        <f t="shared" si="39"/>
        <v>1.6209179285927813E-2</v>
      </c>
      <c r="G160" s="1">
        <f t="shared" si="40"/>
        <v>4.0699631539577528E-2</v>
      </c>
      <c r="H160" s="1">
        <f>'01 Traffic inputs'!$B$8/F160</f>
        <v>64.161175692769874</v>
      </c>
      <c r="I160" s="1">
        <f>MATCH(H160,'02 Emission rates'!$A$7:$A$15,1)</f>
        <v>6</v>
      </c>
      <c r="J160" s="1">
        <f>INDEX('02 Emission rates'!$D$7:$D$15,I160)</f>
        <v>20615.635195313702</v>
      </c>
      <c r="K160" s="1">
        <f>INDEX('02 Emission rates'!$E$7:$E$15,I160)</f>
        <v>30.344373182827162</v>
      </c>
      <c r="L160" s="1">
        <f>INDEX('02 Emission rates'!$F$7:$F$15,I160)</f>
        <v>135.13776314017983</v>
      </c>
      <c r="M160" s="1">
        <f>INDEX('02 Emission rates'!$G$7:$G$15,I160)</f>
        <v>5.4702300406244557</v>
      </c>
      <c r="N160" s="1">
        <f t="shared" si="41"/>
        <v>839.04875640361411</v>
      </c>
      <c r="O160" s="1">
        <f t="shared" si="42"/>
        <v>1.2350048078405029</v>
      </c>
      <c r="P160" s="1">
        <f t="shared" si="43"/>
        <v>5.5000571668880207</v>
      </c>
      <c r="Q160" s="1">
        <f t="shared" si="44"/>
        <v>0.22263634709014357</v>
      </c>
      <c r="R160" s="1">
        <f t="shared" si="45"/>
        <v>21.071229222374754</v>
      </c>
      <c r="S160" s="1">
        <f t="shared" si="46"/>
        <v>0.34154656755237423</v>
      </c>
      <c r="T160" s="1">
        <f t="shared" si="47"/>
        <v>7041.1994388713138</v>
      </c>
      <c r="U160" s="1">
        <f t="shared" si="48"/>
        <v>10.36401650512293</v>
      </c>
      <c r="V160" s="1">
        <f t="shared" si="49"/>
        <v>46.155839147234175</v>
      </c>
      <c r="W160" s="1">
        <f t="shared" si="50"/>
        <v>1.8683382940971673</v>
      </c>
      <c r="X160" s="1"/>
      <c r="Y160" s="1"/>
      <c r="Z160" s="1"/>
      <c r="AA160" s="1"/>
      <c r="AB160" s="1"/>
      <c r="AC160" s="1"/>
      <c r="AD160" s="1"/>
      <c r="AE160" s="1"/>
    </row>
    <row r="161" spans="1:31" ht="22.05" customHeight="1">
      <c r="A161" s="1">
        <f>'01 Traffic inputs'!B111</f>
        <v>4.675602874796958E-3</v>
      </c>
      <c r="B161" s="1">
        <f>'01 Traffic inputs'!C111</f>
        <v>5.5735890882341473E-4</v>
      </c>
      <c r="C161" s="1">
        <f>IF('01 Traffic inputs'!$B$16&lt;=2/3,(4*A161*(1-A161))^$B$16,1-ABS(2*A161-1)^$B$17)</f>
        <v>1.3297944249565647E-6</v>
      </c>
      <c r="D161" s="1">
        <f>IF('01 Traffic inputs'!$B$16&lt;=2/3,4*$B$16*(1-2*A161)*(4*A161*(1-A161))^($B$16-1),-2*$B$17*SIGN(2*A161-1)*ABS(2*A161-1)^($B$17-1))</f>
        <v>9.6143292394013937E-4</v>
      </c>
      <c r="E161" s="1">
        <f t="shared" si="38"/>
        <v>2.6693642268041353</v>
      </c>
      <c r="F161" s="1">
        <f t="shared" si="39"/>
        <v>1.6209205217693243E-2</v>
      </c>
      <c r="G161" s="1">
        <f t="shared" si="40"/>
        <v>4.3268272553037279E-2</v>
      </c>
      <c r="H161" s="1">
        <f>'01 Traffic inputs'!$B$8/F161</f>
        <v>64.161073046616934</v>
      </c>
      <c r="I161" s="1">
        <f>MATCH(H161,'02 Emission rates'!$A$7:$A$15,1)</f>
        <v>6</v>
      </c>
      <c r="J161" s="1">
        <f>INDEX('02 Emission rates'!$D$7:$D$15,I161)</f>
        <v>20615.635195313702</v>
      </c>
      <c r="K161" s="1">
        <f>INDEX('02 Emission rates'!$E$7:$E$15,I161)</f>
        <v>30.344373182827162</v>
      </c>
      <c r="L161" s="1">
        <f>INDEX('02 Emission rates'!$F$7:$F$15,I161)</f>
        <v>135.13776314017983</v>
      </c>
      <c r="M161" s="1">
        <f>INDEX('02 Emission rates'!$G$7:$G$15,I161)</f>
        <v>5.4702300406244557</v>
      </c>
      <c r="N161" s="1">
        <f t="shared" si="41"/>
        <v>892.00292248482117</v>
      </c>
      <c r="O161" s="1">
        <f t="shared" si="42"/>
        <v>1.3129486093256411</v>
      </c>
      <c r="P161" s="1">
        <f t="shared" si="43"/>
        <v>5.8471775677570959</v>
      </c>
      <c r="Q161" s="1">
        <f t="shared" si="44"/>
        <v>0.23668740432555113</v>
      </c>
      <c r="R161" s="1">
        <f t="shared" si="45"/>
        <v>23.740593449178888</v>
      </c>
      <c r="S161" s="1">
        <f t="shared" si="46"/>
        <v>0.3848148401054115</v>
      </c>
      <c r="T161" s="1">
        <f t="shared" si="47"/>
        <v>7933.202361356135</v>
      </c>
      <c r="U161" s="1">
        <f t="shared" si="48"/>
        <v>11.676965114448571</v>
      </c>
      <c r="V161" s="1">
        <f t="shared" si="49"/>
        <v>52.003016714991269</v>
      </c>
      <c r="W161" s="1">
        <f t="shared" si="50"/>
        <v>2.1050256984227182</v>
      </c>
      <c r="X161" s="1"/>
      <c r="Y161" s="1"/>
      <c r="Z161" s="1"/>
      <c r="AA161" s="1"/>
      <c r="AB161" s="1"/>
      <c r="AC161" s="1"/>
      <c r="AD161" s="1"/>
      <c r="AE161" s="1"/>
    </row>
    <row r="162" spans="1:31" ht="22.05" customHeight="1">
      <c r="A162" s="1">
        <f>'01 Traffic inputs'!B112</f>
        <v>5.2494890647956649E-3</v>
      </c>
      <c r="B162" s="1">
        <f>'01 Traffic inputs'!C112</f>
        <v>5.9040708592796379E-4</v>
      </c>
      <c r="C162" s="1">
        <f>IF('01 Traffic inputs'!$B$16&lt;=2/3,(4*A162*(1-A162))^$B$16,1-ABS(2*A162-1)^$B$17)</f>
        <v>1.96653687879933E-6</v>
      </c>
      <c r="D162" s="1">
        <f>IF('01 Traffic inputs'!$B$16&lt;=2/3,4*$B$16*(1-2*A162)*(4*A162*(1-A162))^($B$16-1),-2*$B$17*SIGN(2*A162-1)*ABS(2*A162-1)^($B$17-1))</f>
        <v>1.2656224493581593E-3</v>
      </c>
      <c r="E162" s="1">
        <f t="shared" si="38"/>
        <v>2.8276532544146469</v>
      </c>
      <c r="F162" s="1">
        <f t="shared" si="39"/>
        <v>1.6209241728346167E-2</v>
      </c>
      <c r="G162" s="1">
        <f t="shared" si="40"/>
        <v>4.5834115124751738E-2</v>
      </c>
      <c r="H162" s="1">
        <f>'01 Traffic inputs'!$B$8/F162</f>
        <v>64.160928526428478</v>
      </c>
      <c r="I162" s="1">
        <f>MATCH(H162,'02 Emission rates'!$A$7:$A$15,1)</f>
        <v>6</v>
      </c>
      <c r="J162" s="1">
        <f>INDEX('02 Emission rates'!$D$7:$D$15,I162)</f>
        <v>20615.635195313702</v>
      </c>
      <c r="K162" s="1">
        <f>INDEX('02 Emission rates'!$E$7:$E$15,I162)</f>
        <v>30.344373182827162</v>
      </c>
      <c r="L162" s="1">
        <f>INDEX('02 Emission rates'!$F$7:$F$15,I162)</f>
        <v>135.13776314017983</v>
      </c>
      <c r="M162" s="1">
        <f>INDEX('02 Emission rates'!$G$7:$G$15,I162)</f>
        <v>5.4702300406244557</v>
      </c>
      <c r="N162" s="1">
        <f t="shared" si="41"/>
        <v>944.89939691189204</v>
      </c>
      <c r="O162" s="1">
        <f t="shared" si="42"/>
        <v>1.3908074938501296</v>
      </c>
      <c r="P162" s="1">
        <f t="shared" si="43"/>
        <v>6.1939197934684342</v>
      </c>
      <c r="Q162" s="1">
        <f t="shared" si="44"/>
        <v>0.25072315344085666</v>
      </c>
      <c r="R162" s="1">
        <f t="shared" si="45"/>
        <v>26.568246703593534</v>
      </c>
      <c r="S162" s="1">
        <f t="shared" si="46"/>
        <v>0.43064895523016322</v>
      </c>
      <c r="T162" s="1">
        <f t="shared" si="47"/>
        <v>8878.101758268027</v>
      </c>
      <c r="U162" s="1">
        <f t="shared" si="48"/>
        <v>13.0677726082987</v>
      </c>
      <c r="V162" s="1">
        <f t="shared" si="49"/>
        <v>58.1969365084597</v>
      </c>
      <c r="W162" s="1">
        <f t="shared" si="50"/>
        <v>2.355748851863575</v>
      </c>
      <c r="X162" s="1"/>
      <c r="Y162" s="1"/>
      <c r="Z162" s="1"/>
      <c r="AA162" s="1"/>
      <c r="AB162" s="1"/>
      <c r="AC162" s="1"/>
      <c r="AD162" s="1"/>
      <c r="AE162" s="1"/>
    </row>
    <row r="163" spans="1:31" ht="22.05" customHeight="1">
      <c r="A163" s="1">
        <f>'01 Traffic inputs'!B113</f>
        <v>5.8564039085650665E-3</v>
      </c>
      <c r="B163" s="1">
        <f>'01 Traffic inputs'!C113</f>
        <v>6.2341584885722723E-4</v>
      </c>
      <c r="C163" s="1">
        <f>IF('01 Traffic inputs'!$B$16&lt;=2/3,(4*A163*(1-A163))^$B$16,1-ABS(2*A163-1)^$B$17)</f>
        <v>2.8456252965720172E-6</v>
      </c>
      <c r="D163" s="1">
        <f>IF('01 Traffic inputs'!$B$16&lt;=2/3,4*$B$16*(1-2*A163)*(4*A163*(1-A163))^($B$16-1),-2*$B$17*SIGN(2*A163-1)*ABS(2*A163-1)^($B$17-1))</f>
        <v>1.6405813589194995E-3</v>
      </c>
      <c r="E163" s="1">
        <f t="shared" si="38"/>
        <v>2.9857574777176521</v>
      </c>
      <c r="F163" s="1">
        <f t="shared" si="39"/>
        <v>1.6209292135056005E-2</v>
      </c>
      <c r="G163" s="1">
        <f t="shared" si="40"/>
        <v>4.8397015200753395E-2</v>
      </c>
      <c r="H163" s="1">
        <f>'01 Traffic inputs'!$B$8/F163</f>
        <v>64.160729002520824</v>
      </c>
      <c r="I163" s="1">
        <f>MATCH(H163,'02 Emission rates'!$A$7:$A$15,1)</f>
        <v>6</v>
      </c>
      <c r="J163" s="1">
        <f>INDEX('02 Emission rates'!$D$7:$D$15,I163)</f>
        <v>20615.635195313702</v>
      </c>
      <c r="K163" s="1">
        <f>INDEX('02 Emission rates'!$E$7:$E$15,I163)</f>
        <v>30.344373182827162</v>
      </c>
      <c r="L163" s="1">
        <f>INDEX('02 Emission rates'!$F$7:$F$15,I163)</f>
        <v>135.13776314017983</v>
      </c>
      <c r="M163" s="1">
        <f>INDEX('02 Emission rates'!$G$7:$G$15,I163)</f>
        <v>5.4702300406244557</v>
      </c>
      <c r="N163" s="1">
        <f t="shared" si="41"/>
        <v>997.73520992078386</v>
      </c>
      <c r="O163" s="1">
        <f t="shared" si="42"/>
        <v>1.4685770901866197</v>
      </c>
      <c r="P163" s="1">
        <f t="shared" si="43"/>
        <v>6.5402643768910949</v>
      </c>
      <c r="Q163" s="1">
        <f t="shared" si="44"/>
        <v>0.26474280642771963</v>
      </c>
      <c r="R163" s="1">
        <f t="shared" si="45"/>
        <v>29.554004181311186</v>
      </c>
      <c r="S163" s="1">
        <f t="shared" si="46"/>
        <v>0.47904597043091662</v>
      </c>
      <c r="T163" s="1">
        <f t="shared" si="47"/>
        <v>9875.8369681888107</v>
      </c>
      <c r="U163" s="1">
        <f t="shared" si="48"/>
        <v>14.536349698485321</v>
      </c>
      <c r="V163" s="1">
        <f t="shared" si="49"/>
        <v>64.737200885350802</v>
      </c>
      <c r="W163" s="1">
        <f t="shared" si="50"/>
        <v>2.6204916582912947</v>
      </c>
      <c r="X163" s="1"/>
      <c r="Y163" s="1"/>
      <c r="Z163" s="1"/>
      <c r="AA163" s="1"/>
      <c r="AB163" s="1"/>
      <c r="AC163" s="1"/>
      <c r="AD163" s="1"/>
      <c r="AE163" s="1"/>
    </row>
    <row r="164" spans="1:31" ht="22.05" customHeight="1">
      <c r="A164" s="1">
        <f>'01 Traffic inputs'!B114</f>
        <v>6.4963068898592491E-3</v>
      </c>
      <c r="B164" s="1">
        <f>'01 Traffic inputs'!C114</f>
        <v>6.5638299392527103E-4</v>
      </c>
      <c r="C164" s="1">
        <f>IF('01 Traffic inputs'!$B$16&lt;=2/3,(4*A164*(1-A164))^$B$16,1-ABS(2*A164-1)^$B$17)</f>
        <v>4.0381825409922317E-6</v>
      </c>
      <c r="D164" s="1">
        <f>IF('01 Traffic inputs'!$B$16&lt;=2/3,4*$B$16*(1-2*A164)*(4*A164*(1-A164))^($B$16-1),-2*$B$17*SIGN(2*A164-1)*ABS(2*A164-1)^($B$17-1))</f>
        <v>2.0974294625312963E-3</v>
      </c>
      <c r="E164" s="1">
        <f t="shared" si="38"/>
        <v>3.1436672226908593</v>
      </c>
      <c r="F164" s="1">
        <f t="shared" si="39"/>
        <v>1.6209360515989896E-2</v>
      </c>
      <c r="G164" s="1">
        <f t="shared" si="40"/>
        <v>5.0956835354896826E-2</v>
      </c>
      <c r="H164" s="1">
        <f>'01 Traffic inputs'!$B$8/F164</f>
        <v>64.160458333572223</v>
      </c>
      <c r="I164" s="1">
        <f>MATCH(H164,'02 Emission rates'!$A$7:$A$15,1)</f>
        <v>6</v>
      </c>
      <c r="J164" s="1">
        <f>INDEX('02 Emission rates'!$D$7:$D$15,I164)</f>
        <v>20615.635195313702</v>
      </c>
      <c r="K164" s="1">
        <f>INDEX('02 Emission rates'!$E$7:$E$15,I164)</f>
        <v>30.344373182827162</v>
      </c>
      <c r="L164" s="1">
        <f>INDEX('02 Emission rates'!$F$7:$F$15,I164)</f>
        <v>135.13776314017983</v>
      </c>
      <c r="M164" s="1">
        <f>INDEX('02 Emission rates'!$G$7:$G$15,I164)</f>
        <v>5.4702300406244557</v>
      </c>
      <c r="N164" s="1">
        <f t="shared" si="41"/>
        <v>1050.5075283842166</v>
      </c>
      <c r="O164" s="1">
        <f t="shared" si="42"/>
        <v>1.5462532282248702</v>
      </c>
      <c r="P164" s="1">
        <f t="shared" si="43"/>
        <v>6.8861927465631885</v>
      </c>
      <c r="Q164" s="1">
        <f t="shared" si="44"/>
        <v>0.27874561153351096</v>
      </c>
      <c r="R164" s="1">
        <f t="shared" si="45"/>
        <v>32.697671404002044</v>
      </c>
      <c r="S164" s="1">
        <f t="shared" si="46"/>
        <v>0.53000280578581349</v>
      </c>
      <c r="T164" s="1">
        <f t="shared" si="47"/>
        <v>10926.344496573027</v>
      </c>
      <c r="U164" s="1">
        <f t="shared" si="48"/>
        <v>16.082602926710191</v>
      </c>
      <c r="V164" s="1">
        <f t="shared" si="49"/>
        <v>71.623393631913984</v>
      </c>
      <c r="W164" s="1">
        <f t="shared" si="50"/>
        <v>2.8992372698248055</v>
      </c>
      <c r="X164" s="1"/>
      <c r="Y164" s="1"/>
      <c r="Z164" s="1"/>
      <c r="AA164" s="1"/>
      <c r="AB164" s="1"/>
      <c r="AC164" s="1"/>
      <c r="AD164" s="1"/>
      <c r="AE164" s="1"/>
    </row>
    <row r="165" spans="1:31" ht="22.05" customHeight="1">
      <c r="A165" s="1">
        <f>'01 Traffic inputs'!B115</f>
        <v>7.1691552901333444E-3</v>
      </c>
      <c r="B165" s="1">
        <f>'01 Traffic inputs'!C115</f>
        <v>6.8930632024402562E-4</v>
      </c>
      <c r="C165" s="1">
        <f>IF('01 Traffic inputs'!$B$16&lt;=2/3,(4*A165*(1-A165))^$B$16,1-ABS(2*A165-1)^$B$17)</f>
        <v>5.6306288925210643E-6</v>
      </c>
      <c r="D165" s="1">
        <f>IF('01 Traffic inputs'!$B$16&lt;=2/3,4*$B$16*(1-2*A165)*(4*A165*(1-A165))^($B$16-1),-2*$B$17*SIGN(2*A165-1)*ABS(2*A165-1)^($B$17-1))</f>
        <v>2.6482474704358459E-3</v>
      </c>
      <c r="E165" s="1">
        <f t="shared" si="38"/>
        <v>3.3013729586587734</v>
      </c>
      <c r="F165" s="1">
        <f t="shared" si="39"/>
        <v>1.6209451826465097E-2</v>
      </c>
      <c r="G165" s="1">
        <f t="shared" si="40"/>
        <v>5.3513445934573939E-2</v>
      </c>
      <c r="H165" s="1">
        <f>'01 Traffic inputs'!$B$8/F165</f>
        <v>64.160096907288207</v>
      </c>
      <c r="I165" s="1">
        <f>MATCH(H165,'02 Emission rates'!$A$7:$A$15,1)</f>
        <v>6</v>
      </c>
      <c r="J165" s="1">
        <f>INDEX('02 Emission rates'!$D$7:$D$15,I165)</f>
        <v>20615.635195313702</v>
      </c>
      <c r="K165" s="1">
        <f>INDEX('02 Emission rates'!$E$7:$E$15,I165)</f>
        <v>30.344373182827162</v>
      </c>
      <c r="L165" s="1">
        <f>INDEX('02 Emission rates'!$F$7:$F$15,I165)</f>
        <v>135.13776314017983</v>
      </c>
      <c r="M165" s="1">
        <f>INDEX('02 Emission rates'!$G$7:$G$15,I165)</f>
        <v>5.4702300406244557</v>
      </c>
      <c r="N165" s="1">
        <f t="shared" si="41"/>
        <v>1103.2136794313194</v>
      </c>
      <c r="O165" s="1">
        <f t="shared" si="42"/>
        <v>1.6238319737377567</v>
      </c>
      <c r="P165" s="1">
        <f t="shared" si="43"/>
        <v>7.2316873815212723</v>
      </c>
      <c r="Q165" s="1">
        <f t="shared" si="44"/>
        <v>0.29273085952863903</v>
      </c>
      <c r="R165" s="1">
        <f t="shared" si="45"/>
        <v>35.999044362660818</v>
      </c>
      <c r="S165" s="1">
        <f t="shared" si="46"/>
        <v>0.58351625172038746</v>
      </c>
      <c r="T165" s="1">
        <f t="shared" si="47"/>
        <v>12029.558176004346</v>
      </c>
      <c r="U165" s="1">
        <f t="shared" si="48"/>
        <v>17.706434900447949</v>
      </c>
      <c r="V165" s="1">
        <f t="shared" si="49"/>
        <v>78.855081013435253</v>
      </c>
      <c r="W165" s="1">
        <f t="shared" si="50"/>
        <v>3.1919681293534445</v>
      </c>
      <c r="X165" s="1"/>
      <c r="Y165" s="1"/>
      <c r="Z165" s="1"/>
      <c r="AA165" s="1"/>
      <c r="AB165" s="1"/>
      <c r="AC165" s="1"/>
      <c r="AD165" s="1"/>
      <c r="AE165" s="1"/>
    </row>
    <row r="166" spans="1:31" ht="22.05" customHeight="1">
      <c r="A166" s="1">
        <f>'01 Traffic inputs'!B116</f>
        <v>7.8749041914143447E-3</v>
      </c>
      <c r="B166" s="1">
        <f>'01 Traffic inputs'!C116</f>
        <v>7.2218362986750217E-4</v>
      </c>
      <c r="C166" s="1">
        <f>IF('01 Traffic inputs'!$B$16&lt;=2/3,(4*A166*(1-A166))^$B$16,1-ABS(2*A166-1)^$B$17)</f>
        <v>7.726866884065935E-6</v>
      </c>
      <c r="D166" s="1">
        <f>IF('01 Traffic inputs'!$B$16&lt;=2/3,4*$B$16*(1-2*A166)*(4*A166*(1-A166))^($B$16-1),-2*$B$17*SIGN(2*A166-1)*ABS(2*A166-1)^($B$17-1))</f>
        <v>3.3060868494302312E-3</v>
      </c>
      <c r="E166" s="1">
        <f t="shared" si="38"/>
        <v>3.458865308760172</v>
      </c>
      <c r="F166" s="1">
        <f t="shared" si="39"/>
        <v>1.6209572024226838E-2</v>
      </c>
      <c r="G166" s="1">
        <f t="shared" si="40"/>
        <v>5.6066726344447607E-2</v>
      </c>
      <c r="H166" s="1">
        <f>'01 Traffic inputs'!$B$8/F166</f>
        <v>64.159621145187288</v>
      </c>
      <c r="I166" s="1">
        <f>MATCH(H166,'02 Emission rates'!$A$7:$A$15,1)</f>
        <v>6</v>
      </c>
      <c r="J166" s="1">
        <f>INDEX('02 Emission rates'!$D$7:$D$15,I166)</f>
        <v>20615.635195313702</v>
      </c>
      <c r="K166" s="1">
        <f>INDEX('02 Emission rates'!$E$7:$E$15,I166)</f>
        <v>30.344373182827162</v>
      </c>
      <c r="L166" s="1">
        <f>INDEX('02 Emission rates'!$F$7:$F$15,I166)</f>
        <v>135.13776314017983</v>
      </c>
      <c r="M166" s="1">
        <f>INDEX('02 Emission rates'!$G$7:$G$15,I166)</f>
        <v>5.4702300406244557</v>
      </c>
      <c r="N166" s="1">
        <f t="shared" si="41"/>
        <v>1155.851176912616</v>
      </c>
      <c r="O166" s="1">
        <f t="shared" si="42"/>
        <v>1.7013096673353652</v>
      </c>
      <c r="P166" s="1">
        <f t="shared" si="43"/>
        <v>7.5767319847812411</v>
      </c>
      <c r="Q166" s="1">
        <f t="shared" si="44"/>
        <v>0.30669789072886788</v>
      </c>
      <c r="R166" s="1">
        <f t="shared" si="45"/>
        <v>39.457909671420992</v>
      </c>
      <c r="S166" s="1">
        <f t="shared" si="46"/>
        <v>0.63958297806483511</v>
      </c>
      <c r="T166" s="1">
        <f t="shared" si="47"/>
        <v>13185.409352916962</v>
      </c>
      <c r="U166" s="1">
        <f t="shared" si="48"/>
        <v>19.407744567783315</v>
      </c>
      <c r="V166" s="1">
        <f t="shared" si="49"/>
        <v>86.4318129982165</v>
      </c>
      <c r="W166" s="1">
        <f t="shared" si="50"/>
        <v>3.4986660200823123</v>
      </c>
      <c r="X166" s="1"/>
      <c r="Y166" s="1"/>
      <c r="Z166" s="1"/>
      <c r="AA166" s="1"/>
      <c r="AB166" s="1"/>
      <c r="AC166" s="1"/>
      <c r="AD166" s="1"/>
      <c r="AE166" s="1"/>
    </row>
    <row r="167" spans="1:31" ht="22.05" customHeight="1">
      <c r="A167" s="1">
        <f>'01 Traffic inputs'!B117</f>
        <v>8.6135064793128602E-3</v>
      </c>
      <c r="B167" s="1">
        <f>'01 Traffic inputs'!C117</f>
        <v>7.5501272793265773E-4</v>
      </c>
      <c r="C167" s="1">
        <f>IF('01 Traffic inputs'!$B$16&lt;=2/3,(4*A167*(1-A167))^$B$16,1-ABS(2*A167-1)^$B$17)</f>
        <v>1.0450623456076141E-5</v>
      </c>
      <c r="D167" s="1">
        <f>IF('01 Traffic inputs'!$B$16&lt;=2/3,4*$B$16*(1-2*A167)*(4*A167*(1-A167))^($B$16-1),-2*$B$17*SIGN(2*A167-1)*ABS(2*A167-1)^($B$17-1))</f>
        <v>4.0849755536935114E-3</v>
      </c>
      <c r="E167" s="1">
        <f t="shared" si="38"/>
        <v>3.6161350602543361</v>
      </c>
      <c r="F167" s="1">
        <f t="shared" si="39"/>
        <v>1.6209728203746908E-2</v>
      </c>
      <c r="G167" s="1">
        <f t="shared" si="40"/>
        <v>5.8616566474762738E-2</v>
      </c>
      <c r="H167" s="1">
        <f>'01 Traffic inputs'!$B$8/F167</f>
        <v>64.159002972031487</v>
      </c>
      <c r="I167" s="1">
        <f>MATCH(H167,'02 Emission rates'!$A$7:$A$15,1)</f>
        <v>6</v>
      </c>
      <c r="J167" s="1">
        <f>INDEX('02 Emission rates'!$D$7:$D$15,I167)</f>
        <v>20615.635195313702</v>
      </c>
      <c r="K167" s="1">
        <f>INDEX('02 Emission rates'!$E$7:$E$15,I167)</f>
        <v>30.344373182827162</v>
      </c>
      <c r="L167" s="1">
        <f>INDEX('02 Emission rates'!$F$7:$F$15,I167)</f>
        <v>135.13776314017983</v>
      </c>
      <c r="M167" s="1">
        <f>INDEX('02 Emission rates'!$G$7:$G$15,I167)</f>
        <v>5.4702300406244557</v>
      </c>
      <c r="N167" s="1">
        <f t="shared" si="41"/>
        <v>1208.4177508455639</v>
      </c>
      <c r="O167" s="1">
        <f t="shared" si="42"/>
        <v>1.7786829678061962</v>
      </c>
      <c r="P167" s="1">
        <f t="shared" si="43"/>
        <v>7.9213116763570923</v>
      </c>
      <c r="Q167" s="1">
        <f t="shared" si="44"/>
        <v>0.32064610280850747</v>
      </c>
      <c r="R167" s="1">
        <f t="shared" si="45"/>
        <v>43.074044731675329</v>
      </c>
      <c r="S167" s="1">
        <f t="shared" si="46"/>
        <v>0.69819954453959787</v>
      </c>
      <c r="T167" s="1">
        <f t="shared" si="47"/>
        <v>14393.827103762525</v>
      </c>
      <c r="U167" s="1">
        <f t="shared" si="48"/>
        <v>21.186427535589512</v>
      </c>
      <c r="V167" s="1">
        <f t="shared" si="49"/>
        <v>94.353124674573593</v>
      </c>
      <c r="W167" s="1">
        <f t="shared" si="50"/>
        <v>3.8193121228908198</v>
      </c>
      <c r="X167" s="1"/>
      <c r="Y167" s="1"/>
      <c r="Z167" s="1"/>
      <c r="AA167" s="1"/>
      <c r="AB167" s="1"/>
      <c r="AC167" s="1"/>
      <c r="AD167" s="1"/>
      <c r="AE167" s="1"/>
    </row>
    <row r="168" spans="1:31" ht="22.05" customHeight="1">
      <c r="A168" s="1">
        <f>'01 Traffic inputs'!B118</f>
        <v>9.384912846177873E-3</v>
      </c>
      <c r="B168" s="1">
        <f>'01 Traffic inputs'!C118</f>
        <v>7.8779142280412508E-4</v>
      </c>
      <c r="C168" s="1">
        <f>IF('01 Traffic inputs'!$B$16&lt;=2/3,(4*A168*(1-A168))^$B$16,1-ABS(2*A168-1)^$B$17)</f>
        <v>1.3947946554510447E-5</v>
      </c>
      <c r="D168" s="1">
        <f>IF('01 Traffic inputs'!$B$16&lt;=2/3,4*$B$16*(1-2*A168)*(4*A168*(1-A168))^($B$16-1),-2*$B$17*SIGN(2*A168-1)*ABS(2*A168-1)^($B$17-1))</f>
        <v>4.9999196053084572E-3</v>
      </c>
      <c r="E168" s="1">
        <f t="shared" si="38"/>
        <v>3.773173174635831</v>
      </c>
      <c r="F168" s="1">
        <f t="shared" si="39"/>
        <v>1.6209928739377977E-2</v>
      </c>
      <c r="G168" s="1">
        <f t="shared" si="40"/>
        <v>6.11628682821794E-2</v>
      </c>
      <c r="H168" s="1">
        <f>'01 Traffic inputs'!$B$8/F168</f>
        <v>64.158209250704473</v>
      </c>
      <c r="I168" s="1">
        <f>MATCH(H168,'02 Emission rates'!$A$7:$A$15,1)</f>
        <v>6</v>
      </c>
      <c r="J168" s="1">
        <f>INDEX('02 Emission rates'!$D$7:$D$15,I168)</f>
        <v>20615.635195313702</v>
      </c>
      <c r="K168" s="1">
        <f>INDEX('02 Emission rates'!$E$7:$E$15,I168)</f>
        <v>30.344373182827162</v>
      </c>
      <c r="L168" s="1">
        <f>INDEX('02 Emission rates'!$F$7:$F$15,I168)</f>
        <v>135.13776314017983</v>
      </c>
      <c r="M168" s="1">
        <f>INDEX('02 Emission rates'!$G$7:$G$15,I168)</f>
        <v>5.4702300406244557</v>
      </c>
      <c r="N168" s="1">
        <f t="shared" si="41"/>
        <v>1260.9113800044338</v>
      </c>
      <c r="O168" s="1">
        <f t="shared" si="42"/>
        <v>1.8559489000865546</v>
      </c>
      <c r="P168" s="1">
        <f t="shared" si="43"/>
        <v>8.2654132068911768</v>
      </c>
      <c r="Q168" s="1">
        <f t="shared" si="44"/>
        <v>0.33457495944793447</v>
      </c>
      <c r="R168" s="1">
        <f t="shared" si="45"/>
        <v>46.847217906311158</v>
      </c>
      <c r="S168" s="1">
        <f t="shared" si="46"/>
        <v>0.7593624128217773</v>
      </c>
      <c r="T168" s="1">
        <f t="shared" si="47"/>
        <v>15654.73848376696</v>
      </c>
      <c r="U168" s="1">
        <f t="shared" si="48"/>
        <v>23.042376435676069</v>
      </c>
      <c r="V168" s="1">
        <f t="shared" si="49"/>
        <v>102.61853788146477</v>
      </c>
      <c r="W168" s="1">
        <f t="shared" si="50"/>
        <v>4.1538870823387546</v>
      </c>
      <c r="X168" s="1"/>
      <c r="Y168" s="1"/>
      <c r="Z168" s="1"/>
      <c r="AA168" s="1"/>
      <c r="AB168" s="1"/>
      <c r="AC168" s="1"/>
      <c r="AD168" s="1"/>
      <c r="AE168" s="1"/>
    </row>
    <row r="169" spans="1:31" ht="22.05" customHeight="1">
      <c r="A169" s="1">
        <f>'01 Traffic inputs'!B119</f>
        <v>1.0189071794394933E-2</v>
      </c>
      <c r="B169" s="1">
        <f>'01 Traffic inputs'!C119</f>
        <v>8.2051752621428871E-4</v>
      </c>
      <c r="C169" s="1">
        <f>IF('01 Traffic inputs'!$B$16&lt;=2/3,(4*A169*(1-A169))^$B$16,1-ABS(2*A169-1)^$B$17)</f>
        <v>1.8389852247647355E-5</v>
      </c>
      <c r="D169" s="1">
        <f>IF('01 Traffic inputs'!$B$16&lt;=2/3,4*$B$16*(1-2*A169)*(4*A169*(1-A169))^($B$16-1),-2*$B$17*SIGN(2*A169-1)*ABS(2*A169-1)^($B$17-1))</f>
        <v>6.0669005076936424E-3</v>
      </c>
      <c r="E169" s="1">
        <f t="shared" si="38"/>
        <v>3.9299707974526568</v>
      </c>
      <c r="F169" s="1">
        <f t="shared" si="39"/>
        <v>1.6210183437138596E-2</v>
      </c>
      <c r="G169" s="1">
        <f t="shared" si="40"/>
        <v>6.370554752930542E-2</v>
      </c>
      <c r="H169" s="1">
        <f>'01 Traffic inputs'!$B$8/F169</f>
        <v>64.157201183628317</v>
      </c>
      <c r="I169" s="1">
        <f>MATCH(H169,'02 Emission rates'!$A$7:$A$15,1)</f>
        <v>6</v>
      </c>
      <c r="J169" s="1">
        <f>INDEX('02 Emission rates'!$D$7:$D$15,I169)</f>
        <v>20615.635195313702</v>
      </c>
      <c r="K169" s="1">
        <f>INDEX('02 Emission rates'!$E$7:$E$15,I169)</f>
        <v>30.344373182827162</v>
      </c>
      <c r="L169" s="1">
        <f>INDEX('02 Emission rates'!$F$7:$F$15,I169)</f>
        <v>135.13776314017983</v>
      </c>
      <c r="M169" s="1">
        <f>INDEX('02 Emission rates'!$G$7:$G$15,I169)</f>
        <v>5.4702300406244557</v>
      </c>
      <c r="N169" s="1">
        <f t="shared" si="41"/>
        <v>1313.3303277818786</v>
      </c>
      <c r="O169" s="1">
        <f t="shared" si="42"/>
        <v>1.9331049080455767</v>
      </c>
      <c r="P169" s="1">
        <f t="shared" si="43"/>
        <v>8.6090251927307442</v>
      </c>
      <c r="Q169" s="1">
        <f t="shared" si="44"/>
        <v>0.34848399984923556</v>
      </c>
      <c r="R169" s="1">
        <f t="shared" si="45"/>
        <v>50.777188703763812</v>
      </c>
      <c r="S169" s="1">
        <f t="shared" si="46"/>
        <v>0.82306796035108276</v>
      </c>
      <c r="T169" s="1">
        <f t="shared" si="47"/>
        <v>16968.068811548837</v>
      </c>
      <c r="U169" s="1">
        <f t="shared" si="48"/>
        <v>24.975481343721647</v>
      </c>
      <c r="V169" s="1">
        <f t="shared" si="49"/>
        <v>111.22756307419552</v>
      </c>
      <c r="W169" s="1">
        <f t="shared" si="50"/>
        <v>4.5023710821879899</v>
      </c>
      <c r="X169" s="1"/>
      <c r="Y169" s="1"/>
      <c r="Z169" s="1"/>
      <c r="AA169" s="1"/>
      <c r="AB169" s="1"/>
      <c r="AC169" s="1"/>
      <c r="AD169" s="1"/>
      <c r="AE169" s="1"/>
    </row>
    <row r="170" spans="1:31" ht="22.05" customHeight="1">
      <c r="A170" s="1">
        <f>'01 Traffic inputs'!B120</f>
        <v>1.1025929639829457E-2</v>
      </c>
      <c r="B170" s="1">
        <f>'01 Traffic inputs'!C120</f>
        <v>8.531888534144338E-4</v>
      </c>
      <c r="C170" s="1">
        <f>IF('01 Traffic inputs'!$B$16&lt;=2/3,(4*A170*(1-A170))^$B$16,1-ABS(2*A170-1)^$B$17)</f>
        <v>2.3975117398359433E-5</v>
      </c>
      <c r="D170" s="1">
        <f>IF('01 Traffic inputs'!$B$16&lt;=2/3,4*$B$16*(1-2*A170)*(4*A170*(1-A170))^($B$16-1),-2*$B$17*SIGN(2*A170-1)*ABS(2*A170-1)^($B$17-1))</f>
        <v>7.3028684837943185E-3</v>
      </c>
      <c r="E170" s="1">
        <f t="shared" si="38"/>
        <v>4.0865192678392201</v>
      </c>
      <c r="F170" s="1">
        <f t="shared" si="39"/>
        <v>1.6210503694844322E-2</v>
      </c>
      <c r="G170" s="1">
        <f t="shared" si="40"/>
        <v>6.6244535690360193E-2</v>
      </c>
      <c r="H170" s="1">
        <f>'01 Traffic inputs'!$B$8/F170</f>
        <v>64.155933682109321</v>
      </c>
      <c r="I170" s="1">
        <f>MATCH(H170,'02 Emission rates'!$A$7:$A$15,1)</f>
        <v>6</v>
      </c>
      <c r="J170" s="1">
        <f>INDEX('02 Emission rates'!$D$7:$D$15,I170)</f>
        <v>20615.635195313702</v>
      </c>
      <c r="K170" s="1">
        <f>INDEX('02 Emission rates'!$E$7:$E$15,I170)</f>
        <v>30.344373182827162</v>
      </c>
      <c r="L170" s="1">
        <f>INDEX('02 Emission rates'!$F$7:$F$15,I170)</f>
        <v>135.13776314017983</v>
      </c>
      <c r="M170" s="1">
        <f>INDEX('02 Emission rates'!$G$7:$G$15,I170)</f>
        <v>5.4702300406244557</v>
      </c>
      <c r="N170" s="1">
        <f t="shared" si="41"/>
        <v>1365.6731814754041</v>
      </c>
      <c r="O170" s="1">
        <f t="shared" si="42"/>
        <v>2.0101489123114025</v>
      </c>
      <c r="P170" s="1">
        <f t="shared" si="43"/>
        <v>8.9521383734550852</v>
      </c>
      <c r="Q170" s="1">
        <f t="shared" si="44"/>
        <v>0.36237284916062723</v>
      </c>
      <c r="R170" s="1">
        <f t="shared" si="45"/>
        <v>54.863707971603034</v>
      </c>
      <c r="S170" s="1">
        <f t="shared" si="46"/>
        <v>0.88931249604144291</v>
      </c>
      <c r="T170" s="1">
        <f t="shared" si="47"/>
        <v>18333.741993024243</v>
      </c>
      <c r="U170" s="1">
        <f t="shared" si="48"/>
        <v>26.985630256033048</v>
      </c>
      <c r="V170" s="1">
        <f t="shared" si="49"/>
        <v>120.1797014476506</v>
      </c>
      <c r="W170" s="1">
        <f t="shared" si="50"/>
        <v>4.8647439313486167</v>
      </c>
      <c r="X170" s="1"/>
      <c r="Y170" s="1"/>
      <c r="Z170" s="1"/>
      <c r="AA170" s="1"/>
      <c r="AB170" s="1"/>
      <c r="AC170" s="1"/>
      <c r="AD170" s="1"/>
      <c r="AE170" s="1"/>
    </row>
    <row r="171" spans="1:31" ht="22.05" customHeight="1">
      <c r="A171" s="1">
        <f>'01 Traffic inputs'!B121</f>
        <v>1.1895430515413807E-2</v>
      </c>
      <c r="B171" s="1">
        <f>'01 Traffic inputs'!C121</f>
        <v>8.8580322331196517E-4</v>
      </c>
      <c r="C171" s="1">
        <f>IF('01 Traffic inputs'!$B$16&lt;=2/3,(4*A171*(1-A171))^$B$16,1-ABS(2*A171-1)^$B$17)</f>
        <v>3.0933211899929539E-5</v>
      </c>
      <c r="D171" s="1">
        <f>IF('01 Traffic inputs'!$B$16&lt;=2/3,4*$B$16*(1-2*A171)*(4*A171*(1-A171))^($B$16-1),-2*$B$17*SIGN(2*A171-1)*ABS(2*A171-1)^($B$17-1))</f>
        <v>8.725731539909052E-3</v>
      </c>
      <c r="E171" s="1">
        <f t="shared" si="38"/>
        <v>4.2428101275813237</v>
      </c>
      <c r="F171" s="1">
        <f t="shared" si="39"/>
        <v>1.6210902670241403E-2</v>
      </c>
      <c r="G171" s="1">
        <f t="shared" si="40"/>
        <v>6.8779782026535355E-2</v>
      </c>
      <c r="H171" s="1">
        <f>'01 Traffic inputs'!$B$8/F171</f>
        <v>64.154354705315953</v>
      </c>
      <c r="I171" s="1">
        <f>MATCH(H171,'02 Emission rates'!$A$7:$A$15,1)</f>
        <v>6</v>
      </c>
      <c r="J171" s="1">
        <f>INDEX('02 Emission rates'!$D$7:$D$15,I171)</f>
        <v>20615.635195313702</v>
      </c>
      <c r="K171" s="1">
        <f>INDEX('02 Emission rates'!$E$7:$E$15,I171)</f>
        <v>30.344373182827162</v>
      </c>
      <c r="L171" s="1">
        <f>INDEX('02 Emission rates'!$F$7:$F$15,I171)</f>
        <v>135.13776314017983</v>
      </c>
      <c r="M171" s="1">
        <f>INDEX('02 Emission rates'!$G$7:$G$15,I171)</f>
        <v>5.4702300406244557</v>
      </c>
      <c r="N171" s="1">
        <f t="shared" si="41"/>
        <v>1417.9388950722471</v>
      </c>
      <c r="O171" s="1">
        <f t="shared" si="42"/>
        <v>2.0870793732466972</v>
      </c>
      <c r="P171" s="1">
        <f t="shared" si="43"/>
        <v>9.2947458923351327</v>
      </c>
      <c r="Q171" s="1">
        <f t="shared" si="44"/>
        <v>0.3762412298291557</v>
      </c>
      <c r="R171" s="1">
        <f t="shared" si="45"/>
        <v>59.106518099184356</v>
      </c>
      <c r="S171" s="1">
        <f t="shared" si="46"/>
        <v>0.95809227806797825</v>
      </c>
      <c r="T171" s="1">
        <f t="shared" si="47"/>
        <v>19751.680888096489</v>
      </c>
      <c r="U171" s="1">
        <f t="shared" si="48"/>
        <v>29.072709629279746</v>
      </c>
      <c r="V171" s="1">
        <f t="shared" si="49"/>
        <v>129.47444733998574</v>
      </c>
      <c r="W171" s="1">
        <f t="shared" si="50"/>
        <v>5.2409851611777727</v>
      </c>
      <c r="X171" s="1"/>
      <c r="Y171" s="1"/>
      <c r="Z171" s="1"/>
      <c r="AA171" s="1"/>
      <c r="AB171" s="1"/>
      <c r="AC171" s="1"/>
      <c r="AD171" s="1"/>
      <c r="AE171" s="1"/>
    </row>
    <row r="172" spans="1:31" ht="22.05" customHeight="1">
      <c r="A172" s="1">
        <f>'01 Traffic inputs'!B122</f>
        <v>1.2797516374880136E-2</v>
      </c>
      <c r="B172" s="1">
        <f>'01 Traffic inputs'!C122</f>
        <v>9.1835845862212268E-4</v>
      </c>
      <c r="C172" s="1">
        <f>IF('01 Traffic inputs'!$B$16&lt;=2/3,(4*A172*(1-A172))^$B$16,1-ABS(2*A172-1)^$B$17)</f>
        <v>3.9527363469522983E-5</v>
      </c>
      <c r="D172" s="1">
        <f>IF('01 Traffic inputs'!$B$16&lt;=2/3,4*$B$16*(1-2*A172)*(4*A172*(1-A172))^($B$16-1),-2*$B$17*SIGN(2*A172-1)*ABS(2*A172-1)^($B$17-1))</f>
        <v>1.0354340365384296E-2</v>
      </c>
      <c r="E172" s="1">
        <f t="shared" si="38"/>
        <v>4.3988351297872557</v>
      </c>
      <c r="F172" s="1">
        <f t="shared" si="39"/>
        <v>1.6211395456741252E-2</v>
      </c>
      <c r="G172" s="1">
        <f t="shared" si="40"/>
        <v>7.1311255837986934E-2</v>
      </c>
      <c r="H172" s="1">
        <f>'01 Traffic inputs'!$B$8/F172</f>
        <v>64.152404570918847</v>
      </c>
      <c r="I172" s="1">
        <f>MATCH(H172,'02 Emission rates'!$A$7:$A$15,1)</f>
        <v>6</v>
      </c>
      <c r="J172" s="1">
        <f>INDEX('02 Emission rates'!$D$7:$D$15,I172)</f>
        <v>20615.635195313702</v>
      </c>
      <c r="K172" s="1">
        <f>INDEX('02 Emission rates'!$E$7:$E$15,I172)</f>
        <v>30.344373182827162</v>
      </c>
      <c r="L172" s="1">
        <f>INDEX('02 Emission rates'!$F$7:$F$15,I172)</f>
        <v>135.13776314017983</v>
      </c>
      <c r="M172" s="1">
        <f>INDEX('02 Emission rates'!$G$7:$G$15,I172)</f>
        <v>5.4702300406244557</v>
      </c>
      <c r="N172" s="1">
        <f t="shared" si="41"/>
        <v>1470.1268356756232</v>
      </c>
      <c r="O172" s="1">
        <f t="shared" si="42"/>
        <v>2.1638953592839378</v>
      </c>
      <c r="P172" s="1">
        <f t="shared" si="43"/>
        <v>9.6368436006626439</v>
      </c>
      <c r="Q172" s="1">
        <f t="shared" si="44"/>
        <v>0.39008897391961223</v>
      </c>
      <c r="R172" s="1">
        <f t="shared" si="45"/>
        <v>63.505353228971614</v>
      </c>
      <c r="S172" s="1">
        <f t="shared" si="46"/>
        <v>1.0294035339059653</v>
      </c>
      <c r="T172" s="1">
        <f t="shared" si="47"/>
        <v>21221.807723772112</v>
      </c>
      <c r="U172" s="1">
        <f t="shared" si="48"/>
        <v>31.236604988563684</v>
      </c>
      <c r="V172" s="1">
        <f t="shared" si="49"/>
        <v>139.11129094064839</v>
      </c>
      <c r="W172" s="1">
        <f t="shared" si="50"/>
        <v>5.6310741350973847</v>
      </c>
      <c r="X172" s="1"/>
      <c r="Y172" s="1"/>
      <c r="Z172" s="1"/>
      <c r="AA172" s="1"/>
      <c r="AB172" s="1"/>
      <c r="AC172" s="1"/>
      <c r="AD172" s="1"/>
      <c r="AE172" s="1"/>
    </row>
    <row r="173" spans="1:31" ht="22.05" customHeight="1">
      <c r="A173" s="1">
        <f>'01 Traffic inputs'!B123</f>
        <v>1.3732126996637173E-2</v>
      </c>
      <c r="B173" s="1">
        <f>'01 Traffic inputs'!C123</f>
        <v>9.508523860076131E-4</v>
      </c>
      <c r="C173" s="1">
        <f>IF('01 Traffic inputs'!$B$16&lt;=2/3,(4*A173*(1-A173))^$B$16,1-ABS(2*A173-1)^$B$17)</f>
        <v>5.0057746997719437E-5</v>
      </c>
      <c r="D173" s="1">
        <f>IF('01 Traffic inputs'!$B$16&lt;=2/3,4*$B$16*(1-2*A173)*(4*A173*(1-A173))^($B$16-1),-2*$B$17*SIGN(2*A173-1)*ABS(2*A173-1)^($B$17-1))</f>
        <v>1.2208469088002808E-2</v>
      </c>
      <c r="E173" s="1">
        <f t="shared" si="38"/>
        <v>4.5545862469768608</v>
      </c>
      <c r="F173" s="1">
        <f t="shared" si="39"/>
        <v>1.6211999266296961E-2</v>
      </c>
      <c r="G173" s="1">
        <f t="shared" si="40"/>
        <v>7.38389488942751E-2</v>
      </c>
      <c r="H173" s="1">
        <f>'01 Traffic inputs'!$B$8/F173</f>
        <v>64.150015239765708</v>
      </c>
      <c r="I173" s="1">
        <f>MATCH(H173,'02 Emission rates'!$A$7:$A$15,1)</f>
        <v>6</v>
      </c>
      <c r="J173" s="1">
        <f>INDEX('02 Emission rates'!$D$7:$D$15,I173)</f>
        <v>20615.635195313702</v>
      </c>
      <c r="K173" s="1">
        <f>INDEX('02 Emission rates'!$E$7:$E$15,I173)</f>
        <v>30.344373182827162</v>
      </c>
      <c r="L173" s="1">
        <f>INDEX('02 Emission rates'!$F$7:$F$15,I173)</f>
        <v>135.13776314017983</v>
      </c>
      <c r="M173" s="1">
        <f>INDEX('02 Emission rates'!$G$7:$G$15,I173)</f>
        <v>5.4702300406244557</v>
      </c>
      <c r="N173" s="1">
        <f t="shared" si="41"/>
        <v>1522.2368336097875</v>
      </c>
      <c r="O173" s="1">
        <f t="shared" si="42"/>
        <v>2.2405966206755865</v>
      </c>
      <c r="P173" s="1">
        <f t="shared" si="43"/>
        <v>9.9784303861943915</v>
      </c>
      <c r="Q173" s="1">
        <f t="shared" si="44"/>
        <v>0.40391603640959761</v>
      </c>
      <c r="R173" s="1">
        <f t="shared" si="45"/>
        <v>68.059939475948482</v>
      </c>
      <c r="S173" s="1">
        <f t="shared" si="46"/>
        <v>1.1032424828002403</v>
      </c>
      <c r="T173" s="1">
        <f t="shared" si="47"/>
        <v>22744.044557381898</v>
      </c>
      <c r="U173" s="1">
        <f t="shared" si="48"/>
        <v>33.477201609239273</v>
      </c>
      <c r="V173" s="1">
        <f t="shared" si="49"/>
        <v>149.08972132684278</v>
      </c>
      <c r="W173" s="1">
        <f t="shared" si="50"/>
        <v>6.0349901715069825</v>
      </c>
      <c r="X173" s="1"/>
      <c r="Y173" s="1"/>
      <c r="Z173" s="1"/>
      <c r="AA173" s="1"/>
      <c r="AB173" s="1"/>
      <c r="AC173" s="1"/>
      <c r="AD173" s="1"/>
      <c r="AE173" s="1"/>
    </row>
    <row r="174" spans="1:31" ht="22.05" customHeight="1">
      <c r="A174" s="1">
        <f>'01 Traffic inputs'!B124</f>
        <v>1.4699199987792455E-2</v>
      </c>
      <c r="B174" s="1">
        <f>'01 Traffic inputs'!C124</f>
        <v>9.8328283622693582E-4</v>
      </c>
      <c r="C174" s="1">
        <f>IF('01 Traffic inputs'!$B$16&lt;=2/3,(4*A174*(1-A174))^$B$16,1-ABS(2*A174-1)^$B$17)</f>
        <v>6.2864789478875611E-5</v>
      </c>
      <c r="D174" s="1">
        <f>IF('01 Traffic inputs'!$B$16&lt;=2/3,4*$B$16*(1-2*A174)*(4*A174*(1-A174))^($B$16-1),-2*$B$17*SIGN(2*A174-1)*ABS(2*A174-1)^($B$17-1))</f>
        <v>1.4308791914680263E-2</v>
      </c>
      <c r="E174" s="1">
        <f t="shared" si="38"/>
        <v>4.7100556786287902</v>
      </c>
      <c r="F174" s="1">
        <f t="shared" si="39"/>
        <v>1.6212733618907179E-2</v>
      </c>
      <c r="G174" s="1">
        <f t="shared" si="40"/>
        <v>7.6362878047829652E-2</v>
      </c>
      <c r="H174" s="1">
        <f>'01 Traffic inputs'!$B$8/F174</f>
        <v>64.14710957732504</v>
      </c>
      <c r="I174" s="1">
        <f>MATCH(H174,'02 Emission rates'!$A$7:$A$15,1)</f>
        <v>6</v>
      </c>
      <c r="J174" s="1">
        <f>INDEX('02 Emission rates'!$D$7:$D$15,I174)</f>
        <v>20615.635195313702</v>
      </c>
      <c r="K174" s="1">
        <f>INDEX('02 Emission rates'!$E$7:$E$15,I174)</f>
        <v>30.344373182827162</v>
      </c>
      <c r="L174" s="1">
        <f>INDEX('02 Emission rates'!$F$7:$F$15,I174)</f>
        <v>135.13776314017983</v>
      </c>
      <c r="M174" s="1">
        <f>INDEX('02 Emission rates'!$G$7:$G$15,I174)</f>
        <v>5.4702300406244557</v>
      </c>
      <c r="N174" s="1">
        <f t="shared" si="41"/>
        <v>1574.269236298285</v>
      </c>
      <c r="O174" s="1">
        <f t="shared" si="42"/>
        <v>2.3171836687980631</v>
      </c>
      <c r="P174" s="1">
        <f t="shared" si="43"/>
        <v>10.319508526330042</v>
      </c>
      <c r="Q174" s="1">
        <f t="shared" si="44"/>
        <v>0.41772250948577955</v>
      </c>
      <c r="R174" s="1">
        <f t="shared" si="45"/>
        <v>72.769995154577273</v>
      </c>
      <c r="S174" s="1">
        <f t="shared" si="46"/>
        <v>1.1796053608480699</v>
      </c>
      <c r="T174" s="1">
        <f t="shared" si="47"/>
        <v>24318.313793680183</v>
      </c>
      <c r="U174" s="1">
        <f t="shared" si="48"/>
        <v>35.794385278037339</v>
      </c>
      <c r="V174" s="1">
        <f t="shared" si="49"/>
        <v>159.40922985317283</v>
      </c>
      <c r="W174" s="1">
        <f t="shared" si="50"/>
        <v>6.4527126809927617</v>
      </c>
      <c r="X174" s="1"/>
      <c r="Y174" s="1"/>
      <c r="Z174" s="1"/>
      <c r="AA174" s="1"/>
      <c r="AB174" s="1"/>
      <c r="AC174" s="1"/>
      <c r="AD174" s="1"/>
      <c r="AE174" s="1"/>
    </row>
    <row r="175" spans="1:31" ht="22.05" customHeight="1">
      <c r="A175" s="1">
        <f>'01 Traffic inputs'!B125</f>
        <v>1.5698670788318603E-2</v>
      </c>
      <c r="B175" s="1">
        <f>'01 Traffic inputs'!C125</f>
        <v>1.0156476442760352E-3</v>
      </c>
      <c r="C175" s="1">
        <f>IF('01 Traffic inputs'!$B$16&lt;=2/3,(4*A175*(1-A175))^$B$16,1-ABS(2*A175-1)^$B$17)</f>
        <v>7.8332580599168564E-5</v>
      </c>
      <c r="D175" s="1">
        <f>IF('01 Traffic inputs'!$B$16&lt;=2/3,4*$B$16*(1-2*A175)*(4*A175*(1-A175))^($B$16-1),-2*$B$17*SIGN(2*A175-1)*ABS(2*A175-1)^($B$17-1))</f>
        <v>1.6676855696994088E-2</v>
      </c>
      <c r="E175" s="1">
        <f t="shared" si="38"/>
        <v>4.8652358580546631</v>
      </c>
      <c r="F175" s="1">
        <f t="shared" si="39"/>
        <v>1.6213620538178364E-2</v>
      </c>
      <c r="G175" s="1">
        <f t="shared" si="40"/>
        <v>7.888308803123692E-2</v>
      </c>
      <c r="H175" s="1">
        <f>'01 Traffic inputs'!$B$8/F175</f>
        <v>64.143600595013481</v>
      </c>
      <c r="I175" s="1">
        <f>MATCH(H175,'02 Emission rates'!$A$7:$A$15,1)</f>
        <v>6</v>
      </c>
      <c r="J175" s="1">
        <f>INDEX('02 Emission rates'!$D$7:$D$15,I175)</f>
        <v>20615.635195313702</v>
      </c>
      <c r="K175" s="1">
        <f>INDEX('02 Emission rates'!$E$7:$E$15,I175)</f>
        <v>30.344373182827162</v>
      </c>
      <c r="L175" s="1">
        <f>INDEX('02 Emission rates'!$F$7:$F$15,I175)</f>
        <v>135.13776314017983</v>
      </c>
      <c r="M175" s="1">
        <f>INDEX('02 Emission rates'!$G$7:$G$15,I175)</f>
        <v>5.4702300406244557</v>
      </c>
      <c r="N175" s="1">
        <f t="shared" si="41"/>
        <v>1626.2249659317968</v>
      </c>
      <c r="O175" s="1">
        <f t="shared" si="42"/>
        <v>2.3936578610336601</v>
      </c>
      <c r="P175" s="1">
        <f t="shared" si="43"/>
        <v>10.660084066131249</v>
      </c>
      <c r="Q175" s="1">
        <f t="shared" si="44"/>
        <v>0.43150863784569565</v>
      </c>
      <c r="R175" s="1">
        <f t="shared" si="45"/>
        <v>77.635231012631934</v>
      </c>
      <c r="S175" s="1">
        <f t="shared" si="46"/>
        <v>1.2584884488793069</v>
      </c>
      <c r="T175" s="1">
        <f t="shared" si="47"/>
        <v>25944.53875961198</v>
      </c>
      <c r="U175" s="1">
        <f t="shared" si="48"/>
        <v>38.188043139070999</v>
      </c>
      <c r="V175" s="1">
        <f t="shared" si="49"/>
        <v>170.06931391930408</v>
      </c>
      <c r="W175" s="1">
        <f t="shared" si="50"/>
        <v>6.8842213188384571</v>
      </c>
      <c r="X175" s="1"/>
      <c r="Y175" s="1"/>
      <c r="Z175" s="1"/>
      <c r="AA175" s="1"/>
      <c r="AB175" s="1"/>
      <c r="AC175" s="1"/>
      <c r="AD175" s="1"/>
      <c r="AE175" s="1"/>
    </row>
    <row r="176" spans="1:31" ht="22.05" customHeight="1">
      <c r="A176" s="1">
        <f>'01 Traffic inputs'!B126</f>
        <v>1.6730472675364483E-2</v>
      </c>
      <c r="B176" s="1">
        <f>'01 Traffic inputs'!C126</f>
        <v>1.0479446495357228E-3</v>
      </c>
      <c r="C176" s="1">
        <f>IF('01 Traffic inputs'!$B$16&lt;=2/3,(4*A176*(1-A176))^$B$16,1-ABS(2*A176-1)^$B$17)</f>
        <v>9.6892378140732926E-5</v>
      </c>
      <c r="D176" s="1">
        <f>IF('01 Traffic inputs'!$B$16&lt;=2/3,4*$B$16*(1-2*A176)*(4*A176*(1-A176))^($B$16-1),-2*$B$17*SIGN(2*A176-1)*ABS(2*A176-1)^($B$17-1))</f>
        <v>1.9335048471067345E-2</v>
      </c>
      <c r="E176" s="1">
        <f t="shared" si="38"/>
        <v>5.0201194586040732</v>
      </c>
      <c r="F176" s="1">
        <f t="shared" si="39"/>
        <v>1.6214684752323804E-2</v>
      </c>
      <c r="G176" s="1">
        <f t="shared" si="40"/>
        <v>8.1399654440271502E-2</v>
      </c>
      <c r="H176" s="1">
        <f>'01 Traffic inputs'!$B$8/F176</f>
        <v>64.139390674923433</v>
      </c>
      <c r="I176" s="1">
        <f>MATCH(H176,'02 Emission rates'!$A$7:$A$15,1)</f>
        <v>5</v>
      </c>
      <c r="J176" s="1">
        <f>INDEX('02 Emission rates'!$D$7:$D$15,I176)</f>
        <v>15845.527995946721</v>
      </c>
      <c r="K176" s="1">
        <f>INDEX('02 Emission rates'!$E$7:$E$15,I176)</f>
        <v>20.885654518874212</v>
      </c>
      <c r="L176" s="1">
        <f>INDEX('02 Emission rates'!$F$7:$F$15,I176)</f>
        <v>98.655405882152721</v>
      </c>
      <c r="M176" s="1">
        <f>INDEX('02 Emission rates'!$G$7:$G$15,I176)</f>
        <v>4.4998305826136002</v>
      </c>
      <c r="N176" s="1">
        <f t="shared" si="41"/>
        <v>1289.8205032937108</v>
      </c>
      <c r="O176" s="1">
        <f t="shared" si="42"/>
        <v>1.7000850605952558</v>
      </c>
      <c r="P176" s="1">
        <f t="shared" si="43"/>
        <v>8.0305159474719598</v>
      </c>
      <c r="Q176" s="1">
        <f t="shared" si="44"/>
        <v>0.36628465446451264</v>
      </c>
      <c r="R176" s="1">
        <f t="shared" si="45"/>
        <v>82.655350471236005</v>
      </c>
      <c r="S176" s="1">
        <f t="shared" si="46"/>
        <v>1.3398881033195784</v>
      </c>
      <c r="T176" s="1">
        <f t="shared" si="47"/>
        <v>27234.359262905691</v>
      </c>
      <c r="U176" s="1">
        <f t="shared" si="48"/>
        <v>39.888128199666255</v>
      </c>
      <c r="V176" s="1">
        <f t="shared" si="49"/>
        <v>178.09982986677605</v>
      </c>
      <c r="W176" s="1">
        <f t="shared" si="50"/>
        <v>7.2505059733029693</v>
      </c>
      <c r="X176" s="1"/>
      <c r="Y176" s="1"/>
      <c r="Z176" s="1"/>
      <c r="AA176" s="1"/>
      <c r="AB176" s="1"/>
      <c r="AC176" s="1"/>
      <c r="AD176" s="1"/>
      <c r="AE176" s="1"/>
    </row>
    <row r="177" spans="1:31" ht="22.05" customHeight="1">
      <c r="A177" s="1">
        <f>'01 Traffic inputs'!B127</f>
        <v>1.7794536767709923E-2</v>
      </c>
      <c r="B177" s="1">
        <f>'01 Traffic inputs'!C127</f>
        <v>1.0801716959114621E-3</v>
      </c>
      <c r="C177" s="1">
        <f>IF('01 Traffic inputs'!$B$16&lt;=2/3,(4*A177*(1-A177))^$B$16,1-ABS(2*A177-1)^$B$17)</f>
        <v>1.1902619647486786E-4</v>
      </c>
      <c r="D177" s="1">
        <f>IF('01 Traffic inputs'!$B$16&lt;=2/3,4*$B$16*(1-2*A177)*(4*A177*(1-A177))^($B$16-1),-2*$B$17*SIGN(2*A177-1)*ABS(2*A177-1)^($B$17-1))</f>
        <v>2.2306564031354975E-2</v>
      </c>
      <c r="E177" s="1">
        <f t="shared" si="38"/>
        <v>5.1746993990826411</v>
      </c>
      <c r="F177" s="1">
        <f t="shared" si="39"/>
        <v>1.6215953899926899E-2</v>
      </c>
      <c r="G177" s="1">
        <f t="shared" si="40"/>
        <v>8.3912686901503539E-2</v>
      </c>
      <c r="H177" s="1">
        <f>'01 Traffic inputs'!$B$8/F177</f>
        <v>64.134370781894532</v>
      </c>
      <c r="I177" s="1">
        <f>MATCH(H177,'02 Emission rates'!$A$7:$A$15,1)</f>
        <v>5</v>
      </c>
      <c r="J177" s="1">
        <f>INDEX('02 Emission rates'!$D$7:$D$15,I177)</f>
        <v>15845.527995946721</v>
      </c>
      <c r="K177" s="1">
        <f>INDEX('02 Emission rates'!$E$7:$E$15,I177)</f>
        <v>20.885654518874212</v>
      </c>
      <c r="L177" s="1">
        <f>INDEX('02 Emission rates'!$F$7:$F$15,I177)</f>
        <v>98.655405882152721</v>
      </c>
      <c r="M177" s="1">
        <f>INDEX('02 Emission rates'!$G$7:$G$15,I177)</f>
        <v>4.4998305826136002</v>
      </c>
      <c r="N177" s="1">
        <f t="shared" si="41"/>
        <v>1329.6408295128861</v>
      </c>
      <c r="O177" s="1">
        <f t="shared" si="42"/>
        <v>1.7525713883752643</v>
      </c>
      <c r="P177" s="1">
        <f t="shared" si="43"/>
        <v>8.2784401849298312</v>
      </c>
      <c r="Q177" s="1">
        <f t="shared" si="44"/>
        <v>0.37759287478866527</v>
      </c>
      <c r="R177" s="1">
        <f t="shared" si="45"/>
        <v>87.830049870318646</v>
      </c>
      <c r="S177" s="1">
        <f t="shared" si="46"/>
        <v>1.4238007902210819</v>
      </c>
      <c r="T177" s="1">
        <f t="shared" si="47"/>
        <v>28564.000092418577</v>
      </c>
      <c r="U177" s="1">
        <f t="shared" si="48"/>
        <v>41.640699588041521</v>
      </c>
      <c r="V177" s="1">
        <f t="shared" si="49"/>
        <v>186.37827005170587</v>
      </c>
      <c r="W177" s="1">
        <f t="shared" si="50"/>
        <v>7.6280988480916347</v>
      </c>
      <c r="X177" s="1"/>
      <c r="Y177" s="1"/>
      <c r="Z177" s="1"/>
      <c r="AA177" s="1"/>
      <c r="AB177" s="1"/>
      <c r="AC177" s="1"/>
      <c r="AD177" s="1"/>
      <c r="AE177" s="1"/>
    </row>
    <row r="178" spans="1:31" ht="22.05" customHeight="1">
      <c r="A178" s="1">
        <f>'01 Traffic inputs'!B128</f>
        <v>1.8890792030365089E-2</v>
      </c>
      <c r="B178" s="1">
        <f>'01 Traffic inputs'!C128</f>
        <v>1.1123266319816396E-3</v>
      </c>
      <c r="C178" s="1">
        <f>IF('01 Traffic inputs'!$B$16&lt;=2/3,(4*A178*(1-A178))^$B$16,1-ABS(2*A178-1)^$B$17)</f>
        <v>1.4527046556854289E-4</v>
      </c>
      <c r="D178" s="1">
        <f>IF('01 Traffic inputs'!$B$16&lt;=2/3,4*$B$16*(1-2*A178)*(4*A178*(1-A178))^($B$16-1),-2*$B$17*SIGN(2*A178-1)*ABS(2*A178-1)^($B$17-1))</f>
        <v>2.5615362607909538E-2</v>
      </c>
      <c r="E178" s="1">
        <f t="shared" si="38"/>
        <v>5.3289688484091675</v>
      </c>
      <c r="F178" s="1">
        <f t="shared" si="39"/>
        <v>1.6217458739747684E-2</v>
      </c>
      <c r="G178" s="1">
        <f t="shared" si="40"/>
        <v>8.6422332424476403E-2</v>
      </c>
      <c r="H178" s="1">
        <f>'01 Traffic inputs'!$B$8/F178</f>
        <v>64.12841966732212</v>
      </c>
      <c r="I178" s="1">
        <f>MATCH(H178,'02 Emission rates'!$A$7:$A$15,1)</f>
        <v>5</v>
      </c>
      <c r="J178" s="1">
        <f>INDEX('02 Emission rates'!$D$7:$D$15,I178)</f>
        <v>15845.527995946721</v>
      </c>
      <c r="K178" s="1">
        <f>INDEX('02 Emission rates'!$E$7:$E$15,I178)</f>
        <v>20.885654518874212</v>
      </c>
      <c r="L178" s="1">
        <f>INDEX('02 Emission rates'!$F$7:$F$15,I178)</f>
        <v>98.655405882152721</v>
      </c>
      <c r="M178" s="1">
        <f>INDEX('02 Emission rates'!$G$7:$G$15,I178)</f>
        <v>4.4998305826136002</v>
      </c>
      <c r="N178" s="1">
        <f t="shared" si="41"/>
        <v>1369.4074879070549</v>
      </c>
      <c r="O178" s="1">
        <f t="shared" si="42"/>
        <v>1.8049869777329148</v>
      </c>
      <c r="P178" s="1">
        <f t="shared" si="43"/>
        <v>8.5260302826190468</v>
      </c>
      <c r="Q178" s="1">
        <f t="shared" si="44"/>
        <v>0.38888585446445789</v>
      </c>
      <c r="R178" s="1">
        <f t="shared" si="45"/>
        <v>93.159018718727808</v>
      </c>
      <c r="S178" s="1">
        <f t="shared" si="46"/>
        <v>1.5102231226455582</v>
      </c>
      <c r="T178" s="1">
        <f t="shared" si="47"/>
        <v>29933.407580325631</v>
      </c>
      <c r="U178" s="1">
        <f t="shared" si="48"/>
        <v>43.445686565774437</v>
      </c>
      <c r="V178" s="1">
        <f t="shared" si="49"/>
        <v>194.90430033432492</v>
      </c>
      <c r="W178" s="1">
        <f t="shared" si="50"/>
        <v>8.0169847025560923</v>
      </c>
      <c r="X178" s="1"/>
      <c r="Y178" s="1"/>
      <c r="Z178" s="1"/>
      <c r="AA178" s="1"/>
      <c r="AB178" s="1"/>
      <c r="AC178" s="1"/>
      <c r="AD178" s="1"/>
      <c r="AE178" s="1"/>
    </row>
    <row r="179" spans="1:31" ht="22.05" customHeight="1">
      <c r="A179" s="1">
        <f>'01 Traffic inputs'!B129</f>
        <v>2.0019165279312912E-2</v>
      </c>
      <c r="B179" s="1">
        <f>'01 Traffic inputs'!C129</f>
        <v>1.1444073111375607E-3</v>
      </c>
      <c r="C179" s="1">
        <f>IF('01 Traffic inputs'!$B$16&lt;=2/3,(4*A179*(1-A179))^$B$16,1-ABS(2*A179-1)^$B$17)</f>
        <v>1.7621974711964718E-4</v>
      </c>
      <c r="D179" s="1">
        <f>IF('01 Traffic inputs'!$B$16&lt;=2/3,4*$B$16*(1-2*A179)*(4*A179*(1-A179))^($B$16-1),-2*$B$17*SIGN(2*A179-1)*ABS(2*A179-1)^($B$17-1))</f>
        <v>2.9286127726672988E-2</v>
      </c>
      <c r="E179" s="1">
        <f t="shared" si="38"/>
        <v>5.4829212293829972</v>
      </c>
      <c r="F179" s="1">
        <f t="shared" si="39"/>
        <v>1.6219233363805093E-2</v>
      </c>
      <c r="G179" s="1">
        <f t="shared" si="40"/>
        <v>8.8928778934723951E-2</v>
      </c>
      <c r="H179" s="1">
        <f>'01 Traffic inputs'!$B$8/F179</f>
        <v>64.121403069573475</v>
      </c>
      <c r="I179" s="1">
        <f>MATCH(H179,'02 Emission rates'!$A$7:$A$15,1)</f>
        <v>5</v>
      </c>
      <c r="J179" s="1">
        <f>INDEX('02 Emission rates'!$D$7:$D$15,I179)</f>
        <v>15845.527995946721</v>
      </c>
      <c r="K179" s="1">
        <f>INDEX('02 Emission rates'!$E$7:$E$15,I179)</f>
        <v>20.885654518874212</v>
      </c>
      <c r="L179" s="1">
        <f>INDEX('02 Emission rates'!$F$7:$F$15,I179)</f>
        <v>98.655405882152721</v>
      </c>
      <c r="M179" s="1">
        <f>INDEX('02 Emission rates'!$G$7:$G$15,I179)</f>
        <v>4.4998305826136002</v>
      </c>
      <c r="N179" s="1">
        <f t="shared" si="41"/>
        <v>1409.1234562555253</v>
      </c>
      <c r="O179" s="1">
        <f t="shared" si="42"/>
        <v>1.8573357536159831</v>
      </c>
      <c r="P179" s="1">
        <f t="shared" si="43"/>
        <v>8.7733047804094237</v>
      </c>
      <c r="Q179" s="1">
        <f t="shared" si="44"/>
        <v>0.40016443912495492</v>
      </c>
      <c r="R179" s="1">
        <f t="shared" si="45"/>
        <v>98.641939948110803</v>
      </c>
      <c r="S179" s="1">
        <f t="shared" si="46"/>
        <v>1.5991519015802822</v>
      </c>
      <c r="T179" s="1">
        <f t="shared" si="47"/>
        <v>31342.531036581157</v>
      </c>
      <c r="U179" s="1">
        <f t="shared" si="48"/>
        <v>45.303022319390422</v>
      </c>
      <c r="V179" s="1">
        <f t="shared" si="49"/>
        <v>203.67760511473435</v>
      </c>
      <c r="W179" s="1">
        <f t="shared" si="50"/>
        <v>8.4171491416810476</v>
      </c>
      <c r="X179" s="1"/>
      <c r="Y179" s="1"/>
      <c r="Z179" s="1"/>
      <c r="AA179" s="1"/>
      <c r="AB179" s="1"/>
      <c r="AC179" s="1"/>
      <c r="AD179" s="1"/>
      <c r="AE179" s="1"/>
    </row>
    <row r="180" spans="1:31" ht="22.05" customHeight="1">
      <c r="A180" s="1">
        <f>'01 Traffic inputs'!B130</f>
        <v>2.1179581186395291E-2</v>
      </c>
      <c r="B180" s="1">
        <f>'01 Traffic inputs'!C130</f>
        <v>1.176411591729321E-3</v>
      </c>
      <c r="C180" s="1">
        <f>IF('01 Traffic inputs'!$B$16&lt;=2/3,(4*A180*(1-A180))^$B$16,1-ABS(2*A180-1)^$B$17)</f>
        <v>2.1253049367116065E-4</v>
      </c>
      <c r="D180" s="1">
        <f>IF('01 Traffic inputs'!$B$16&lt;=2/3,4*$B$16*(1-2*A180)*(4*A180*(1-A180))^($B$16-1),-2*$B$17*SIGN(2*A180-1)*ABS(2*A180-1)^($B$17-1))</f>
        <v>3.3344219342243533E-2</v>
      </c>
      <c r="E180" s="1">
        <f t="shared" si="38"/>
        <v>5.6365502215835477</v>
      </c>
      <c r="F180" s="1">
        <f t="shared" si="39"/>
        <v>1.6221315412923633E-2</v>
      </c>
      <c r="G180" s="1">
        <f t="shared" si="40"/>
        <v>9.1432258985091316E-2</v>
      </c>
      <c r="H180" s="1">
        <f>'01 Traffic inputs'!$B$8/F180</f>
        <v>64.113172916386631</v>
      </c>
      <c r="I180" s="1">
        <f>MATCH(H180,'02 Emission rates'!$A$7:$A$15,1)</f>
        <v>5</v>
      </c>
      <c r="J180" s="1">
        <f>INDEX('02 Emission rates'!$D$7:$D$15,I180)</f>
        <v>15845.527995946721</v>
      </c>
      <c r="K180" s="1">
        <f>INDEX('02 Emission rates'!$E$7:$E$15,I180)</f>
        <v>20.885654518874212</v>
      </c>
      <c r="L180" s="1">
        <f>INDEX('02 Emission rates'!$F$7:$F$15,I180)</f>
        <v>98.655405882152721</v>
      </c>
      <c r="M180" s="1">
        <f>INDEX('02 Emission rates'!$G$7:$G$15,I180)</f>
        <v>4.4998305826136002</v>
      </c>
      <c r="N180" s="1">
        <f t="shared" si="41"/>
        <v>1448.7924194809154</v>
      </c>
      <c r="O180" s="1">
        <f t="shared" si="42"/>
        <v>1.9096225730428498</v>
      </c>
      <c r="P180" s="1">
        <f t="shared" si="43"/>
        <v>9.0202866208962895</v>
      </c>
      <c r="Q180" s="1">
        <f t="shared" si="44"/>
        <v>0.41142967521856105</v>
      </c>
      <c r="R180" s="1">
        <f t="shared" si="45"/>
        <v>104.27849016969435</v>
      </c>
      <c r="S180" s="1">
        <f t="shared" si="46"/>
        <v>1.6905841605653735</v>
      </c>
      <c r="T180" s="1">
        <f t="shared" si="47"/>
        <v>32791.323456062069</v>
      </c>
      <c r="U180" s="1">
        <f t="shared" si="48"/>
        <v>47.212644892433275</v>
      </c>
      <c r="V180" s="1">
        <f t="shared" si="49"/>
        <v>212.69789173563063</v>
      </c>
      <c r="W180" s="1">
        <f t="shared" si="50"/>
        <v>8.8285788168996078</v>
      </c>
      <c r="X180" s="1"/>
      <c r="Y180" s="1"/>
      <c r="Z180" s="1"/>
      <c r="AA180" s="1"/>
      <c r="AB180" s="1"/>
      <c r="AC180" s="1"/>
      <c r="AD180" s="1"/>
      <c r="AE180" s="1"/>
    </row>
    <row r="181" spans="1:31" ht="22.05" customHeight="1">
      <c r="A181" s="1">
        <f>'01 Traffic inputs'!B131</f>
        <v>2.2371962284342017E-2</v>
      </c>
      <c r="B181" s="1">
        <f>'01 Traffic inputs'!C131</f>
        <v>1.2083373372072919E-3</v>
      </c>
      <c r="C181" s="1">
        <f>IF('01 Traffic inputs'!$B$16&lt;=2/3,(4*A181*(1-A181))^$B$16,1-ABS(2*A181-1)^$B$17)</f>
        <v>2.5492483583573278E-4</v>
      </c>
      <c r="D181" s="1">
        <f>IF('01 Traffic inputs'!$B$16&lt;=2/3,4*$B$16*(1-2*A181)*(4*A181*(1-A181))^($B$16-1),-2*$B$17*SIGN(2*A181-1)*ABS(2*A181-1)^($B$17-1))</f>
        <v>3.7815623342340239E-2</v>
      </c>
      <c r="E181" s="1">
        <f t="shared" si="38"/>
        <v>5.789849763309995</v>
      </c>
      <c r="F181" s="1">
        <f t="shared" si="39"/>
        <v>1.6223746293891873E-2</v>
      </c>
      <c r="G181" s="1">
        <f t="shared" si="40"/>
        <v>9.3933053639691275E-2</v>
      </c>
      <c r="H181" s="1">
        <f>'01 Traffic inputs'!$B$8/F181</f>
        <v>64.103566535157981</v>
      </c>
      <c r="I181" s="1">
        <f>MATCH(H181,'02 Emission rates'!$A$7:$A$15,1)</f>
        <v>5</v>
      </c>
      <c r="J181" s="1">
        <f>INDEX('02 Emission rates'!$D$7:$D$15,I181)</f>
        <v>15845.527995946721</v>
      </c>
      <c r="K181" s="1">
        <f>INDEX('02 Emission rates'!$E$7:$E$15,I181)</f>
        <v>20.885654518874212</v>
      </c>
      <c r="L181" s="1">
        <f>INDEX('02 Emission rates'!$F$7:$F$15,I181)</f>
        <v>98.655405882152721</v>
      </c>
      <c r="M181" s="1">
        <f>INDEX('02 Emission rates'!$G$7:$G$15,I181)</f>
        <v>4.4998305826136002</v>
      </c>
      <c r="N181" s="1">
        <f t="shared" si="41"/>
        <v>1488.4188311924931</v>
      </c>
      <c r="O181" s="1">
        <f t="shared" si="42"/>
        <v>1.9618533062214718</v>
      </c>
      <c r="P181" s="1">
        <f t="shared" si="43"/>
        <v>9.2670035325737654</v>
      </c>
      <c r="Q181" s="1">
        <f t="shared" si="44"/>
        <v>0.42268282748616653</v>
      </c>
      <c r="R181" s="1">
        <f t="shared" si="45"/>
        <v>110.06833993300435</v>
      </c>
      <c r="S181" s="1">
        <f t="shared" si="46"/>
        <v>1.7845172142050647</v>
      </c>
      <c r="T181" s="1">
        <f t="shared" si="47"/>
        <v>34279.742287254565</v>
      </c>
      <c r="U181" s="1">
        <f t="shared" si="48"/>
        <v>49.174498198654746</v>
      </c>
      <c r="V181" s="1">
        <f t="shared" si="49"/>
        <v>221.9648952682044</v>
      </c>
      <c r="W181" s="1">
        <f t="shared" si="50"/>
        <v>9.2512616443857745</v>
      </c>
      <c r="X181" s="1"/>
      <c r="Y181" s="1"/>
      <c r="Z181" s="1"/>
      <c r="AA181" s="1"/>
      <c r="AB181" s="1"/>
      <c r="AC181" s="1"/>
      <c r="AD181" s="1"/>
      <c r="AE181" s="1"/>
    </row>
    <row r="182" spans="1:31" ht="22.05" customHeight="1">
      <c r="A182" s="1">
        <f>'01 Traffic inputs'!B132</f>
        <v>2.3596228971942801E-2</v>
      </c>
      <c r="B182" s="1">
        <f>'01 Traffic inputs'!C132</f>
        <v>1.2401824162640775E-3</v>
      </c>
      <c r="C182" s="1">
        <f>IF('01 Traffic inputs'!$B$16&lt;=2/3,(4*A182*(1-A182))^$B$16,1-ABS(2*A182-1)^$B$17)</f>
        <v>3.0419438209326678E-4</v>
      </c>
      <c r="D182" s="1">
        <f>IF('01 Traffic inputs'!$B$16&lt;=2/3,4*$B$16*(1-2*A182)*(4*A182*(1-A182))^($B$16-1),-2*$B$17*SIGN(2*A182-1)*ABS(2*A182-1)^($B$17-1))</f>
        <v>4.2726897532822189E-2</v>
      </c>
      <c r="E182" s="1">
        <f t="shared" si="38"/>
        <v>5.9428140525446924</v>
      </c>
      <c r="F182" s="1">
        <f t="shared" si="39"/>
        <v>1.6226571397341912E-2</v>
      </c>
      <c r="G182" s="1">
        <f t="shared" si="40"/>
        <v>9.6431496524743282E-2</v>
      </c>
      <c r="H182" s="1">
        <f>'01 Traffic inputs'!$B$8/F182</f>
        <v>64.092405877583218</v>
      </c>
      <c r="I182" s="1">
        <f>MATCH(H182,'02 Emission rates'!$A$7:$A$15,1)</f>
        <v>5</v>
      </c>
      <c r="J182" s="1">
        <f>INDEX('02 Emission rates'!$D$7:$D$15,I182)</f>
        <v>15845.527995946721</v>
      </c>
      <c r="K182" s="1">
        <f>INDEX('02 Emission rates'!$E$7:$E$15,I182)</f>
        <v>20.885654518874212</v>
      </c>
      <c r="L182" s="1">
        <f>INDEX('02 Emission rates'!$F$7:$F$15,I182)</f>
        <v>98.655405882152721</v>
      </c>
      <c r="M182" s="1">
        <f>INDEX('02 Emission rates'!$G$7:$G$15,I182)</f>
        <v>4.4998305826136002</v>
      </c>
      <c r="N182" s="1">
        <f t="shared" si="41"/>
        <v>1528.0079778738586</v>
      </c>
      <c r="O182" s="1">
        <f t="shared" si="42"/>
        <v>2.0140349211538076</v>
      </c>
      <c r="P182" s="1">
        <f t="shared" si="43"/>
        <v>9.5134884294719484</v>
      </c>
      <c r="Q182" s="1">
        <f t="shared" si="44"/>
        <v>0.43392539718923695</v>
      </c>
      <c r="R182" s="1">
        <f t="shared" si="45"/>
        <v>116.01115398554904</v>
      </c>
      <c r="S182" s="1">
        <f t="shared" si="46"/>
        <v>1.880948710729808</v>
      </c>
      <c r="T182" s="1">
        <f t="shared" si="47"/>
        <v>35807.750265128423</v>
      </c>
      <c r="U182" s="1">
        <f t="shared" si="48"/>
        <v>51.188533119808554</v>
      </c>
      <c r="V182" s="1">
        <f t="shared" si="49"/>
        <v>231.47838369767635</v>
      </c>
      <c r="W182" s="1">
        <f t="shared" si="50"/>
        <v>9.685187041575011</v>
      </c>
      <c r="X182" s="1"/>
      <c r="Y182" s="1"/>
      <c r="Z182" s="1"/>
      <c r="AA182" s="1"/>
      <c r="AB182" s="1"/>
      <c r="AC182" s="1"/>
      <c r="AD182" s="1"/>
      <c r="AE182" s="1"/>
    </row>
    <row r="183" spans="1:31" ht="22.05" customHeight="1">
      <c r="A183" s="1">
        <f>'01 Traffic inputs'!B133</f>
        <v>2.4852299519361465E-2</v>
      </c>
      <c r="B183" s="1">
        <f>'01 Traffic inputs'!C133</f>
        <v>1.2719447029789833E-3</v>
      </c>
      <c r="C183" s="1">
        <f>IF('01 Traffic inputs'!$B$16&lt;=2/3,(4*A183*(1-A183))^$B$16,1-ABS(2*A183-1)^$B$17)</f>
        <v>3.6120401500787901E-4</v>
      </c>
      <c r="D183" s="1">
        <f>IF('01 Traffic inputs'!$B$16&lt;=2/3,4*$B$16*(1-2*A183)*(4*A183*(1-A183))^($B$16-1),-2*$B$17*SIGN(2*A183-1)*ABS(2*A183-1)^($B$17-1))</f>
        <v>4.8105114221565527E-2</v>
      </c>
      <c r="E183" s="1">
        <f t="shared" si="38"/>
        <v>6.0954375469137654</v>
      </c>
      <c r="F183" s="1">
        <f t="shared" si="39"/>
        <v>1.6229840315423495E-2</v>
      </c>
      <c r="G183" s="1">
        <f t="shared" si="40"/>
        <v>9.8927978039047126E-2</v>
      </c>
      <c r="H183" s="1">
        <f>'01 Traffic inputs'!$B$8/F183</f>
        <v>64.07949676570081</v>
      </c>
      <c r="I183" s="1">
        <f>MATCH(H183,'02 Emission rates'!$A$7:$A$15,1)</f>
        <v>5</v>
      </c>
      <c r="J183" s="1">
        <f>INDEX('02 Emission rates'!$D$7:$D$15,I183)</f>
        <v>15845.527995946721</v>
      </c>
      <c r="K183" s="1">
        <f>INDEX('02 Emission rates'!$E$7:$E$15,I183)</f>
        <v>20.885654518874212</v>
      </c>
      <c r="L183" s="1">
        <f>INDEX('02 Emission rates'!$F$7:$F$15,I183)</f>
        <v>98.655405882152721</v>
      </c>
      <c r="M183" s="1">
        <f>INDEX('02 Emission rates'!$G$7:$G$15,I183)</f>
        <v>4.4998305826136002</v>
      </c>
      <c r="N183" s="1">
        <f t="shared" si="41"/>
        <v>1567.5660456001235</v>
      </c>
      <c r="O183" s="1">
        <f t="shared" si="42"/>
        <v>2.0661755715743135</v>
      </c>
      <c r="P183" s="1">
        <f t="shared" si="43"/>
        <v>9.7597798265428857</v>
      </c>
      <c r="Q183" s="1">
        <f t="shared" si="44"/>
        <v>0.44515914105623089</v>
      </c>
      <c r="R183" s="1">
        <f t="shared" si="45"/>
        <v>122.10659153246282</v>
      </c>
      <c r="S183" s="1">
        <f t="shared" si="46"/>
        <v>1.979876688768855</v>
      </c>
      <c r="T183" s="1">
        <f t="shared" si="47"/>
        <v>37375.316310728544</v>
      </c>
      <c r="U183" s="1">
        <f t="shared" si="48"/>
        <v>53.254708691382866</v>
      </c>
      <c r="V183" s="1">
        <f t="shared" si="49"/>
        <v>241.23816352421923</v>
      </c>
      <c r="W183" s="1">
        <f t="shared" si="50"/>
        <v>10.130346182631241</v>
      </c>
      <c r="X183" s="1"/>
      <c r="Y183" s="1"/>
      <c r="Z183" s="1"/>
      <c r="AA183" s="1"/>
      <c r="AB183" s="1"/>
      <c r="AC183" s="1"/>
      <c r="AD183" s="1"/>
      <c r="AE183" s="1"/>
    </row>
    <row r="184" spans="1:31" ht="22.05" customHeight="1">
      <c r="A184" s="1">
        <f>'01 Traffic inputs'!B134</f>
        <v>2.6140090073592137E-2</v>
      </c>
      <c r="B184" s="1">
        <f>'01 Traffic inputs'!C134</f>
        <v>1.3036220769573987E-3</v>
      </c>
      <c r="C184" s="1">
        <f>IF('01 Traffic inputs'!$B$16&lt;=2/3,(4*A184*(1-A184))^$B$16,1-ABS(2*A184-1)^$B$17)</f>
        <v>4.2689566714991073E-4</v>
      </c>
      <c r="D184" s="1">
        <f>IF('01 Traffic inputs'!$B$16&lt;=2/3,4*$B$16*(1-2*A184)*(4*A184*(1-A184))^($B$16-1),-2*$B$17*SIGN(2*A184-1)*ABS(2*A184-1)^($B$17-1))</f>
        <v>5.3977799528744652E-2</v>
      </c>
      <c r="E184" s="1">
        <f t="shared" si="38"/>
        <v>6.2477149625756301</v>
      </c>
      <c r="F184" s="1">
        <f t="shared" si="39"/>
        <v>1.623360705831443E-2</v>
      </c>
      <c r="G184" s="1">
        <f t="shared" si="40"/>
        <v>0.10142294971480442</v>
      </c>
      <c r="H184" s="1">
        <f>'01 Traffic inputs'!$B$8/F184</f>
        <v>64.064628166995064</v>
      </c>
      <c r="I184" s="1">
        <f>MATCH(H184,'02 Emission rates'!$A$7:$A$15,1)</f>
        <v>5</v>
      </c>
      <c r="J184" s="1">
        <f>INDEX('02 Emission rates'!$D$7:$D$15,I184)</f>
        <v>15845.527995946721</v>
      </c>
      <c r="K184" s="1">
        <f>INDEX('02 Emission rates'!$E$7:$E$15,I184)</f>
        <v>20.885654518874212</v>
      </c>
      <c r="L184" s="1">
        <f>INDEX('02 Emission rates'!$F$7:$F$15,I184)</f>
        <v>98.655405882152721</v>
      </c>
      <c r="M184" s="1">
        <f>INDEX('02 Emission rates'!$G$7:$G$15,I184)</f>
        <v>4.4998305826136002</v>
      </c>
      <c r="N184" s="1">
        <f t="shared" si="41"/>
        <v>1607.1001891374299</v>
      </c>
      <c r="O184" s="1">
        <f t="shared" si="42"/>
        <v>2.1182846880285569</v>
      </c>
      <c r="P184" s="1">
        <f t="shared" si="43"/>
        <v>10.005922269879196</v>
      </c>
      <c r="Q184" s="1">
        <f t="shared" si="44"/>
        <v>0.45638609090555826</v>
      </c>
      <c r="R184" s="1">
        <f t="shared" si="45"/>
        <v>128.35430649503846</v>
      </c>
      <c r="S184" s="1">
        <f t="shared" si="46"/>
        <v>2.0812996384836593</v>
      </c>
      <c r="T184" s="1">
        <f t="shared" si="47"/>
        <v>38982.416499865976</v>
      </c>
      <c r="U184" s="1">
        <f t="shared" si="48"/>
        <v>55.372993379411426</v>
      </c>
      <c r="V184" s="1">
        <f t="shared" si="49"/>
        <v>251.24408579409842</v>
      </c>
      <c r="W184" s="1">
        <f t="shared" si="50"/>
        <v>10.5867322735368</v>
      </c>
      <c r="X184" s="1"/>
      <c r="Y184" s="1"/>
      <c r="Z184" s="1"/>
      <c r="AA184" s="1"/>
      <c r="AB184" s="1"/>
      <c r="AC184" s="1"/>
      <c r="AD184" s="1"/>
      <c r="AE184" s="1"/>
    </row>
    <row r="185" spans="1:31" ht="22.05" customHeight="1">
      <c r="A185" s="1">
        <f>'01 Traffic inputs'!B135</f>
        <v>2.7459514664057438E-2</v>
      </c>
      <c r="B185" s="1">
        <f>'01 Traffic inputs'!C135</f>
        <v>1.3352124234738646E-3</v>
      </c>
      <c r="C185" s="1">
        <f>IF('01 Traffic inputs'!$B$16&lt;=2/3,(4*A185*(1-A185))^$B$16,1-ABS(2*A185-1)^$B$17)</f>
        <v>5.0229205950611357E-4</v>
      </c>
      <c r="D185" s="1">
        <f>IF('01 Traffic inputs'!$B$16&lt;=2/3,4*$B$16*(1-2*A185)*(4*A185*(1-A185))^($B$16-1),-2*$B$17*SIGN(2*A185-1)*ABS(2*A185-1)^($B$17-1))</f>
        <v>6.0372869560068064E-2</v>
      </c>
      <c r="E185" s="1">
        <f t="shared" si="38"/>
        <v>6.3996412720502933</v>
      </c>
      <c r="F185" s="1">
        <f t="shared" si="39"/>
        <v>1.6237930268580114E-2</v>
      </c>
      <c r="G185" s="1">
        <f t="shared" si="40"/>
        <v>0.10391692871948001</v>
      </c>
      <c r="H185" s="1">
        <f>'01 Traffic inputs'!$B$8/F185</f>
        <v>64.047571506843326</v>
      </c>
      <c r="I185" s="1">
        <f>MATCH(H185,'02 Emission rates'!$A$7:$A$15,1)</f>
        <v>5</v>
      </c>
      <c r="J185" s="1">
        <f>INDEX('02 Emission rates'!$D$7:$D$15,I185)</f>
        <v>15845.527995946721</v>
      </c>
      <c r="K185" s="1">
        <f>INDEX('02 Emission rates'!$E$7:$E$15,I185)</f>
        <v>20.885654518874212</v>
      </c>
      <c r="L185" s="1">
        <f>INDEX('02 Emission rates'!$F$7:$F$15,I185)</f>
        <v>98.655405882152721</v>
      </c>
      <c r="M185" s="1">
        <f>INDEX('02 Emission rates'!$G$7:$G$15,I185)</f>
        <v>4.4998305826136002</v>
      </c>
      <c r="N185" s="1">
        <f t="shared" si="41"/>
        <v>1646.6186032773203</v>
      </c>
      <c r="O185" s="1">
        <f t="shared" si="42"/>
        <v>2.1703730718975369</v>
      </c>
      <c r="P185" s="1">
        <f t="shared" si="43"/>
        <v>10.251966780847033</v>
      </c>
      <c r="Q185" s="1">
        <f t="shared" si="44"/>
        <v>0.46760857390319371</v>
      </c>
      <c r="R185" s="1">
        <f t="shared" si="45"/>
        <v>134.75394776708876</v>
      </c>
      <c r="S185" s="1">
        <f t="shared" si="46"/>
        <v>2.1852165672031392</v>
      </c>
      <c r="T185" s="1">
        <f t="shared" si="47"/>
        <v>40629.035103143295</v>
      </c>
      <c r="U185" s="1">
        <f t="shared" si="48"/>
        <v>57.543366451308962</v>
      </c>
      <c r="V185" s="1">
        <f t="shared" si="49"/>
        <v>261.49605257494545</v>
      </c>
      <c r="W185" s="1">
        <f t="shared" si="50"/>
        <v>11.054340847439994</v>
      </c>
      <c r="X185" s="1"/>
      <c r="Y185" s="1"/>
      <c r="Z185" s="1"/>
      <c r="AA185" s="1"/>
      <c r="AB185" s="1"/>
      <c r="AC185" s="1"/>
      <c r="AD185" s="1"/>
      <c r="AE185" s="1"/>
    </row>
    <row r="186" spans="1:31" ht="22.05" customHeight="1">
      <c r="A186" s="1">
        <f>'01 Traffic inputs'!B136</f>
        <v>2.881048520834778E-2</v>
      </c>
      <c r="B186" s="1">
        <f>'01 Traffic inputs'!C136</f>
        <v>1.3667136336128873E-3</v>
      </c>
      <c r="C186" s="1">
        <f>IF('01 Traffic inputs'!$B$16&lt;=2/3,(4*A186*(1-A186))^$B$16,1-ABS(2*A186-1)^$B$17)</f>
        <v>5.8850038471909441E-4</v>
      </c>
      <c r="D186" s="1">
        <f>IF('01 Traffic inputs'!$B$16&lt;=2/3,4*$B$16*(1-2*A186)*(4*A186*(1-A186))^($B$16-1),-2*$B$17*SIGN(2*A186-1)*ABS(2*A186-1)^($B$17-1))</f>
        <v>6.7318563588255442E-2</v>
      </c>
      <c r="E186" s="1">
        <f t="shared" si="38"/>
        <v>6.5512117009356086</v>
      </c>
      <c r="F186" s="1">
        <f t="shared" si="39"/>
        <v>1.6242873432369534E-2</v>
      </c>
      <c r="G186" s="1">
        <f t="shared" si="40"/>
        <v>0.10641050248695542</v>
      </c>
      <c r="H186" s="1">
        <f>'01 Traffic inputs'!$B$8/F186</f>
        <v>64.028080027235902</v>
      </c>
      <c r="I186" s="1">
        <f>MATCH(H186,'02 Emission rates'!$A$7:$A$15,1)</f>
        <v>5</v>
      </c>
      <c r="J186" s="1">
        <f>INDEX('02 Emission rates'!$D$7:$D$15,I186)</f>
        <v>15845.527995946721</v>
      </c>
      <c r="K186" s="1">
        <f>INDEX('02 Emission rates'!$E$7:$E$15,I186)</f>
        <v>20.885654518874212</v>
      </c>
      <c r="L186" s="1">
        <f>INDEX('02 Emission rates'!$F$7:$F$15,I186)</f>
        <v>98.655405882152721</v>
      </c>
      <c r="M186" s="1">
        <f>INDEX('02 Emission rates'!$G$7:$G$15,I186)</f>
        <v>4.4998305826136002</v>
      </c>
      <c r="N186" s="1">
        <f t="shared" si="41"/>
        <v>1686.1305962198103</v>
      </c>
      <c r="O186" s="1">
        <f t="shared" si="42"/>
        <v>2.2224529921223559</v>
      </c>
      <c r="P186" s="1">
        <f t="shared" si="43"/>
        <v>10.497971312974409</v>
      </c>
      <c r="Q186" s="1">
        <f t="shared" si="44"/>
        <v>0.47882923340208261</v>
      </c>
      <c r="R186" s="1">
        <f t="shared" si="45"/>
        <v>141.30515946802436</v>
      </c>
      <c r="S186" s="1">
        <f t="shared" si="46"/>
        <v>2.2916270696900947</v>
      </c>
      <c r="T186" s="1">
        <f t="shared" si="47"/>
        <v>42315.165699363104</v>
      </c>
      <c r="U186" s="1">
        <f t="shared" si="48"/>
        <v>59.765819443431319</v>
      </c>
      <c r="V186" s="1">
        <f t="shared" si="49"/>
        <v>271.99402388791987</v>
      </c>
      <c r="W186" s="1">
        <f t="shared" si="50"/>
        <v>11.533170080842076</v>
      </c>
      <c r="X186" s="1"/>
      <c r="Y186" s="1"/>
      <c r="Z186" s="1"/>
      <c r="AA186" s="1"/>
      <c r="AB186" s="1"/>
      <c r="AC186" s="1"/>
      <c r="AD186" s="1"/>
      <c r="AE186" s="1"/>
    </row>
    <row r="187" spans="1:31" ht="22.05" customHeight="1">
      <c r="A187" s="1">
        <f>'01 Traffic inputs'!B137</f>
        <v>3.0192911518101828E-2</v>
      </c>
      <c r="B187" s="1">
        <f>'01 Traffic inputs'!C137</f>
        <v>1.3981236044103543E-3</v>
      </c>
      <c r="C187" s="1">
        <f>IF('01 Traffic inputs'!$B$16&lt;=2/3,(4*A187*(1-A187))^$B$16,1-ABS(2*A187-1)^$B$17)</f>
        <v>6.8671591711798633E-4</v>
      </c>
      <c r="D187" s="1">
        <f>IF('01 Traffic inputs'!$B$16&lt;=2/3,4*$B$16*(1-2*A187)*(4*A187*(1-A187))^($B$16-1),-2*$B$17*SIGN(2*A187-1)*ABS(2*A187-1)^($B$17-1))</f>
        <v>7.4843374396495174E-2</v>
      </c>
      <c r="E187" s="1">
        <f t="shared" si="38"/>
        <v>6.7024217235027752</v>
      </c>
      <c r="F187" s="1">
        <f t="shared" si="39"/>
        <v>1.6248505086413539E-2</v>
      </c>
      <c r="G187" s="1">
        <f t="shared" si="40"/>
        <v>0.10890433346562345</v>
      </c>
      <c r="H187" s="1">
        <f>'01 Traffic inputs'!$B$8/F187</f>
        <v>64.005888201348071</v>
      </c>
      <c r="I187" s="1">
        <f>MATCH(H187,'02 Emission rates'!$A$7:$A$15,1)</f>
        <v>5</v>
      </c>
      <c r="J187" s="1">
        <f>INDEX('02 Emission rates'!$D$7:$D$15,I187)</f>
        <v>15845.527995946721</v>
      </c>
      <c r="K187" s="1">
        <f>INDEX('02 Emission rates'!$E$7:$E$15,I187)</f>
        <v>20.885654518874212</v>
      </c>
      <c r="L187" s="1">
        <f>INDEX('02 Emission rates'!$F$7:$F$15,I187)</f>
        <v>98.655405882152721</v>
      </c>
      <c r="M187" s="1">
        <f>INDEX('02 Emission rates'!$G$7:$G$15,I187)</f>
        <v>4.4998305826136002</v>
      </c>
      <c r="N187" s="1">
        <f t="shared" si="41"/>
        <v>1725.6466648094538</v>
      </c>
      <c r="O187" s="1">
        <f t="shared" si="42"/>
        <v>2.2745382843712822</v>
      </c>
      <c r="P187" s="1">
        <f t="shared" si="43"/>
        <v>10.744001220376388</v>
      </c>
      <c r="Q187" s="1">
        <f t="shared" si="44"/>
        <v>0.49005105030776219</v>
      </c>
      <c r="R187" s="1">
        <f t="shared" si="45"/>
        <v>148.00758119152712</v>
      </c>
      <c r="S187" s="1">
        <f t="shared" si="46"/>
        <v>2.4005314031557181</v>
      </c>
      <c r="T187" s="1">
        <f t="shared" si="47"/>
        <v>44040.812364172554</v>
      </c>
      <c r="U187" s="1">
        <f t="shared" si="48"/>
        <v>62.040357727802601</v>
      </c>
      <c r="V187" s="1">
        <f t="shared" si="49"/>
        <v>282.73802510829626</v>
      </c>
      <c r="W187" s="1">
        <f t="shared" si="50"/>
        <v>12.023221131149839</v>
      </c>
      <c r="X187" s="1"/>
      <c r="Y187" s="1"/>
      <c r="Z187" s="1"/>
      <c r="AA187" s="1"/>
      <c r="AB187" s="1"/>
      <c r="AC187" s="1"/>
      <c r="AD187" s="1"/>
      <c r="AE187" s="1"/>
    </row>
    <row r="188" spans="1:31" ht="22.05" customHeight="1">
      <c r="A188" s="1">
        <f>'01 Traffic inputs'!B138</f>
        <v>3.1606701305027074E-2</v>
      </c>
      <c r="B188" s="1">
        <f>'01 Traffic inputs'!C138</f>
        <v>1.4294402389917033E-3</v>
      </c>
      <c r="C188" s="1">
        <f>IF('01 Traffic inputs'!$B$16&lt;=2/3,(4*A188*(1-A188))^$B$16,1-ABS(2*A188-1)^$B$17)</f>
        <v>7.9822553118801215E-4</v>
      </c>
      <c r="D188" s="1">
        <f>IF('01 Traffic inputs'!$B$16&lt;=2/3,4*$B$16*(1-2*A188)*(4*A188*(1-A188))^($B$16-1),-2*$B$17*SIGN(2*A188-1)*ABS(2*A188-1)^($B$17-1))</f>
        <v>8.2975975945751596E-2</v>
      </c>
      <c r="E188" s="1">
        <f t="shared" si="38"/>
        <v>6.8532670571352412</v>
      </c>
      <c r="F188" s="1">
        <f t="shared" si="39"/>
        <v>1.6254899019773006E-2</v>
      </c>
      <c r="G188" s="1">
        <f t="shared" si="40"/>
        <v>0.11139916396927027</v>
      </c>
      <c r="H188" s="1">
        <f>'01 Traffic inputs'!$B$8/F188</f>
        <v>63.980711214196376</v>
      </c>
      <c r="I188" s="1">
        <f>MATCH(H188,'02 Emission rates'!$A$7:$A$15,1)</f>
        <v>5</v>
      </c>
      <c r="J188" s="1">
        <f>INDEX('02 Emission rates'!$D$7:$D$15,I188)</f>
        <v>15845.527995946721</v>
      </c>
      <c r="K188" s="1">
        <f>INDEX('02 Emission rates'!$E$7:$E$15,I188)</f>
        <v>20.885654518874212</v>
      </c>
      <c r="L188" s="1">
        <f>INDEX('02 Emission rates'!$F$7:$F$15,I188)</f>
        <v>98.655405882152721</v>
      </c>
      <c r="M188" s="1">
        <f>INDEX('02 Emission rates'!$G$7:$G$15,I188)</f>
        <v>4.4998305826136002</v>
      </c>
      <c r="N188" s="1">
        <f t="shared" si="41"/>
        <v>1765.1785714001312</v>
      </c>
      <c r="O188" s="1">
        <f t="shared" si="42"/>
        <v>2.326644452353599</v>
      </c>
      <c r="P188" s="1">
        <f t="shared" si="43"/>
        <v>10.990129736320842</v>
      </c>
      <c r="Q188" s="1">
        <f t="shared" si="44"/>
        <v>0.50127736490650943</v>
      </c>
      <c r="R188" s="1">
        <f t="shared" si="45"/>
        <v>154.86084824866236</v>
      </c>
      <c r="S188" s="1">
        <f t="shared" si="46"/>
        <v>2.5119305671249883</v>
      </c>
      <c r="T188" s="1">
        <f t="shared" si="47"/>
        <v>45805.990935572685</v>
      </c>
      <c r="U188" s="1">
        <f t="shared" si="48"/>
        <v>64.367002180156206</v>
      </c>
      <c r="V188" s="1">
        <f t="shared" si="49"/>
        <v>293.72815484461711</v>
      </c>
      <c r="W188" s="1">
        <f t="shared" si="50"/>
        <v>12.524498496056349</v>
      </c>
      <c r="X188" s="1"/>
      <c r="Y188" s="1"/>
      <c r="Z188" s="1"/>
      <c r="AA188" s="1"/>
      <c r="AB188" s="1"/>
      <c r="AC188" s="1"/>
      <c r="AD188" s="1"/>
      <c r="AE188" s="1"/>
    </row>
    <row r="189" spans="1:31" ht="22.05" customHeight="1">
      <c r="A189" s="1">
        <f>'01 Traffic inputs'!B139</f>
        <v>3.3051760187061241E-2</v>
      </c>
      <c r="B189" s="1">
        <f>'01 Traffic inputs'!C139</f>
        <v>1.4606614467143283E-3</v>
      </c>
      <c r="C189" s="1">
        <f>IF('01 Traffic inputs'!$B$16&lt;=2/3,(4*A189*(1-A189))^$B$16,1-ABS(2*A189-1)^$B$17)</f>
        <v>9.2441110987916662E-4</v>
      </c>
      <c r="D189" s="1">
        <f>IF('01 Traffic inputs'!$B$16&lt;=2/3,4*$B$16*(1-2*A189)*(4*A189*(1-A189))^($B$16-1),-2*$B$17*SIGN(2*A189-1)*ABS(2*A189-1)^($B$17-1))</f>
        <v>9.1745148535597357E-2</v>
      </c>
      <c r="E189" s="1">
        <f t="shared" si="38"/>
        <v>7.0037436556337482</v>
      </c>
      <c r="F189" s="1">
        <f t="shared" si="39"/>
        <v>1.6262134469270398E-2</v>
      </c>
      <c r="G189" s="1">
        <f t="shared" si="40"/>
        <v>0.11389582111621543</v>
      </c>
      <c r="H189" s="1">
        <f>'01 Traffic inputs'!$B$8/F189</f>
        <v>63.952244520253323</v>
      </c>
      <c r="I189" s="1">
        <f>MATCH(H189,'02 Emission rates'!$A$7:$A$15,1)</f>
        <v>5</v>
      </c>
      <c r="J189" s="1">
        <f>INDEX('02 Emission rates'!$D$7:$D$15,I189)</f>
        <v>15845.527995946721</v>
      </c>
      <c r="K189" s="1">
        <f>INDEX('02 Emission rates'!$E$7:$E$15,I189)</f>
        <v>20.885654518874212</v>
      </c>
      <c r="L189" s="1">
        <f>INDEX('02 Emission rates'!$F$7:$F$15,I189)</f>
        <v>98.655405882152721</v>
      </c>
      <c r="M189" s="1">
        <f>INDEX('02 Emission rates'!$G$7:$G$15,I189)</f>
        <v>4.4998305826136002</v>
      </c>
      <c r="N189" s="1">
        <f t="shared" si="41"/>
        <v>1804.7394221183313</v>
      </c>
      <c r="O189" s="1">
        <f t="shared" si="42"/>
        <v>2.3787887709767737</v>
      </c>
      <c r="P189" s="1">
        <f t="shared" si="43"/>
        <v>11.236438460501294</v>
      </c>
      <c r="Q189" s="1">
        <f t="shared" si="44"/>
        <v>0.5125118990906341</v>
      </c>
      <c r="R189" s="1">
        <f t="shared" si="45"/>
        <v>161.86459190429611</v>
      </c>
      <c r="S189" s="1">
        <f t="shared" si="46"/>
        <v>2.6258263882412036</v>
      </c>
      <c r="T189" s="1">
        <f t="shared" si="47"/>
        <v>47610.73035769102</v>
      </c>
      <c r="U189" s="1">
        <f t="shared" si="48"/>
        <v>66.745790951132975</v>
      </c>
      <c r="V189" s="1">
        <f t="shared" si="49"/>
        <v>304.9645933051184</v>
      </c>
      <c r="W189" s="1">
        <f t="shared" si="50"/>
        <v>13.037010395146984</v>
      </c>
      <c r="X189" s="1"/>
      <c r="Y189" s="1"/>
      <c r="Z189" s="1"/>
      <c r="AA189" s="1"/>
      <c r="AB189" s="1"/>
      <c r="AC189" s="1"/>
      <c r="AD189" s="1"/>
      <c r="AE189" s="1"/>
    </row>
    <row r="190" spans="1:31" ht="22.05" customHeight="1">
      <c r="A190" s="1">
        <f>'01 Traffic inputs'!B140</f>
        <v>3.4527991694673021E-2</v>
      </c>
      <c r="B190" s="1">
        <f>'01 Traffic inputs'!C140</f>
        <v>1.4917851433062944E-3</v>
      </c>
      <c r="C190" s="1">
        <f>IF('01 Traffic inputs'!$B$16&lt;=2/3,(4*A190*(1-A190))^$B$16,1-ABS(2*A190-1)^$B$17)</f>
        <v>1.0667528239750393E-3</v>
      </c>
      <c r="D190" s="1">
        <f>IF('01 Traffic inputs'!$B$16&lt;=2/3,4*$B$16*(1-2*A190)*(4*A190*(1-A190))^($B$16-1),-2*$B$17*SIGN(2*A190-1)*ABS(2*A190-1)^($B$17-1))</f>
        <v>0.10117970163567323</v>
      </c>
      <c r="E190" s="1">
        <f t="shared" si="38"/>
        <v>7.1538477013405615</v>
      </c>
      <c r="F190" s="1">
        <f t="shared" si="39"/>
        <v>1.6270296307527948E-2</v>
      </c>
      <c r="G190" s="1">
        <f t="shared" si="40"/>
        <v>0.11639522183973863</v>
      </c>
      <c r="H190" s="1">
        <f>'01 Traffic inputs'!$B$8/F190</f>
        <v>63.920163489513882</v>
      </c>
      <c r="I190" s="1">
        <f>MATCH(H190,'02 Emission rates'!$A$7:$A$15,1)</f>
        <v>5</v>
      </c>
      <c r="J190" s="1">
        <f>INDEX('02 Emission rates'!$D$7:$D$15,I190)</f>
        <v>15845.527995946721</v>
      </c>
      <c r="K190" s="1">
        <f>INDEX('02 Emission rates'!$E$7:$E$15,I190)</f>
        <v>20.885654518874212</v>
      </c>
      <c r="L190" s="1">
        <f>INDEX('02 Emission rates'!$F$7:$F$15,I190)</f>
        <v>98.655405882152721</v>
      </c>
      <c r="M190" s="1">
        <f>INDEX('02 Emission rates'!$G$7:$G$15,I190)</f>
        <v>4.4998305826136002</v>
      </c>
      <c r="N190" s="1">
        <f t="shared" si="41"/>
        <v>1844.3437462560078</v>
      </c>
      <c r="O190" s="1">
        <f t="shared" si="42"/>
        <v>2.4309903909925037</v>
      </c>
      <c r="P190" s="1">
        <f t="shared" si="43"/>
        <v>11.483017853342622</v>
      </c>
      <c r="Q190" s="1">
        <f t="shared" si="44"/>
        <v>0.52375877890455036</v>
      </c>
      <c r="R190" s="1">
        <f t="shared" si="45"/>
        <v>169.01843960563667</v>
      </c>
      <c r="S190" s="1">
        <f t="shared" si="46"/>
        <v>2.7422216100809425</v>
      </c>
      <c r="T190" s="1">
        <f t="shared" si="47"/>
        <v>49455.07410394703</v>
      </c>
      <c r="U190" s="1">
        <f t="shared" si="48"/>
        <v>69.17678134212548</v>
      </c>
      <c r="V190" s="1">
        <f t="shared" si="49"/>
        <v>316.44761115846103</v>
      </c>
      <c r="W190" s="1">
        <f t="shared" si="50"/>
        <v>13.560769174051535</v>
      </c>
      <c r="X190" s="1"/>
      <c r="Y190" s="1"/>
      <c r="Z190" s="1"/>
      <c r="AA190" s="1"/>
      <c r="AB190" s="1"/>
      <c r="AC190" s="1"/>
      <c r="AD190" s="1"/>
      <c r="AE190" s="1"/>
    </row>
    <row r="191" spans="1:31" ht="22.05" customHeight="1">
      <c r="A191" s="1">
        <f>'01 Traffic inputs'!B141</f>
        <v>3.6035297277302203E-2</v>
      </c>
      <c r="B191" s="1">
        <f>'01 Traffic inputs'!C141</f>
        <v>1.5228092510050338E-3</v>
      </c>
      <c r="C191" s="1">
        <f>IF('01 Traffic inputs'!$B$16&lt;=2/3,(4*A191*(1-A191))^$B$16,1-ABS(2*A191-1)^$B$17)</f>
        <v>1.2268322636335201E-3</v>
      </c>
      <c r="D191" s="1">
        <f>IF('01 Traffic inputs'!$B$16&lt;=2/3,4*$B$16*(1-2*A191)*(4*A191*(1-A191))^($B$16-1),-2*$B$17*SIGN(2*A191-1)*ABS(2*A191-1)^($B$17-1))</f>
        <v>0.11130839457194038</v>
      </c>
      <c r="E191" s="1">
        <f t="shared" si="38"/>
        <v>7.3035755960959401</v>
      </c>
      <c r="F191" s="1">
        <f t="shared" si="39"/>
        <v>1.627947522252943E-2</v>
      </c>
      <c r="G191" s="1">
        <f t="shared" si="40"/>
        <v>0.11889837795251447</v>
      </c>
      <c r="H191" s="1">
        <f>'01 Traffic inputs'!$B$8/F191</f>
        <v>63.884123154089608</v>
      </c>
      <c r="I191" s="1">
        <f>MATCH(H191,'02 Emission rates'!$A$7:$A$15,1)</f>
        <v>5</v>
      </c>
      <c r="J191" s="1">
        <f>INDEX('02 Emission rates'!$D$7:$D$15,I191)</f>
        <v>15845.527995946721</v>
      </c>
      <c r="K191" s="1">
        <f>INDEX('02 Emission rates'!$E$7:$E$15,I191)</f>
        <v>20.885654518874212</v>
      </c>
      <c r="L191" s="1">
        <f>INDEX('02 Emission rates'!$F$7:$F$15,I191)</f>
        <v>98.655405882152721</v>
      </c>
      <c r="M191" s="1">
        <f>INDEX('02 Emission rates'!$G$7:$G$15,I191)</f>
        <v>4.4998305826136002</v>
      </c>
      <c r="N191" s="1">
        <f t="shared" si="41"/>
        <v>1884.0075765192223</v>
      </c>
      <c r="O191" s="1">
        <f t="shared" si="42"/>
        <v>2.4832704447707479</v>
      </c>
      <c r="P191" s="1">
        <f t="shared" si="43"/>
        <v>11.729967735634913</v>
      </c>
      <c r="Q191" s="1">
        <f t="shared" si="44"/>
        <v>0.53502255733387527</v>
      </c>
      <c r="R191" s="1">
        <f t="shared" si="45"/>
        <v>176.32201520173263</v>
      </c>
      <c r="S191" s="1">
        <f t="shared" si="46"/>
        <v>2.8611199880334568</v>
      </c>
      <c r="T191" s="1">
        <f t="shared" si="47"/>
        <v>51339.081680466254</v>
      </c>
      <c r="U191" s="1">
        <f t="shared" si="48"/>
        <v>71.660051786896233</v>
      </c>
      <c r="V191" s="1">
        <f t="shared" si="49"/>
        <v>328.17757889409592</v>
      </c>
      <c r="W191" s="1">
        <f t="shared" si="50"/>
        <v>14.095791731385409</v>
      </c>
      <c r="X191" s="1"/>
      <c r="Y191" s="1"/>
      <c r="Z191" s="1"/>
      <c r="AA191" s="1"/>
      <c r="AB191" s="1"/>
      <c r="AC191" s="1"/>
      <c r="AD191" s="1"/>
      <c r="AE191" s="1"/>
    </row>
    <row r="192" spans="1:31" ht="22.05" customHeight="1">
      <c r="A192" s="1">
        <f>'01 Traffic inputs'!B142</f>
        <v>3.7573576309938905E-2</v>
      </c>
      <c r="B192" s="1">
        <f>'01 Traffic inputs'!C142</f>
        <v>1.5537316986970787E-3</v>
      </c>
      <c r="C192" s="1">
        <f>IF('01 Traffic inputs'!$B$16&lt;=2/3,(4*A192*(1-A192))^$B$16,1-ABS(2*A192-1)^$B$17)</f>
        <v>1.406335403172865E-3</v>
      </c>
      <c r="D192" s="1">
        <f>IF('01 Traffic inputs'!$B$16&lt;=2/3,4*$B$16*(1-2*A192)*(4*A192*(1-A192))^($B$16-1),-2*$B$17*SIGN(2*A192-1)*ABS(2*A192-1)^($B$17-1))</f>
        <v>0.12215985525854843</v>
      </c>
      <c r="E192" s="1">
        <f t="shared" si="38"/>
        <v>7.4529239510317522</v>
      </c>
      <c r="F192" s="1">
        <f t="shared" si="39"/>
        <v>1.6289767887620255E-2</v>
      </c>
      <c r="G192" s="1">
        <f t="shared" si="40"/>
        <v>0.12140640124639292</v>
      </c>
      <c r="H192" s="1">
        <f>'01 Traffic inputs'!$B$8/F192</f>
        <v>63.843758067933543</v>
      </c>
      <c r="I192" s="1">
        <f>MATCH(H192,'02 Emission rates'!$A$7:$A$15,1)</f>
        <v>5</v>
      </c>
      <c r="J192" s="1">
        <f>INDEX('02 Emission rates'!$D$7:$D$15,I192)</f>
        <v>15845.527995946721</v>
      </c>
      <c r="K192" s="1">
        <f>INDEX('02 Emission rates'!$E$7:$E$15,I192)</f>
        <v>20.885654518874212</v>
      </c>
      <c r="L192" s="1">
        <f>INDEX('02 Emission rates'!$F$7:$F$15,I192)</f>
        <v>98.655405882152721</v>
      </c>
      <c r="M192" s="1">
        <f>INDEX('02 Emission rates'!$G$7:$G$15,I192)</f>
        <v>4.4998305826136002</v>
      </c>
      <c r="N192" s="1">
        <f t="shared" si="41"/>
        <v>1923.7485298368599</v>
      </c>
      <c r="O192" s="1">
        <f t="shared" si="42"/>
        <v>2.535652152811982</v>
      </c>
      <c r="P192" s="1">
        <f t="shared" si="43"/>
        <v>11.977397791654385</v>
      </c>
      <c r="Q192" s="1">
        <f t="shared" si="44"/>
        <v>0.5463082372535768</v>
      </c>
      <c r="R192" s="1">
        <f t="shared" si="45"/>
        <v>183.77493915276438</v>
      </c>
      <c r="S192" s="1">
        <f t="shared" si="46"/>
        <v>2.9825263892798497</v>
      </c>
      <c r="T192" s="1">
        <f t="shared" si="47"/>
        <v>53262.830210303116</v>
      </c>
      <c r="U192" s="1">
        <f t="shared" si="48"/>
        <v>74.19570393970821</v>
      </c>
      <c r="V192" s="1">
        <f t="shared" si="49"/>
        <v>340.15497668575028</v>
      </c>
      <c r="W192" s="1">
        <f t="shared" si="50"/>
        <v>14.642099968638986</v>
      </c>
      <c r="X192" s="1"/>
      <c r="Y192" s="1"/>
      <c r="Z192" s="1"/>
      <c r="AA192" s="1"/>
      <c r="AB192" s="1"/>
      <c r="AC192" s="1"/>
      <c r="AD192" s="1"/>
      <c r="AE192" s="1"/>
    </row>
    <row r="193" spans="1:31" ht="22.05" customHeight="1">
      <c r="A193" s="1">
        <f>'01 Traffic inputs'!B143</f>
        <v>3.914272609984093E-2</v>
      </c>
      <c r="B193" s="1">
        <f>'01 Traffic inputs'!C143</f>
        <v>1.5845504220543653E-3</v>
      </c>
      <c r="C193" s="1">
        <f>IF('01 Traffic inputs'!$B$16&lt;=2/3,(4*A193*(1-A193))^$B$16,1-ABS(2*A193-1)^$B$17)</f>
        <v>1.6070553802100618E-3</v>
      </c>
      <c r="D193" s="1">
        <f>IF('01 Traffic inputs'!$B$16&lt;=2/3,4*$B$16*(1-2*A193)*(4*A193*(1-A193))^($B$16-1),-2*$B$17*SIGN(2*A193-1)*ABS(2*A193-1)^($B$17-1))</f>
        <v>0.13376249717237079</v>
      </c>
      <c r="E193" s="1">
        <f t="shared" si="38"/>
        <v>7.601889575185135</v>
      </c>
      <c r="F193" s="1">
        <f t="shared" si="39"/>
        <v>1.6301277120862545E-2</v>
      </c>
      <c r="G193" s="1">
        <f t="shared" si="40"/>
        <v>0.12392050860728894</v>
      </c>
      <c r="H193" s="1">
        <f>'01 Traffic inputs'!$B$8/F193</f>
        <v>63.79868229275224</v>
      </c>
      <c r="I193" s="1">
        <f>MATCH(H193,'02 Emission rates'!$A$7:$A$15,1)</f>
        <v>5</v>
      </c>
      <c r="J193" s="1">
        <f>INDEX('02 Emission rates'!$D$7:$D$15,I193)</f>
        <v>15845.527995946721</v>
      </c>
      <c r="K193" s="1">
        <f>INDEX('02 Emission rates'!$E$7:$E$15,I193)</f>
        <v>20.885654518874212</v>
      </c>
      <c r="L193" s="1">
        <f>INDEX('02 Emission rates'!$F$7:$F$15,I193)</f>
        <v>98.655405882152721</v>
      </c>
      <c r="M193" s="1">
        <f>INDEX('02 Emission rates'!$G$7:$G$15,I193)</f>
        <v>4.4998305826136002</v>
      </c>
      <c r="N193" s="1">
        <f t="shared" si="41"/>
        <v>1963.5858884087534</v>
      </c>
      <c r="O193" s="1">
        <f t="shared" si="42"/>
        <v>2.5881609305750151</v>
      </c>
      <c r="P193" s="1">
        <f t="shared" si="43"/>
        <v>12.225428073774889</v>
      </c>
      <c r="Q193" s="1">
        <f t="shared" si="44"/>
        <v>0.55762129444411068</v>
      </c>
      <c r="R193" s="1">
        <f t="shared" si="45"/>
        <v>191.37682872794952</v>
      </c>
      <c r="S193" s="1">
        <f t="shared" si="46"/>
        <v>3.1064468978871385</v>
      </c>
      <c r="T193" s="1">
        <f t="shared" si="47"/>
        <v>55226.416098711867</v>
      </c>
      <c r="U193" s="1">
        <f t="shared" si="48"/>
        <v>76.783864870283224</v>
      </c>
      <c r="V193" s="1">
        <f t="shared" si="49"/>
        <v>352.38040475952516</v>
      </c>
      <c r="W193" s="1">
        <f t="shared" si="50"/>
        <v>15.199721263083097</v>
      </c>
      <c r="X193" s="1"/>
      <c r="Y193" s="1"/>
      <c r="Z193" s="1"/>
      <c r="AA193" s="1"/>
      <c r="AB193" s="1"/>
      <c r="AC193" s="1"/>
      <c r="AD193" s="1"/>
      <c r="AE193" s="1"/>
    </row>
    <row r="194" spans="1:31" ht="22.05" customHeight="1">
      <c r="A194" s="1">
        <f>'01 Traffic inputs'!B144</f>
        <v>4.0742641893389608E-2</v>
      </c>
      <c r="B194" s="1">
        <f>'01 Traffic inputs'!C144</f>
        <v>1.6152633636741032E-3</v>
      </c>
      <c r="C194" s="1">
        <f>IF('01 Traffic inputs'!$B$16&lt;=2/3,(4*A194*(1-A194))^$B$16,1-ABS(2*A194-1)^$B$17)</f>
        <v>1.8308950703649651E-3</v>
      </c>
      <c r="D194" s="1">
        <f>IF('01 Traffic inputs'!$B$16&lt;=2/3,4*$B$16*(1-2*A194)*(4*A194*(1-A194))^($B$16-1),-2*$B$17*SIGN(2*A194-1)*ABS(2*A194-1)^($B$17-1))</f>
        <v>0.14614443477307035</v>
      </c>
      <c r="E194" s="1">
        <f t="shared" si="38"/>
        <v>7.7504694629745563</v>
      </c>
      <c r="F194" s="1">
        <f t="shared" si="39"/>
        <v>1.6314112032668044E-2</v>
      </c>
      <c r="G194" s="1">
        <f t="shared" si="40"/>
        <v>0.12644202712473945</v>
      </c>
      <c r="H194" s="1">
        <f>'01 Traffic inputs'!$B$8/F194</f>
        <v>63.748489523516938</v>
      </c>
      <c r="I194" s="1">
        <f>MATCH(H194,'02 Emission rates'!$A$7:$A$15,1)</f>
        <v>5</v>
      </c>
      <c r="J194" s="1">
        <f>INDEX('02 Emission rates'!$D$7:$D$15,I194)</f>
        <v>15845.527995946721</v>
      </c>
      <c r="K194" s="1">
        <f>INDEX('02 Emission rates'!$E$7:$E$15,I194)</f>
        <v>20.885654518874212</v>
      </c>
      <c r="L194" s="1">
        <f>INDEX('02 Emission rates'!$F$7:$F$15,I194)</f>
        <v>98.655405882152721</v>
      </c>
      <c r="M194" s="1">
        <f>INDEX('02 Emission rates'!$G$7:$G$15,I194)</f>
        <v>4.4998305826136002</v>
      </c>
      <c r="N194" s="1">
        <f t="shared" si="41"/>
        <v>2003.5406806693136</v>
      </c>
      <c r="O194" s="1">
        <f t="shared" si="42"/>
        <v>2.6408244951934301</v>
      </c>
      <c r="P194" s="1">
        <f t="shared" si="43"/>
        <v>12.474189506553335</v>
      </c>
      <c r="Q194" s="1">
        <f t="shared" si="44"/>
        <v>0.56896770058356094</v>
      </c>
      <c r="R194" s="1">
        <f t="shared" si="45"/>
        <v>199.12729819092408</v>
      </c>
      <c r="S194" s="1">
        <f t="shared" si="46"/>
        <v>3.2328889250118777</v>
      </c>
      <c r="T194" s="1">
        <f t="shared" si="47"/>
        <v>57229.95677938118</v>
      </c>
      <c r="U194" s="1">
        <f t="shared" si="48"/>
        <v>79.424689365476652</v>
      </c>
      <c r="V194" s="1">
        <f t="shared" si="49"/>
        <v>364.85459426607849</v>
      </c>
      <c r="W194" s="1">
        <f t="shared" si="50"/>
        <v>15.768688963666659</v>
      </c>
      <c r="X194" s="1"/>
      <c r="Y194" s="1"/>
      <c r="Z194" s="1"/>
      <c r="AA194" s="1"/>
      <c r="AB194" s="1"/>
      <c r="AC194" s="1"/>
      <c r="AD194" s="1"/>
      <c r="AE194" s="1"/>
    </row>
    <row r="195" spans="1:31" ht="22.05" customHeight="1">
      <c r="A195" s="1">
        <f>'01 Traffic inputs'!B145</f>
        <v>4.2373216883082987E-2</v>
      </c>
      <c r="B195" s="1">
        <f>'01 Traffic inputs'!C145</f>
        <v>1.6458684732157632E-3</v>
      </c>
      <c r="C195" s="1">
        <f>IF('01 Traffic inputs'!$B$16&lt;=2/3,(4*A195*(1-A195))^$B$16,1-ABS(2*A195-1)^$B$17)</f>
        <v>2.0798694389228562E-3</v>
      </c>
      <c r="D195" s="1">
        <f>IF('01 Traffic inputs'!$B$16&lt;=2/3,4*$B$16*(1-2*A195)*(4*A195*(1-A195))^($B$16-1),-2*$B$17*SIGN(2*A195-1)*ABS(2*A195-1)^($B$17-1))</f>
        <v>0.15933339757689463</v>
      </c>
      <c r="E195" s="1">
        <f t="shared" si="38"/>
        <v>7.8986607805206797</v>
      </c>
      <c r="F195" s="1">
        <f t="shared" si="39"/>
        <v>1.6328388160641864E-2</v>
      </c>
      <c r="G195" s="1">
        <f t="shared" si="40"/>
        <v>0.12897239917358008</v>
      </c>
      <c r="H195" s="1">
        <f>'01 Traffic inputs'!$B$8/F195</f>
        <v>63.692753367221421</v>
      </c>
      <c r="I195" s="1">
        <f>MATCH(H195,'02 Emission rates'!$A$7:$A$15,1)</f>
        <v>5</v>
      </c>
      <c r="J195" s="1">
        <f>INDEX('02 Emission rates'!$D$7:$D$15,I195)</f>
        <v>15845.527995946721</v>
      </c>
      <c r="K195" s="1">
        <f>INDEX('02 Emission rates'!$E$7:$E$15,I195)</f>
        <v>20.885654518874212</v>
      </c>
      <c r="L195" s="1">
        <f>INDEX('02 Emission rates'!$F$7:$F$15,I195)</f>
        <v>98.655405882152721</v>
      </c>
      <c r="M195" s="1">
        <f>INDEX('02 Emission rates'!$G$7:$G$15,I195)</f>
        <v>4.4998305826136002</v>
      </c>
      <c r="N195" s="1">
        <f t="shared" si="41"/>
        <v>2043.6357618093789</v>
      </c>
      <c r="O195" s="1">
        <f t="shared" si="42"/>
        <v>2.6936729716097316</v>
      </c>
      <c r="P195" s="1">
        <f t="shared" si="43"/>
        <v>12.723824388064561</v>
      </c>
      <c r="Q195" s="1">
        <f t="shared" si="44"/>
        <v>0.58035394611432467</v>
      </c>
      <c r="R195" s="1">
        <f t="shared" si="45"/>
        <v>207.02595897144477</v>
      </c>
      <c r="S195" s="1">
        <f t="shared" si="46"/>
        <v>3.3618613241854578</v>
      </c>
      <c r="T195" s="1">
        <f t="shared" si="47"/>
        <v>59273.592541190563</v>
      </c>
      <c r="U195" s="1">
        <f t="shared" si="48"/>
        <v>82.118362337086381</v>
      </c>
      <c r="V195" s="1">
        <f t="shared" si="49"/>
        <v>377.57841865414304</v>
      </c>
      <c r="W195" s="1">
        <f t="shared" si="50"/>
        <v>16.349042909780984</v>
      </c>
      <c r="X195" s="1"/>
      <c r="Y195" s="1"/>
      <c r="Z195" s="1"/>
      <c r="AA195" s="1"/>
      <c r="AB195" s="1"/>
      <c r="AC195" s="1"/>
      <c r="AD195" s="1"/>
      <c r="AE195" s="1"/>
    </row>
    <row r="196" spans="1:31" ht="22.05" customHeight="1">
      <c r="A196" s="1">
        <f>'01 Traffic inputs'!B146</f>
        <v>4.4034342214665956E-2</v>
      </c>
      <c r="B196" s="1">
        <f>'01 Traffic inputs'!C146</f>
        <v>1.6763637075368517E-3</v>
      </c>
      <c r="C196" s="1">
        <f>IF('01 Traffic inputs'!$B$16&lt;=2/3,(4*A196*(1-A196))^$B$16,1-ABS(2*A196-1)^$B$17)</f>
        <v>2.3561076511009887E-3</v>
      </c>
      <c r="D196" s="1">
        <f>IF('01 Traffic inputs'!$B$16&lt;=2/3,4*$B$16*(1-2*A196)*(4*A196*(1-A196))^($B$16-1),-2*$B$17*SIGN(2*A196-1)*ABS(2*A196-1)^($B$17-1))</f>
        <v>0.17335664309728202</v>
      </c>
      <c r="E196" s="1">
        <f t="shared" si="38"/>
        <v>8.0464608508379278</v>
      </c>
      <c r="F196" s="1">
        <f t="shared" si="39"/>
        <v>1.6344227590584612E-2</v>
      </c>
      <c r="G196" s="1">
        <f t="shared" si="40"/>
        <v>0.13151318744482418</v>
      </c>
      <c r="H196" s="1">
        <f>'01 Traffic inputs'!$B$8/F196</f>
        <v>63.631027788620081</v>
      </c>
      <c r="I196" s="1">
        <f>MATCH(H196,'02 Emission rates'!$A$7:$A$15,1)</f>
        <v>5</v>
      </c>
      <c r="J196" s="1">
        <f>INDEX('02 Emission rates'!$D$7:$D$15,I196)</f>
        <v>15845.527995946721</v>
      </c>
      <c r="K196" s="1">
        <f>INDEX('02 Emission rates'!$E$7:$E$15,I196)</f>
        <v>20.885654518874212</v>
      </c>
      <c r="L196" s="1">
        <f>INDEX('02 Emission rates'!$F$7:$F$15,I196)</f>
        <v>98.655405882152721</v>
      </c>
      <c r="M196" s="1">
        <f>INDEX('02 Emission rates'!$G$7:$G$15,I196)</f>
        <v>4.4998305826136002</v>
      </c>
      <c r="N196" s="1">
        <f t="shared" si="41"/>
        <v>2083.8958934931502</v>
      </c>
      <c r="O196" s="1">
        <f t="shared" si="42"/>
        <v>2.7467389976485435</v>
      </c>
      <c r="P196" s="1">
        <f t="shared" si="43"/>
        <v>12.97448688622476</v>
      </c>
      <c r="Q196" s="1">
        <f t="shared" si="44"/>
        <v>0.59178706288121485</v>
      </c>
      <c r="R196" s="1">
        <f t="shared" si="45"/>
        <v>215.07241982228268</v>
      </c>
      <c r="S196" s="1">
        <f t="shared" si="46"/>
        <v>3.4933745116302819</v>
      </c>
      <c r="T196" s="1">
        <f t="shared" si="47"/>
        <v>61357.488434683713</v>
      </c>
      <c r="U196" s="1">
        <f t="shared" si="48"/>
        <v>84.865101334734931</v>
      </c>
      <c r="V196" s="1">
        <f t="shared" si="49"/>
        <v>390.55290554036782</v>
      </c>
      <c r="W196" s="1">
        <f t="shared" si="50"/>
        <v>16.940829972662197</v>
      </c>
      <c r="X196" s="1"/>
      <c r="Y196" s="1"/>
      <c r="Z196" s="1"/>
      <c r="AA196" s="1"/>
      <c r="AB196" s="1"/>
      <c r="AC196" s="1"/>
      <c r="AD196" s="1"/>
      <c r="AE196" s="1"/>
    </row>
    <row r="197" spans="1:31" ht="22.05" customHeight="1">
      <c r="A197" s="1">
        <f>'01 Traffic inputs'!B147</f>
        <v>4.572590699439727E-2</v>
      </c>
      <c r="B197" s="1">
        <f>'01 Traffic inputs'!C147</f>
        <v>1.7067470308297034E-3</v>
      </c>
      <c r="C197" s="1">
        <f>IF('01 Traffic inputs'!$B$16&lt;=2/3,(4*A197*(1-A197))^$B$16,1-ABS(2*A197-1)^$B$17)</f>
        <v>2.6618549228908436E-3</v>
      </c>
      <c r="D197" s="1">
        <f>IF('01 Traffic inputs'!$B$16&lt;=2/3,4*$B$16*(1-2*A197)*(4*A197*(1-A197))^($B$16-1),-2*$B$17*SIGN(2*A197-1)*ABS(2*A197-1)^($B$17-1))</f>
        <v>0.18824086886975727</v>
      </c>
      <c r="E197" s="1">
        <f t="shared" si="38"/>
        <v>8.1938671379298125</v>
      </c>
      <c r="F197" s="1">
        <f t="shared" si="39"/>
        <v>1.6361759062619264E-2</v>
      </c>
      <c r="G197" s="1">
        <f t="shared" si="40"/>
        <v>0.13406607990192129</v>
      </c>
      <c r="H197" s="1">
        <f>'01 Traffic inputs'!$B$8/F197</f>
        <v>63.562847736588822</v>
      </c>
      <c r="I197" s="1">
        <f>MATCH(H197,'02 Emission rates'!$A$7:$A$15,1)</f>
        <v>5</v>
      </c>
      <c r="J197" s="1">
        <f>INDEX('02 Emission rates'!$D$7:$D$15,I197)</f>
        <v>15845.527995946721</v>
      </c>
      <c r="K197" s="1">
        <f>INDEX('02 Emission rates'!$E$7:$E$15,I197)</f>
        <v>20.885654518874212</v>
      </c>
      <c r="L197" s="1">
        <f>INDEX('02 Emission rates'!$F$7:$F$15,I197)</f>
        <v>98.655405882152721</v>
      </c>
      <c r="M197" s="1">
        <f>INDEX('02 Emission rates'!$G$7:$G$15,I197)</f>
        <v>4.4998305826136002</v>
      </c>
      <c r="N197" s="1">
        <f t="shared" si="41"/>
        <v>2124.3478223927236</v>
      </c>
      <c r="O197" s="1">
        <f t="shared" si="42"/>
        <v>2.8000578275313135</v>
      </c>
      <c r="P197" s="1">
        <f t="shared" si="43"/>
        <v>13.226343527753162</v>
      </c>
      <c r="Q197" s="1">
        <f t="shared" si="44"/>
        <v>0.60327464643378392</v>
      </c>
      <c r="R197" s="1">
        <f t="shared" si="45"/>
        <v>223.26628696021248</v>
      </c>
      <c r="S197" s="1">
        <f t="shared" si="46"/>
        <v>3.6274405915322032</v>
      </c>
      <c r="T197" s="1">
        <f t="shared" si="47"/>
        <v>63481.836257076437</v>
      </c>
      <c r="U197" s="1">
        <f t="shared" si="48"/>
        <v>87.665159162266249</v>
      </c>
      <c r="V197" s="1">
        <f t="shared" si="49"/>
        <v>403.77924906812098</v>
      </c>
      <c r="W197" s="1">
        <f t="shared" si="50"/>
        <v>17.544104619095982</v>
      </c>
      <c r="X197" s="1"/>
      <c r="Y197" s="1"/>
      <c r="Z197" s="1"/>
      <c r="AA197" s="1"/>
      <c r="AB197" s="1"/>
      <c r="AC197" s="1"/>
      <c r="AD197" s="1"/>
      <c r="AE197" s="1"/>
    </row>
    <row r="198" spans="1:31" ht="22.05" customHeight="1">
      <c r="A198" s="1">
        <f>'01 Traffic inputs'!B148</f>
        <v>4.7447798296452792E-2</v>
      </c>
      <c r="B198" s="1">
        <f>'01 Traffic inputs'!C148</f>
        <v>1.7370164147588218E-3</v>
      </c>
      <c r="C198" s="1">
        <f>IF('01 Traffic inputs'!$B$16&lt;=2/3,(4*A198*(1-A198))^$B$16,1-ABS(2*A198-1)^$B$17)</f>
        <v>2.9994740948469912E-3</v>
      </c>
      <c r="D198" s="1">
        <f>IF('01 Traffic inputs'!$B$16&lt;=2/3,4*$B$16*(1-2*A198)*(4*A198*(1-A198))^($B$16-1),-2*$B$17*SIGN(2*A198-1)*ABS(2*A198-1)^($B$17-1))</f>
        <v>0.20401212378249436</v>
      </c>
      <c r="E198" s="1">
        <f t="shared" si="38"/>
        <v>8.3408772298126674</v>
      </c>
      <c r="F198" s="1">
        <f t="shared" si="39"/>
        <v>1.6381118061431783E-2</v>
      </c>
      <c r="G198" s="1">
        <f t="shared" si="40"/>
        <v>0.13663289463746939</v>
      </c>
      <c r="H198" s="1">
        <f>'01 Traffic inputs'!$B$8/F198</f>
        <v>63.487729964453955</v>
      </c>
      <c r="I198" s="1">
        <f>MATCH(H198,'02 Emission rates'!$A$7:$A$15,1)</f>
        <v>5</v>
      </c>
      <c r="J198" s="1">
        <f>INDEX('02 Emission rates'!$D$7:$D$15,I198)</f>
        <v>15845.527995946721</v>
      </c>
      <c r="K198" s="1">
        <f>INDEX('02 Emission rates'!$E$7:$E$15,I198)</f>
        <v>20.885654518874212</v>
      </c>
      <c r="L198" s="1">
        <f>INDEX('02 Emission rates'!$F$7:$F$15,I198)</f>
        <v>98.655405882152721</v>
      </c>
      <c r="M198" s="1">
        <f>INDEX('02 Emission rates'!$G$7:$G$15,I198)</f>
        <v>4.4998305826136002</v>
      </c>
      <c r="N198" s="1">
        <f t="shared" si="41"/>
        <v>2165.0203571452598</v>
      </c>
      <c r="O198" s="1">
        <f t="shared" si="42"/>
        <v>2.8536674333119265</v>
      </c>
      <c r="P198" s="1">
        <f t="shared" si="43"/>
        <v>13.479573677312951</v>
      </c>
      <c r="Q198" s="1">
        <f t="shared" si="44"/>
        <v>0.6148248778807065</v>
      </c>
      <c r="R198" s="1">
        <f t="shared" si="45"/>
        <v>231.60716419002514</v>
      </c>
      <c r="S198" s="1">
        <f t="shared" si="46"/>
        <v>3.7640734861696727</v>
      </c>
      <c r="T198" s="1">
        <f t="shared" si="47"/>
        <v>65646.856614221702</v>
      </c>
      <c r="U198" s="1">
        <f t="shared" si="48"/>
        <v>90.518826595578176</v>
      </c>
      <c r="V198" s="1">
        <f t="shared" si="49"/>
        <v>417.25882274543392</v>
      </c>
      <c r="W198" s="1">
        <f t="shared" si="50"/>
        <v>18.15892949697669</v>
      </c>
      <c r="X198" s="1"/>
      <c r="Y198" s="1"/>
      <c r="Z198" s="1"/>
      <c r="AA198" s="1"/>
      <c r="AB198" s="1"/>
      <c r="AC198" s="1"/>
      <c r="AD198" s="1"/>
      <c r="AE198" s="1"/>
    </row>
    <row r="199" spans="1:31" ht="22.05" customHeight="1">
      <c r="A199" s="1">
        <f>'01 Traffic inputs'!B149</f>
        <v>4.9199901170463911E-2</v>
      </c>
      <c r="B199" s="1">
        <f>'01 Traffic inputs'!C149</f>
        <v>1.767169838593685E-3</v>
      </c>
      <c r="C199" s="1">
        <f>IF('01 Traffic inputs'!$B$16&lt;=2/3,(4*A199*(1-A199))^$B$16,1-ABS(2*A199-1)^$B$17)</f>
        <v>3.3714469116651363E-3</v>
      </c>
      <c r="D199" s="1">
        <f>IF('01 Traffic inputs'!$B$16&lt;=2/3,4*$B$16*(1-2*A199)*(4*A199*(1-A199))^($B$16-1),-2*$B$17*SIGN(2*A199-1)*ABS(2*A199-1)^($B$17-1))</f>
        <v>0.2206957189373111</v>
      </c>
      <c r="E199" s="1">
        <f t="shared" si="38"/>
        <v>8.4874888204747538</v>
      </c>
      <c r="F199" s="1">
        <f t="shared" si="39"/>
        <v>1.6402446889641834E-2</v>
      </c>
      <c r="G199" s="1">
        <f t="shared" si="40"/>
        <v>0.13921558460426597</v>
      </c>
      <c r="H199" s="1">
        <f>'01 Traffic inputs'!$B$8/F199</f>
        <v>63.405174057096431</v>
      </c>
      <c r="I199" s="1">
        <f>MATCH(H199,'02 Emission rates'!$A$7:$A$15,1)</f>
        <v>5</v>
      </c>
      <c r="J199" s="1">
        <f>INDEX('02 Emission rates'!$D$7:$D$15,I199)</f>
        <v>15845.527995946721</v>
      </c>
      <c r="K199" s="1">
        <f>INDEX('02 Emission rates'!$E$7:$E$15,I199)</f>
        <v>20.885654518874212</v>
      </c>
      <c r="L199" s="1">
        <f>INDEX('02 Emission rates'!$F$7:$F$15,I199)</f>
        <v>98.655405882152721</v>
      </c>
      <c r="M199" s="1">
        <f>INDEX('02 Emission rates'!$G$7:$G$15,I199)</f>
        <v>4.4998305826136002</v>
      </c>
      <c r="N199" s="1">
        <f t="shared" si="41"/>
        <v>2205.9444433189856</v>
      </c>
      <c r="O199" s="1">
        <f t="shared" si="42"/>
        <v>2.9076086036878026</v>
      </c>
      <c r="P199" s="1">
        <f t="shared" si="43"/>
        <v>13.73437000425503</v>
      </c>
      <c r="Q199" s="1">
        <f t="shared" si="44"/>
        <v>0.62644654517870713</v>
      </c>
      <c r="R199" s="1">
        <f t="shared" si="45"/>
        <v>240.09465301049991</v>
      </c>
      <c r="S199" s="1">
        <f t="shared" si="46"/>
        <v>3.9032890707739387</v>
      </c>
      <c r="T199" s="1">
        <f t="shared" si="47"/>
        <v>67852.801057540695</v>
      </c>
      <c r="U199" s="1">
        <f t="shared" si="48"/>
        <v>93.426435199265981</v>
      </c>
      <c r="V199" s="1">
        <f t="shared" si="49"/>
        <v>430.99319274968894</v>
      </c>
      <c r="W199" s="1">
        <f t="shared" si="50"/>
        <v>18.785376042155399</v>
      </c>
      <c r="X199" s="1"/>
      <c r="Y199" s="1"/>
      <c r="Z199" s="1"/>
      <c r="AA199" s="1"/>
      <c r="AB199" s="1"/>
      <c r="AC199" s="1"/>
      <c r="AD199" s="1"/>
      <c r="AE199" s="1"/>
    </row>
    <row r="200" spans="1:31" ht="22.05" customHeight="1">
      <c r="A200" s="1">
        <f>'01 Traffic inputs'!B150</f>
        <v>5.0982098649191787E-2</v>
      </c>
      <c r="B200" s="1">
        <f>'01 Traffic inputs'!C150</f>
        <v>1.7972052893462571E-3</v>
      </c>
      <c r="C200" s="1">
        <f>IF('01 Traffic inputs'!$B$16&lt;=2/3,(4*A200*(1-A200))^$B$16,1-ABS(2*A200-1)^$B$17)</f>
        <v>3.7803749909357926E-3</v>
      </c>
      <c r="D200" s="1">
        <f>IF('01 Traffic inputs'!$B$16&lt;=2/3,4*$B$16*(1-2*A200)*(4*A200*(1-A200))^($B$16-1),-2*$B$17*SIGN(2*A200-1)*ABS(2*A200-1)^($B$17-1))</f>
        <v>0.23831613826875153</v>
      </c>
      <c r="E200" s="1">
        <f t="shared" si="38"/>
        <v>8.6336996908507988</v>
      </c>
      <c r="F200" s="1">
        <f t="shared" si="39"/>
        <v>1.6425894723350858E-2</v>
      </c>
      <c r="G200" s="1">
        <f t="shared" si="40"/>
        <v>0.14181624219494207</v>
      </c>
      <c r="H200" s="1">
        <f>'01 Traffic inputs'!$B$8/F200</f>
        <v>63.314663676832701</v>
      </c>
      <c r="I200" s="1">
        <f>MATCH(H200,'02 Emission rates'!$A$7:$A$15,1)</f>
        <v>5</v>
      </c>
      <c r="J200" s="1">
        <f>INDEX('02 Emission rates'!$D$7:$D$15,I200)</f>
        <v>15845.527995946721</v>
      </c>
      <c r="K200" s="1">
        <f>INDEX('02 Emission rates'!$E$7:$E$15,I200)</f>
        <v>20.885654518874212</v>
      </c>
      <c r="L200" s="1">
        <f>INDEX('02 Emission rates'!$F$7:$F$15,I200)</f>
        <v>98.655405882152721</v>
      </c>
      <c r="M200" s="1">
        <f>INDEX('02 Emission rates'!$G$7:$G$15,I200)</f>
        <v>4.4998305826136002</v>
      </c>
      <c r="N200" s="1">
        <f t="shared" si="41"/>
        <v>2247.1532359799153</v>
      </c>
      <c r="O200" s="1">
        <f t="shared" si="42"/>
        <v>2.9619250396485515</v>
      </c>
      <c r="P200" s="1">
        <f t="shared" si="43"/>
        <v>13.990938934423683</v>
      </c>
      <c r="Q200" s="1">
        <f t="shared" si="44"/>
        <v>0.63814906374013758</v>
      </c>
      <c r="R200" s="1">
        <f t="shared" si="45"/>
        <v>248.7283527013507</v>
      </c>
      <c r="S200" s="1">
        <f t="shared" si="46"/>
        <v>4.0451053129688805</v>
      </c>
      <c r="T200" s="1">
        <f t="shared" si="47"/>
        <v>70099.954293520612</v>
      </c>
      <c r="U200" s="1">
        <f t="shared" si="48"/>
        <v>96.38836023891453</v>
      </c>
      <c r="V200" s="1">
        <f t="shared" si="49"/>
        <v>444.98413168411264</v>
      </c>
      <c r="W200" s="1">
        <f t="shared" si="50"/>
        <v>19.423525105895536</v>
      </c>
      <c r="X200" s="1"/>
      <c r="Y200" s="1"/>
      <c r="Z200" s="1"/>
      <c r="AA200" s="1"/>
      <c r="AB200" s="1"/>
      <c r="AC200" s="1"/>
      <c r="AD200" s="1"/>
      <c r="AE200" s="1"/>
    </row>
    <row r="201" spans="1:31" ht="22.05" customHeight="1">
      <c r="A201" s="1">
        <f>'01 Traffic inputs'!B151</f>
        <v>5.2794271756335609E-2</v>
      </c>
      <c r="B201" s="1">
        <f>'01 Traffic inputs'!C151</f>
        <v>1.8271207619034633E-3</v>
      </c>
      <c r="C201" s="1">
        <f>IF('01 Traffic inputs'!$B$16&lt;=2/3,(4*A201*(1-A201))^$B$16,1-ABS(2*A201-1)^$B$17)</f>
        <v>4.2289804650739362E-3</v>
      </c>
      <c r="D201" s="1">
        <f>IF('01 Traffic inputs'!$B$16&lt;=2/3,4*$B$16*(1-2*A201)*(4*A201*(1-A201))^($B$16-1),-2*$B$17*SIGN(2*A201-1)*ABS(2*A201-1)^($B$17-1))</f>
        <v>0.25689694915123934</v>
      </c>
      <c r="E201" s="1">
        <f t="shared" si="38"/>
        <v>8.7795076888053067</v>
      </c>
      <c r="F201" s="1">
        <f t="shared" si="39"/>
        <v>1.645161764895017E-2</v>
      </c>
      <c r="G201" s="1">
        <f t="shared" si="40"/>
        <v>0.1444371036422431</v>
      </c>
      <c r="H201" s="1">
        <f>'01 Traffic inputs'!$B$8/F201</f>
        <v>63.215668038965532</v>
      </c>
      <c r="I201" s="1">
        <f>MATCH(H201,'02 Emission rates'!$A$7:$A$15,1)</f>
        <v>5</v>
      </c>
      <c r="J201" s="1">
        <f>INDEX('02 Emission rates'!$D$7:$D$15,I201)</f>
        <v>15845.527995946721</v>
      </c>
      <c r="K201" s="1">
        <f>INDEX('02 Emission rates'!$E$7:$E$15,I201)</f>
        <v>20.885654518874212</v>
      </c>
      <c r="L201" s="1">
        <f>INDEX('02 Emission rates'!$F$7:$F$15,I201)</f>
        <v>98.655405882152721</v>
      </c>
      <c r="M201" s="1">
        <f>INDEX('02 Emission rates'!$G$7:$G$15,I201)</f>
        <v>4.4998305826136002</v>
      </c>
      <c r="N201" s="1">
        <f t="shared" si="41"/>
        <v>2288.682169416621</v>
      </c>
      <c r="O201" s="1">
        <f t="shared" si="42"/>
        <v>3.0166634463787174</v>
      </c>
      <c r="P201" s="1">
        <f t="shared" si="43"/>
        <v>14.249501084268053</v>
      </c>
      <c r="Q201" s="1">
        <f t="shared" si="44"/>
        <v>0.64994249623349576</v>
      </c>
      <c r="R201" s="1">
        <f t="shared" si="45"/>
        <v>257.507860390156</v>
      </c>
      <c r="S201" s="1">
        <f t="shared" si="46"/>
        <v>4.1895424166111237</v>
      </c>
      <c r="T201" s="1">
        <f t="shared" si="47"/>
        <v>72388.636462937226</v>
      </c>
      <c r="U201" s="1">
        <f t="shared" si="48"/>
        <v>99.405023685293244</v>
      </c>
      <c r="V201" s="1">
        <f t="shared" si="49"/>
        <v>459.23363276838069</v>
      </c>
      <c r="W201" s="1">
        <f t="shared" si="50"/>
        <v>20.073467602129032</v>
      </c>
      <c r="X201" s="1"/>
      <c r="Y201" s="1"/>
      <c r="Z201" s="1"/>
      <c r="AA201" s="1"/>
      <c r="AB201" s="1"/>
      <c r="AC201" s="1"/>
      <c r="AD201" s="1"/>
      <c r="AE201" s="1"/>
    </row>
    <row r="202" spans="1:31" ht="22.05" customHeight="1">
      <c r="A202" s="1">
        <f>'01 Traffic inputs'!B152</f>
        <v>5.4636299514475462E-2</v>
      </c>
      <c r="B202" s="1">
        <f>'01 Traffic inputs'!C152</f>
        <v>1.856914259162339E-3</v>
      </c>
      <c r="C202" s="1">
        <f>IF('01 Traffic inputs'!$B$16&lt;=2/3,(4*A202*(1-A202))^$B$16,1-ABS(2*A202-1)^$B$17)</f>
        <v>4.7201062811094196E-3</v>
      </c>
      <c r="D202" s="1">
        <f>IF('01 Traffic inputs'!$B$16&lt;=2/3,4*$B$16*(1-2*A202)*(4*A202*(1-A202))^($B$16-1),-2*$B$17*SIGN(2*A202-1)*ABS(2*A202-1)^($B$17-1))</f>
        <v>0.27646071322612747</v>
      </c>
      <c r="E202" s="1">
        <f t="shared" si="38"/>
        <v>8.9249107082059762</v>
      </c>
      <c r="F202" s="1">
        <f t="shared" si="39"/>
        <v>1.6479778680310864E-2</v>
      </c>
      <c r="G202" s="1">
        <f t="shared" si="40"/>
        <v>0.14708055321277097</v>
      </c>
      <c r="H202" s="1">
        <f>'01 Traffic inputs'!$B$8/F202</f>
        <v>63.107643626461773</v>
      </c>
      <c r="I202" s="1">
        <f>MATCH(H202,'02 Emission rates'!$A$7:$A$15,1)</f>
        <v>5</v>
      </c>
      <c r="J202" s="1">
        <f>INDEX('02 Emission rates'!$D$7:$D$15,I202)</f>
        <v>15845.527995946721</v>
      </c>
      <c r="K202" s="1">
        <f>INDEX('02 Emission rates'!$E$7:$E$15,I202)</f>
        <v>20.885654518874212</v>
      </c>
      <c r="L202" s="1">
        <f>INDEX('02 Emission rates'!$F$7:$F$15,I202)</f>
        <v>98.655405882152721</v>
      </c>
      <c r="M202" s="1">
        <f>INDEX('02 Emission rates'!$G$7:$G$15,I202)</f>
        <v>4.4998305826136002</v>
      </c>
      <c r="N202" s="1">
        <f t="shared" si="41"/>
        <v>2330.5690235922939</v>
      </c>
      <c r="O202" s="1">
        <f t="shared" si="42"/>
        <v>3.0718736208468291</v>
      </c>
      <c r="P202" s="1">
        <f t="shared" si="43"/>
        <v>14.510291674577481</v>
      </c>
      <c r="Q202" s="1">
        <f t="shared" si="44"/>
        <v>0.6618375714545538</v>
      </c>
      <c r="R202" s="1">
        <f t="shared" si="45"/>
        <v>266.43277109836197</v>
      </c>
      <c r="S202" s="1">
        <f t="shared" si="46"/>
        <v>4.3366229698238943</v>
      </c>
      <c r="T202" s="1">
        <f t="shared" si="47"/>
        <v>74719.205486529521</v>
      </c>
      <c r="U202" s="1">
        <f t="shared" si="48"/>
        <v>102.47689730614007</v>
      </c>
      <c r="V202" s="1">
        <f t="shared" si="49"/>
        <v>473.74392444295819</v>
      </c>
      <c r="W202" s="1">
        <f t="shared" si="50"/>
        <v>20.735305173583587</v>
      </c>
      <c r="X202" s="1"/>
      <c r="Y202" s="1"/>
      <c r="Z202" s="1"/>
      <c r="AA202" s="1"/>
      <c r="AB202" s="1"/>
      <c r="AC202" s="1"/>
      <c r="AD202" s="1"/>
      <c r="AE202" s="1"/>
    </row>
    <row r="203" spans="1:31" ht="22.05" customHeight="1">
      <c r="A203" s="1">
        <f>'01 Traffic inputs'!B153</f>
        <v>5.650805895314831E-2</v>
      </c>
      <c r="B203" s="1">
        <f>'01 Traffic inputs'!C153</f>
        <v>1.8865837921618117E-3</v>
      </c>
      <c r="C203" s="1">
        <f>IF('01 Traffic inputs'!$B$16&lt;=2/3,(4*A203*(1-A203))^$B$16,1-ABS(2*A203-1)^$B$17)</f>
        <v>5.2567161437741382E-3</v>
      </c>
      <c r="D203" s="1">
        <f>IF('01 Traffic inputs'!$B$16&lt;=2/3,4*$B$16*(1-2*A203)*(4*A203*(1-A203))^($B$16-1),-2*$B$17*SIGN(2*A203-1)*ABS(2*A203-1)^($B$17-1))</f>
        <v>0.2970288976817172</v>
      </c>
      <c r="E203" s="1">
        <f t="shared" si="38"/>
        <v>9.0699066671066841</v>
      </c>
      <c r="F203" s="1">
        <f t="shared" si="39"/>
        <v>1.6510547755520438E-2</v>
      </c>
      <c r="G203" s="1">
        <f t="shared" si="40"/>
        <v>0.14974912716537811</v>
      </c>
      <c r="H203" s="1">
        <f>'01 Traffic inputs'!$B$8/F203</f>
        <v>62.99003615142253</v>
      </c>
      <c r="I203" s="1">
        <f>MATCH(H203,'02 Emission rates'!$A$7:$A$15,1)</f>
        <v>5</v>
      </c>
      <c r="J203" s="1">
        <f>INDEX('02 Emission rates'!$D$7:$D$15,I203)</f>
        <v>15845.527995946721</v>
      </c>
      <c r="K203" s="1">
        <f>INDEX('02 Emission rates'!$E$7:$E$15,I203)</f>
        <v>20.885654518874212</v>
      </c>
      <c r="L203" s="1">
        <f>INDEX('02 Emission rates'!$F$7:$F$15,I203)</f>
        <v>98.655405882152721</v>
      </c>
      <c r="M203" s="1">
        <f>INDEX('02 Emission rates'!$G$7:$G$15,I203)</f>
        <v>4.4998305826136002</v>
      </c>
      <c r="N203" s="1">
        <f t="shared" si="41"/>
        <v>2372.8539868675844</v>
      </c>
      <c r="O203" s="1">
        <f t="shared" si="42"/>
        <v>3.1276085344790485</v>
      </c>
      <c r="P203" s="1">
        <f t="shared" si="43"/>
        <v>14.773560920998479</v>
      </c>
      <c r="Q203" s="1">
        <f t="shared" si="44"/>
        <v>0.67384570213846151</v>
      </c>
      <c r="R203" s="1">
        <f t="shared" si="45"/>
        <v>275.50267776546866</v>
      </c>
      <c r="S203" s="1">
        <f t="shared" si="46"/>
        <v>4.486372096989272</v>
      </c>
      <c r="T203" s="1">
        <f t="shared" si="47"/>
        <v>77092.059473397108</v>
      </c>
      <c r="U203" s="1">
        <f t="shared" si="48"/>
        <v>105.60450584061913</v>
      </c>
      <c r="V203" s="1">
        <f t="shared" si="49"/>
        <v>488.51748536395667</v>
      </c>
      <c r="W203" s="1">
        <f t="shared" si="50"/>
        <v>21.409150875722048</v>
      </c>
      <c r="X203" s="1"/>
      <c r="Y203" s="1"/>
      <c r="Z203" s="1"/>
      <c r="AA203" s="1"/>
      <c r="AB203" s="1"/>
      <c r="AC203" s="1"/>
      <c r="AD203" s="1"/>
      <c r="AE203" s="1"/>
    </row>
    <row r="204" spans="1:31" ht="22.05" customHeight="1">
      <c r="A204" s="1">
        <f>'01 Traffic inputs'!B154</f>
        <v>5.8409425117057656E-2</v>
      </c>
      <c r="B204" s="1">
        <f>'01 Traffic inputs'!C154</f>
        <v>1.9161273802176767E-3</v>
      </c>
      <c r="C204" s="1">
        <f>IF('01 Traffic inputs'!$B$16&lt;=2/3,(4*A204*(1-A204))^$B$16,1-ABS(2*A204-1)^$B$17)</f>
        <v>5.8418940881410008E-3</v>
      </c>
      <c r="D204" s="1">
        <f>IF('01 Traffic inputs'!$B$16&lt;=2/3,4*$B$16*(1-2*A204)*(4*A204*(1-A204))^($B$16-1),-2*$B$17*SIGN(2*A204-1)*ABS(2*A204-1)^($B$17-1))</f>
        <v>0.31862178722007917</v>
      </c>
      <c r="E204" s="1">
        <f t="shared" si="38"/>
        <v>9.2144934851240414</v>
      </c>
      <c r="F204" s="1">
        <f t="shared" si="39"/>
        <v>1.6544101712378023E-2</v>
      </c>
      <c r="G204" s="1">
        <f t="shared" si="40"/>
        <v>0.15244551744593679</v>
      </c>
      <c r="H204" s="1">
        <f>'01 Traffic inputs'!$B$8/F204</f>
        <v>62.862282768843812</v>
      </c>
      <c r="I204" s="1">
        <f>MATCH(H204,'02 Emission rates'!$A$7:$A$15,1)</f>
        <v>5</v>
      </c>
      <c r="J204" s="1">
        <f>INDEX('02 Emission rates'!$D$7:$D$15,I204)</f>
        <v>15845.527995946721</v>
      </c>
      <c r="K204" s="1">
        <f>INDEX('02 Emission rates'!$E$7:$E$15,I204)</f>
        <v>20.885654518874212</v>
      </c>
      <c r="L204" s="1">
        <f>INDEX('02 Emission rates'!$F$7:$F$15,I204)</f>
        <v>98.655405882152721</v>
      </c>
      <c r="M204" s="1">
        <f>INDEX('02 Emission rates'!$G$7:$G$15,I204)</f>
        <v>4.4998305826136002</v>
      </c>
      <c r="N204" s="1">
        <f t="shared" si="41"/>
        <v>2415.5797145461756</v>
      </c>
      <c r="O204" s="1">
        <f t="shared" si="42"/>
        <v>3.1839244103268474</v>
      </c>
      <c r="P204" s="1">
        <f t="shared" si="43"/>
        <v>15.039574398543687</v>
      </c>
      <c r="Q204" s="1">
        <f t="shared" si="44"/>
        <v>0.68597900158558156</v>
      </c>
      <c r="R204" s="1">
        <f t="shared" si="45"/>
        <v>284.71717125059268</v>
      </c>
      <c r="S204" s="1">
        <f t="shared" si="46"/>
        <v>4.6388176144352089</v>
      </c>
      <c r="T204" s="1">
        <f t="shared" si="47"/>
        <v>79507.639187943278</v>
      </c>
      <c r="U204" s="1">
        <f t="shared" si="48"/>
        <v>108.78843025094598</v>
      </c>
      <c r="V204" s="1">
        <f t="shared" si="49"/>
        <v>503.55705976250033</v>
      </c>
      <c r="W204" s="1">
        <f t="shared" si="50"/>
        <v>22.095129877307631</v>
      </c>
      <c r="X204" s="1"/>
      <c r="Y204" s="1"/>
      <c r="Z204" s="1"/>
      <c r="AA204" s="1"/>
      <c r="AB204" s="1"/>
      <c r="AC204" s="1"/>
      <c r="AD204" s="1"/>
      <c r="AE204" s="1"/>
    </row>
    <row r="205" spans="1:31" ht="22.05" customHeight="1">
      <c r="A205" s="1">
        <f>'01 Traffic inputs'!B155</f>
        <v>6.0340271074414975E-2</v>
      </c>
      <c r="B205" s="1">
        <f>'01 Traffic inputs'!C155</f>
        <v>1.9455430510525271E-3</v>
      </c>
      <c r="C205" s="1">
        <f>IF('01 Traffic inputs'!$B$16&lt;=2/3,(4*A205*(1-A205))^$B$16,1-ABS(2*A205-1)^$B$17)</f>
        <v>6.4788436689510853E-3</v>
      </c>
      <c r="D205" s="1">
        <f>IF('01 Traffic inputs'!$B$16&lt;=2/3,4*$B$16*(1-2*A205)*(4*A205*(1-A205))^($B$16-1),-2*$B$17*SIGN(2*A205-1)*ABS(2*A205-1)^($B$17-1))</f>
        <v>0.34125839694465243</v>
      </c>
      <c r="E205" s="1">
        <f t="shared" si="38"/>
        <v>9.3586690600243596</v>
      </c>
      <c r="F205" s="1">
        <f t="shared" si="39"/>
        <v>1.6580624241910615E-2</v>
      </c>
      <c r="G205" s="1">
        <f t="shared" si="40"/>
        <v>0.15517257508865873</v>
      </c>
      <c r="H205" s="1">
        <f>'01 Traffic inputs'!$B$8/F205</f>
        <v>62.723814545608413</v>
      </c>
      <c r="I205" s="1">
        <f>MATCH(H205,'02 Emission rates'!$A$7:$A$15,1)</f>
        <v>5</v>
      </c>
      <c r="J205" s="1">
        <f>INDEX('02 Emission rates'!$D$7:$D$15,I205)</f>
        <v>15845.527995946721</v>
      </c>
      <c r="K205" s="1">
        <f>INDEX('02 Emission rates'!$E$7:$E$15,I205)</f>
        <v>20.885654518874212</v>
      </c>
      <c r="L205" s="1">
        <f>INDEX('02 Emission rates'!$F$7:$F$15,I205)</f>
        <v>98.655405882152721</v>
      </c>
      <c r="M205" s="1">
        <f>INDEX('02 Emission rates'!$G$7:$G$15,I205)</f>
        <v>4.4998305826136002</v>
      </c>
      <c r="N205" s="1">
        <f t="shared" si="41"/>
        <v>2458.7913827704865</v>
      </c>
      <c r="O205" s="1">
        <f t="shared" si="42"/>
        <v>3.2408807941057929</v>
      </c>
      <c r="P205" s="1">
        <f t="shared" si="43"/>
        <v>15.308613377150447</v>
      </c>
      <c r="Q205" s="1">
        <f t="shared" si="44"/>
        <v>0.69825029896685187</v>
      </c>
      <c r="R205" s="1">
        <f t="shared" si="45"/>
        <v>294.07584031061702</v>
      </c>
      <c r="S205" s="1">
        <f t="shared" si="46"/>
        <v>4.7939901895238677</v>
      </c>
      <c r="T205" s="1">
        <f t="shared" si="47"/>
        <v>81966.430570713768</v>
      </c>
      <c r="U205" s="1">
        <f t="shared" si="48"/>
        <v>112.02931104505177</v>
      </c>
      <c r="V205" s="1">
        <f t="shared" si="49"/>
        <v>518.86567313965077</v>
      </c>
      <c r="W205" s="1">
        <f t="shared" si="50"/>
        <v>22.793380176274482</v>
      </c>
      <c r="X205" s="1"/>
      <c r="Y205" s="1"/>
      <c r="Z205" s="1"/>
      <c r="AA205" s="1"/>
      <c r="AB205" s="1"/>
      <c r="AC205" s="1"/>
      <c r="AD205" s="1"/>
      <c r="AE205" s="1"/>
    </row>
    <row r="206" spans="1:31" ht="22.05" customHeight="1">
      <c r="A206" s="1">
        <f>'01 Traffic inputs'!B156</f>
        <v>6.2300467925413772E-2</v>
      </c>
      <c r="B206" s="1">
        <f>'01 Traffic inputs'!C156</f>
        <v>1.9748288409294581E-3</v>
      </c>
      <c r="C206" s="1">
        <f>IF('01 Traffic inputs'!$B$16&lt;=2/3,(4*A206*(1-A206))^$B$16,1-ABS(2*A206-1)^$B$17)</f>
        <v>7.1708867547111413E-3</v>
      </c>
      <c r="D206" s="1">
        <f>IF('01 Traffic inputs'!$B$16&lt;=2/3,4*$B$16*(1-2*A206)*(4*A206*(1-A206))^($B$16-1),-2*$B$17*SIGN(2*A206-1)*ABS(2*A206-1)^($B$17-1))</f>
        <v>0.36495638640226741</v>
      </c>
      <c r="E206" s="1">
        <f t="shared" si="38"/>
        <v>9.5024312436235547</v>
      </c>
      <c r="F206" s="1">
        <f t="shared" si="39"/>
        <v>1.662030581922691E-2</v>
      </c>
      <c r="G206" s="1">
        <f t="shared" si="40"/>
        <v>0.15793331329520016</v>
      </c>
      <c r="H206" s="1">
        <f>'01 Traffic inputs'!$B$8/F206</f>
        <v>62.5740591846941</v>
      </c>
      <c r="I206" s="1">
        <f>MATCH(H206,'02 Emission rates'!$A$7:$A$15,1)</f>
        <v>5</v>
      </c>
      <c r="J206" s="1">
        <f>INDEX('02 Emission rates'!$D$7:$D$15,I206)</f>
        <v>15845.527995946721</v>
      </c>
      <c r="K206" s="1">
        <f>INDEX('02 Emission rates'!$E$7:$E$15,I206)</f>
        <v>20.885654518874212</v>
      </c>
      <c r="L206" s="1">
        <f>INDEX('02 Emission rates'!$F$7:$F$15,I206)</f>
        <v>98.655405882152721</v>
      </c>
      <c r="M206" s="1">
        <f>INDEX('02 Emission rates'!$G$7:$G$15,I206)</f>
        <v>4.4998305826136002</v>
      </c>
      <c r="N206" s="1">
        <f t="shared" si="41"/>
        <v>2502.5367373117188</v>
      </c>
      <c r="O206" s="1">
        <f t="shared" si="42"/>
        <v>3.2985406185046737</v>
      </c>
      <c r="P206" s="1">
        <f t="shared" si="43"/>
        <v>15.580975125451159</v>
      </c>
      <c r="Q206" s="1">
        <f t="shared" si="44"/>
        <v>0.71067315317923685</v>
      </c>
      <c r="R206" s="1">
        <f t="shared" si="45"/>
        <v>303.57827155424059</v>
      </c>
      <c r="S206" s="1">
        <f t="shared" si="46"/>
        <v>4.951923502819068</v>
      </c>
      <c r="T206" s="1">
        <f t="shared" si="47"/>
        <v>84468.967308025487</v>
      </c>
      <c r="U206" s="1">
        <f t="shared" si="48"/>
        <v>115.32785166355644</v>
      </c>
      <c r="V206" s="1">
        <f t="shared" si="49"/>
        <v>534.44664826510189</v>
      </c>
      <c r="W206" s="1">
        <f t="shared" si="50"/>
        <v>23.504053329453718</v>
      </c>
      <c r="X206" s="1"/>
      <c r="Y206" s="1"/>
      <c r="Z206" s="1"/>
      <c r="AA206" s="1"/>
      <c r="AB206" s="1"/>
      <c r="AC206" s="1"/>
      <c r="AD206" s="1"/>
      <c r="AE206" s="1"/>
    </row>
    <row r="207" spans="1:31" ht="22.05" customHeight="1">
      <c r="A207" s="1">
        <f>'01 Traffic inputs'!B157</f>
        <v>6.4289884810834419E-2</v>
      </c>
      <c r="B207" s="1">
        <f>'01 Traffic inputs'!C157</f>
        <v>2.0039827947812561E-3</v>
      </c>
      <c r="C207" s="1">
        <f>IF('01 Traffic inputs'!$B$16&lt;=2/3,(4*A207*(1-A207))^$B$16,1-ABS(2*A207-1)^$B$17)</f>
        <v>7.9214619156466517E-3</v>
      </c>
      <c r="D207" s="1">
        <f>IF('01 Traffic inputs'!$B$16&lt;=2/3,4*$B$16*(1-2*A207)*(4*A207*(1-A207))^($B$16-1),-2*$B$17*SIGN(2*A207-1)*ABS(2*A207-1)^($B$17-1))</f>
        <v>0.38973197501227147</v>
      </c>
      <c r="E207" s="1">
        <f t="shared" si="38"/>
        <v>9.6457778170239337</v>
      </c>
      <c r="F207" s="1">
        <f t="shared" si="39"/>
        <v>1.6663343611082949E-2</v>
      </c>
      <c r="G207" s="1">
        <f t="shared" si="40"/>
        <v>0.16073091016123139</v>
      </c>
      <c r="H207" s="1">
        <f>'01 Traffic inputs'!$B$8/F207</f>
        <v>62.412444001233133</v>
      </c>
      <c r="I207" s="1">
        <f>MATCH(H207,'02 Emission rates'!$A$7:$A$15,1)</f>
        <v>5</v>
      </c>
      <c r="J207" s="1">
        <f>INDEX('02 Emission rates'!$D$7:$D$15,I207)</f>
        <v>15845.527995946721</v>
      </c>
      <c r="K207" s="1">
        <f>INDEX('02 Emission rates'!$E$7:$E$15,I207)</f>
        <v>20.885654518874212</v>
      </c>
      <c r="L207" s="1">
        <f>INDEX('02 Emission rates'!$F$7:$F$15,I207)</f>
        <v>98.655405882152721</v>
      </c>
      <c r="M207" s="1">
        <f>INDEX('02 Emission rates'!$G$7:$G$15,I207)</f>
        <v>4.4998305826136002</v>
      </c>
      <c r="N207" s="1">
        <f t="shared" si="41"/>
        <v>2546.8661367737891</v>
      </c>
      <c r="O207" s="1">
        <f t="shared" si="42"/>
        <v>3.3569702601316873</v>
      </c>
      <c r="P207" s="1">
        <f t="shared" si="43"/>
        <v>15.856973179764108</v>
      </c>
      <c r="Q207" s="1">
        <f t="shared" si="44"/>
        <v>0.72326186511482815</v>
      </c>
      <c r="R207" s="1">
        <f t="shared" si="45"/>
        <v>313.22404937126453</v>
      </c>
      <c r="S207" s="1">
        <f t="shared" si="46"/>
        <v>5.1126544129802998</v>
      </c>
      <c r="T207" s="1">
        <f t="shared" si="47"/>
        <v>87015.833444799282</v>
      </c>
      <c r="U207" s="1">
        <f t="shared" si="48"/>
        <v>118.68482192368813</v>
      </c>
      <c r="V207" s="1">
        <f t="shared" si="49"/>
        <v>550.30362144486594</v>
      </c>
      <c r="W207" s="1">
        <f t="shared" si="50"/>
        <v>24.227315194568547</v>
      </c>
      <c r="X207" s="1"/>
      <c r="Y207" s="1"/>
      <c r="Z207" s="1"/>
      <c r="AA207" s="1"/>
      <c r="AB207" s="1"/>
      <c r="AC207" s="1"/>
      <c r="AD207" s="1"/>
      <c r="AE207" s="1"/>
    </row>
    <row r="208" spans="1:31" ht="22.05" customHeight="1">
      <c r="A208" s="1">
        <f>'01 Traffic inputs'!B158</f>
        <v>6.6308388920780337E-2</v>
      </c>
      <c r="B208" s="1">
        <f>'01 Traffic inputs'!C158</f>
        <v>2.0330029663425332E-3</v>
      </c>
      <c r="C208" s="1">
        <f>IF('01 Traffic inputs'!$B$16&lt;=2/3,(4*A208*(1-A208))^$B$16,1-ABS(2*A208-1)^$B$17)</f>
        <v>8.7341223956577622E-3</v>
      </c>
      <c r="D208" s="1">
        <f>IF('01 Traffic inputs'!$B$16&lt;=2/3,4*$B$16*(1-2*A208)*(4*A208*(1-A208))^($B$16-1),-2*$B$17*SIGN(2*A208-1)*ABS(2*A208-1)^($B$17-1))</f>
        <v>0.41559985911399167</v>
      </c>
      <c r="E208" s="1">
        <f t="shared" si="38"/>
        <v>9.7887064652908879</v>
      </c>
      <c r="F208" s="1">
        <f t="shared" si="39"/>
        <v>1.6709941359594575E-2</v>
      </c>
      <c r="G208" s="1">
        <f t="shared" si="40"/>
        <v>0.16356871102129503</v>
      </c>
      <c r="H208" s="1">
        <f>'01 Traffic inputs'!$B$8/F208</f>
        <v>62.238399143326106</v>
      </c>
      <c r="I208" s="1">
        <f>MATCH(H208,'02 Emission rates'!$A$7:$A$15,1)</f>
        <v>5</v>
      </c>
      <c r="J208" s="1">
        <f>INDEX('02 Emission rates'!$D$7:$D$15,I208)</f>
        <v>15845.527995946721</v>
      </c>
      <c r="K208" s="1">
        <f>INDEX('02 Emission rates'!$E$7:$E$15,I208)</f>
        <v>20.885654518874212</v>
      </c>
      <c r="L208" s="1">
        <f>INDEX('02 Emission rates'!$F$7:$F$15,I208)</f>
        <v>98.655405882152721</v>
      </c>
      <c r="M208" s="1">
        <f>INDEX('02 Emission rates'!$G$7:$G$15,I208)</f>
        <v>4.4998305826136002</v>
      </c>
      <c r="N208" s="1">
        <f t="shared" si="41"/>
        <v>2591.8325897488494</v>
      </c>
      <c r="O208" s="1">
        <f t="shared" si="42"/>
        <v>3.4162395884883408</v>
      </c>
      <c r="P208" s="1">
        <f t="shared" si="43"/>
        <v>16.136937575426408</v>
      </c>
      <c r="Q208" s="1">
        <f t="shared" si="44"/>
        <v>0.73603148821230957</v>
      </c>
      <c r="R208" s="1">
        <f t="shared" si="45"/>
        <v>323.01275583655541</v>
      </c>
      <c r="S208" s="1">
        <f t="shared" si="46"/>
        <v>5.2762231240015947</v>
      </c>
      <c r="T208" s="1">
        <f t="shared" si="47"/>
        <v>89607.666034548136</v>
      </c>
      <c r="U208" s="1">
        <f t="shared" si="48"/>
        <v>122.10106151217647</v>
      </c>
      <c r="V208" s="1">
        <f t="shared" si="49"/>
        <v>566.44055902029231</v>
      </c>
      <c r="W208" s="1">
        <f t="shared" si="50"/>
        <v>24.963346682780855</v>
      </c>
      <c r="X208" s="1"/>
      <c r="Y208" s="1"/>
      <c r="Z208" s="1"/>
      <c r="AA208" s="1"/>
      <c r="AB208" s="1"/>
      <c r="AC208" s="1"/>
      <c r="AD208" s="1"/>
      <c r="AE208" s="1"/>
    </row>
    <row r="209" spans="1:31" ht="22.05" customHeight="1">
      <c r="A209" s="1">
        <f>'01 Traffic inputs'!B159</f>
        <v>6.835584550354401E-2</v>
      </c>
      <c r="B209" s="1">
        <f>'01 Traffic inputs'!C159</f>
        <v>2.0618874182788322E-3</v>
      </c>
      <c r="C209" s="1">
        <f>IF('01 Traffic inputs'!$B$16&lt;=2/3,(4*A209*(1-A209))^$B$16,1-ABS(2*A209-1)^$B$17)</f>
        <v>9.612533659540002E-3</v>
      </c>
      <c r="D209" s="1">
        <f>IF('01 Traffic inputs'!$B$16&lt;=2/3,4*$B$16*(1-2*A209)*(4*A209*(1-A209))^($B$16-1),-2*$B$17*SIGN(2*A209-1)*ABS(2*A209-1)^($B$17-1))</f>
        <v>0.44257313086171085</v>
      </c>
      <c r="E209" s="1">
        <f t="shared" ref="E209:E272" si="51">$B$7*B209*(1+$B$11/$B$9*D209)</f>
        <v>9.9312147516112557</v>
      </c>
      <c r="F209" s="1">
        <f t="shared" ref="F209:F272" si="52">$B$10+$B$11*C209</f>
        <v>1.6760309241595685E-2</v>
      </c>
      <c r="G209" s="1">
        <f t="shared" ref="G209:G272" si="53">E209*F209</f>
        <v>0.16645023038170154</v>
      </c>
      <c r="H209" s="1">
        <f>'01 Traffic inputs'!$B$8/F209</f>
        <v>62.051361046426969</v>
      </c>
      <c r="I209" s="1">
        <f>MATCH(H209,'02 Emission rates'!$A$7:$A$15,1)</f>
        <v>5</v>
      </c>
      <c r="J209" s="1">
        <f>INDEX('02 Emission rates'!$D$7:$D$15,I209)</f>
        <v>15845.527995946721</v>
      </c>
      <c r="K209" s="1">
        <f>INDEX('02 Emission rates'!$E$7:$E$15,I209)</f>
        <v>20.885654518874212</v>
      </c>
      <c r="L209" s="1">
        <f>INDEX('02 Emission rates'!$F$7:$F$15,I209)</f>
        <v>98.655405882152721</v>
      </c>
      <c r="M209" s="1">
        <f>INDEX('02 Emission rates'!$G$7:$G$15,I209)</f>
        <v>4.4998305826136002</v>
      </c>
      <c r="N209" s="1">
        <f t="shared" ref="N209:N272" si="54">G209*J209</f>
        <v>2637.4917854450332</v>
      </c>
      <c r="O209" s="1">
        <f t="shared" ref="O209:O272" si="55">G209*K209</f>
        <v>3.4764220063392384</v>
      </c>
      <c r="P209" s="1">
        <f t="shared" ref="P209:P272" si="56">G209*L209</f>
        <v>16.421215037484593</v>
      </c>
      <c r="Q209" s="1">
        <f t="shared" ref="Q209:Q272" si="57">G209*M209</f>
        <v>0.74899783715466006</v>
      </c>
      <c r="R209" s="1">
        <f t="shared" ref="R209:R272" si="58">R208+E209</f>
        <v>332.94397058816668</v>
      </c>
      <c r="S209" s="1">
        <f t="shared" ref="S209:S272" si="59">S208+G209</f>
        <v>5.4426733543832961</v>
      </c>
      <c r="T209" s="1">
        <f t="shared" ref="T209:T272" si="60">T208+N209</f>
        <v>92245.157819993168</v>
      </c>
      <c r="U209" s="1">
        <f t="shared" ref="U209:U272" si="61">U208+O209</f>
        <v>125.57748351851571</v>
      </c>
      <c r="V209" s="1">
        <f t="shared" ref="V209:V272" si="62">V208+P209</f>
        <v>582.86177405777687</v>
      </c>
      <c r="W209" s="1">
        <f t="shared" ref="W209:W272" si="63">W208+Q209</f>
        <v>25.712344519935517</v>
      </c>
      <c r="X209" s="1"/>
      <c r="Y209" s="1"/>
      <c r="Z209" s="1"/>
      <c r="AA209" s="1"/>
      <c r="AB209" s="1"/>
      <c r="AC209" s="1"/>
      <c r="AD209" s="1"/>
      <c r="AE209" s="1"/>
    </row>
    <row r="210" spans="1:31" ht="22.05" customHeight="1">
      <c r="A210" s="1">
        <f>'01 Traffic inputs'!B160</f>
        <v>7.043211787460274E-2</v>
      </c>
      <c r="B210" s="1">
        <f>'01 Traffic inputs'!C160</f>
        <v>2.0906342223155979E-3</v>
      </c>
      <c r="C210" s="1">
        <f>IF('01 Traffic inputs'!$B$16&lt;=2/3,(4*A210*(1-A210))^$B$16,1-ABS(2*A210-1)^$B$17)</f>
        <v>1.0560470507898658E-2</v>
      </c>
      <c r="D210" s="1">
        <f>IF('01 Traffic inputs'!$B$16&lt;=2/3,4*$B$16*(1-2*A210)*(4*A210*(1-A210))^($B$16-1),-2*$B$17*SIGN(2*A210-1)*ABS(2*A210-1)^($B$17-1))</f>
        <v>0.47066319919376892</v>
      </c>
      <c r="E210" s="1">
        <f t="shared" si="51"/>
        <v>10.073300091020728</v>
      </c>
      <c r="F210" s="1">
        <f t="shared" si="52"/>
        <v>1.6814663703208138E-2</v>
      </c>
      <c r="G210" s="1">
        <f t="shared" si="53"/>
        <v>0.16937915341200949</v>
      </c>
      <c r="H210" s="1">
        <f>'01 Traffic inputs'!$B$8/F210</f>
        <v>61.850776105715077</v>
      </c>
      <c r="I210" s="1">
        <f>MATCH(H210,'02 Emission rates'!$A$7:$A$15,1)</f>
        <v>5</v>
      </c>
      <c r="J210" s="1">
        <f>INDEX('02 Emission rates'!$D$7:$D$15,I210)</f>
        <v>15845.527995946721</v>
      </c>
      <c r="K210" s="1">
        <f>INDEX('02 Emission rates'!$E$7:$E$15,I210)</f>
        <v>20.885654518874212</v>
      </c>
      <c r="L210" s="1">
        <f>INDEX('02 Emission rates'!$F$7:$F$15,I210)</f>
        <v>98.655405882152721</v>
      </c>
      <c r="M210" s="1">
        <f>INDEX('02 Emission rates'!$G$7:$G$15,I210)</f>
        <v>4.4998305826136002</v>
      </c>
      <c r="N210" s="1">
        <f t="shared" si="54"/>
        <v>2683.9021173197507</v>
      </c>
      <c r="O210" s="1">
        <f t="shared" si="55"/>
        <v>3.5375944808626243</v>
      </c>
      <c r="P210" s="1">
        <f t="shared" si="56"/>
        <v>16.710169127837208</v>
      </c>
      <c r="Q210" s="1">
        <f t="shared" si="57"/>
        <v>0.76217749458056105</v>
      </c>
      <c r="R210" s="1">
        <f t="shared" si="58"/>
        <v>343.01727067918739</v>
      </c>
      <c r="S210" s="1">
        <f t="shared" si="59"/>
        <v>5.6120525077953056</v>
      </c>
      <c r="T210" s="1">
        <f t="shared" si="60"/>
        <v>94929.059937312923</v>
      </c>
      <c r="U210" s="1">
        <f t="shared" si="61"/>
        <v>129.11507799937834</v>
      </c>
      <c r="V210" s="1">
        <f t="shared" si="62"/>
        <v>599.57194318561403</v>
      </c>
      <c r="W210" s="1">
        <f t="shared" si="63"/>
        <v>26.474522014516079</v>
      </c>
      <c r="X210" s="1"/>
      <c r="Y210" s="1"/>
      <c r="Z210" s="1"/>
      <c r="AA210" s="1"/>
      <c r="AB210" s="1"/>
      <c r="AC210" s="1"/>
      <c r="AD210" s="1"/>
      <c r="AE210" s="1"/>
    </row>
    <row r="211" spans="1:31" ht="22.05" customHeight="1">
      <c r="A211" s="1">
        <f>'01 Traffic inputs'!B161</f>
        <v>7.2537067425743673E-2</v>
      </c>
      <c r="B211" s="1">
        <f>'01 Traffic inputs'!C161</f>
        <v>2.1192414593682791E-3</v>
      </c>
      <c r="C211" s="1">
        <f>IF('01 Traffic inputs'!$B$16&lt;=2/3,(4*A211*(1-A211))^$B$16,1-ABS(2*A211-1)^$B$17)</f>
        <v>1.1581813753399495E-2</v>
      </c>
      <c r="D211" s="1">
        <f>IF('01 Traffic inputs'!$B$16&lt;=2/3,4*$B$16*(1-2*A211)*(4*A211*(1-A211))^($B$16-1),-2*$B$17*SIGN(2*A211-1)*ABS(2*A211-1)^($B$17-1))</f>
        <v>0.49987971309927376</v>
      </c>
      <c r="E211" s="1">
        <f t="shared" si="51"/>
        <v>10.214959723782789</v>
      </c>
      <c r="F211" s="1">
        <f t="shared" si="52"/>
        <v>1.6873227269258807E-2</v>
      </c>
      <c r="G211" s="1">
        <f t="shared" si="53"/>
        <v>0.17235933696571215</v>
      </c>
      <c r="H211" s="1">
        <f>'01 Traffic inputs'!$B$8/F211</f>
        <v>61.636104546211371</v>
      </c>
      <c r="I211" s="1">
        <f>MATCH(H211,'02 Emission rates'!$A$7:$A$15,1)</f>
        <v>5</v>
      </c>
      <c r="J211" s="1">
        <f>INDEX('02 Emission rates'!$D$7:$D$15,I211)</f>
        <v>15845.527995946721</v>
      </c>
      <c r="K211" s="1">
        <f>INDEX('02 Emission rates'!$E$7:$E$15,I211)</f>
        <v>20.885654518874212</v>
      </c>
      <c r="L211" s="1">
        <f>INDEX('02 Emission rates'!$F$7:$F$15,I211)</f>
        <v>98.655405882152721</v>
      </c>
      <c r="M211" s="1">
        <f>INDEX('02 Emission rates'!$G$7:$G$15,I211)</f>
        <v>4.4998305826136002</v>
      </c>
      <c r="N211" s="1">
        <f t="shared" si="54"/>
        <v>2731.1246992530064</v>
      </c>
      <c r="O211" s="1">
        <f t="shared" si="55"/>
        <v>3.5998375649680892</v>
      </c>
      <c r="P211" s="1">
        <f t="shared" si="56"/>
        <v>17.004180345931061</v>
      </c>
      <c r="Q211" s="1">
        <f t="shared" si="57"/>
        <v>0.77558781567731438</v>
      </c>
      <c r="R211" s="1">
        <f t="shared" si="58"/>
        <v>353.23223040297017</v>
      </c>
      <c r="S211" s="1">
        <f t="shared" si="59"/>
        <v>5.784411844761018</v>
      </c>
      <c r="T211" s="1">
        <f t="shared" si="60"/>
        <v>97660.184636565929</v>
      </c>
      <c r="U211" s="1">
        <f t="shared" si="61"/>
        <v>132.71491556434643</v>
      </c>
      <c r="V211" s="1">
        <f t="shared" si="62"/>
        <v>616.57612353154514</v>
      </c>
      <c r="W211" s="1">
        <f t="shared" si="63"/>
        <v>27.250109830193395</v>
      </c>
      <c r="X211" s="1"/>
      <c r="Y211" s="1"/>
      <c r="Z211" s="1"/>
      <c r="AA211" s="1"/>
      <c r="AB211" s="1"/>
      <c r="AC211" s="1"/>
      <c r="AD211" s="1"/>
      <c r="AE211" s="1"/>
    </row>
    <row r="212" spans="1:31" ht="22.05" customHeight="1">
      <c r="A212" s="1">
        <f>'01 Traffic inputs'!B162</f>
        <v>7.4670553634316683E-2</v>
      </c>
      <c r="B212" s="1">
        <f>'01 Traffic inputs'!C162</f>
        <v>2.1477072196684779E-3</v>
      </c>
      <c r="C212" s="1">
        <f>IF('01 Traffic inputs'!$B$16&lt;=2/3,(4*A212*(1-A212))^$B$16,1-ABS(2*A212-1)^$B$17)</f>
        <v>1.2680546453257023E-2</v>
      </c>
      <c r="D212" s="1">
        <f>IF('01 Traffic inputs'!$B$16&lt;=2/3,4*$B$16*(1-2*A212)*(4*A212*(1-A212))^($B$16-1),-2*$B$17*SIGN(2*A212-1)*ABS(2*A212-1)^($B$17-1))</f>
        <v>0.53023048740222312</v>
      </c>
      <c r="E212" s="1">
        <f t="shared" si="51"/>
        <v>10.356190688473603</v>
      </c>
      <c r="F212" s="1">
        <f t="shared" si="52"/>
        <v>1.6936228327251394E-2</v>
      </c>
      <c r="G212" s="1">
        <f t="shared" si="53"/>
        <v>0.17539481010054375</v>
      </c>
      <c r="H212" s="1">
        <f>'01 Traffic inputs'!$B$8/F212</f>
        <v>61.406824465551097</v>
      </c>
      <c r="I212" s="1">
        <f>MATCH(H212,'02 Emission rates'!$A$7:$A$15,1)</f>
        <v>5</v>
      </c>
      <c r="J212" s="1">
        <f>INDEX('02 Emission rates'!$D$7:$D$15,I212)</f>
        <v>15845.527995946721</v>
      </c>
      <c r="K212" s="1">
        <f>INDEX('02 Emission rates'!$E$7:$E$15,I212)</f>
        <v>20.885654518874212</v>
      </c>
      <c r="L212" s="1">
        <f>INDEX('02 Emission rates'!$F$7:$F$15,I212)</f>
        <v>98.655405882152721</v>
      </c>
      <c r="M212" s="1">
        <f>INDEX('02 Emission rates'!$G$7:$G$15,I212)</f>
        <v>4.4998305826136002</v>
      </c>
      <c r="N212" s="1">
        <f t="shared" si="54"/>
        <v>2779.2233737919246</v>
      </c>
      <c r="O212" s="1">
        <f t="shared" si="55"/>
        <v>3.6632354081635059</v>
      </c>
      <c r="P212" s="1">
        <f t="shared" si="56"/>
        <v>17.303646180092244</v>
      </c>
      <c r="Q212" s="1">
        <f t="shared" si="57"/>
        <v>0.78924693052213157</v>
      </c>
      <c r="R212" s="1">
        <f t="shared" si="58"/>
        <v>363.58842109144376</v>
      </c>
      <c r="S212" s="1">
        <f t="shared" si="59"/>
        <v>5.9598066548615618</v>
      </c>
      <c r="T212" s="1">
        <f t="shared" si="60"/>
        <v>100439.40801035786</v>
      </c>
      <c r="U212" s="1">
        <f t="shared" si="61"/>
        <v>136.37815097250993</v>
      </c>
      <c r="V212" s="1">
        <f t="shared" si="62"/>
        <v>633.87976971163744</v>
      </c>
      <c r="W212" s="1">
        <f t="shared" si="63"/>
        <v>28.039356760715528</v>
      </c>
      <c r="X212" s="1"/>
      <c r="Y212" s="1"/>
      <c r="Z212" s="1"/>
      <c r="AA212" s="1"/>
      <c r="AB212" s="1"/>
      <c r="AC212" s="1"/>
      <c r="AD212" s="1"/>
      <c r="AE212" s="1"/>
    </row>
    <row r="213" spans="1:31" ht="22.05" customHeight="1">
      <c r="A213" s="1">
        <f>'01 Traffic inputs'!B163</f>
        <v>7.6832434072615863E-2</v>
      </c>
      <c r="B213" s="1">
        <f>'01 Traffic inputs'!C163</f>
        <v>2.1760296028937275E-3</v>
      </c>
      <c r="C213" s="1">
        <f>IF('01 Traffic inputs'!$B$16&lt;=2/3,(4*A213*(1-A213))^$B$16,1-ABS(2*A213-1)^$B$17)</f>
        <v>1.3860749694161371E-2</v>
      </c>
      <c r="D213" s="1">
        <f>IF('01 Traffic inputs'!$B$16&lt;=2/3,4*$B$16*(1-2*A213)*(4*A213*(1-A213))^($B$16-1),-2*$B$17*SIGN(2*A213-1)*ABS(2*A213-1)^($B$17-1))</f>
        <v>0.56172143127866581</v>
      </c>
      <c r="E213" s="1">
        <f t="shared" si="51"/>
        <v>10.496989794890828</v>
      </c>
      <c r="F213" s="1">
        <f t="shared" si="52"/>
        <v>1.7003900885675195E-2</v>
      </c>
      <c r="G213" s="1">
        <f t="shared" si="53"/>
        <v>0.17848977407026764</v>
      </c>
      <c r="H213" s="1">
        <f>'01 Traffic inputs'!$B$8/F213</f>
        <v>61.162436019381907</v>
      </c>
      <c r="I213" s="1">
        <f>MATCH(H213,'02 Emission rates'!$A$7:$A$15,1)</f>
        <v>5</v>
      </c>
      <c r="J213" s="1">
        <f>INDEX('02 Emission rates'!$D$7:$D$15,I213)</f>
        <v>15845.527995946721</v>
      </c>
      <c r="K213" s="1">
        <f>INDEX('02 Emission rates'!$E$7:$E$15,I213)</f>
        <v>20.885654518874212</v>
      </c>
      <c r="L213" s="1">
        <f>INDEX('02 Emission rates'!$F$7:$F$15,I213)</f>
        <v>98.655405882152721</v>
      </c>
      <c r="M213" s="1">
        <f>INDEX('02 Emission rates'!$G$7:$G$15,I213)</f>
        <v>4.4998305826136002</v>
      </c>
      <c r="N213" s="1">
        <f t="shared" si="54"/>
        <v>2828.2647120206311</v>
      </c>
      <c r="O213" s="1">
        <f t="shared" si="55"/>
        <v>3.7278757563835225</v>
      </c>
      <c r="P213" s="1">
        <f t="shared" si="56"/>
        <v>17.608981106715994</v>
      </c>
      <c r="Q213" s="1">
        <f t="shared" si="57"/>
        <v>0.80317374404518238</v>
      </c>
      <c r="R213" s="1">
        <f t="shared" si="58"/>
        <v>374.08541088633461</v>
      </c>
      <c r="S213" s="1">
        <f t="shared" si="59"/>
        <v>6.1382964289318291</v>
      </c>
      <c r="T213" s="1">
        <f t="shared" si="60"/>
        <v>103267.67272237848</v>
      </c>
      <c r="U213" s="1">
        <f t="shared" si="61"/>
        <v>140.10602672889345</v>
      </c>
      <c r="V213" s="1">
        <f t="shared" si="62"/>
        <v>651.48875081835342</v>
      </c>
      <c r="W213" s="1">
        <f t="shared" si="63"/>
        <v>28.84253050476071</v>
      </c>
      <c r="X213" s="1"/>
      <c r="Y213" s="1"/>
      <c r="Z213" s="1"/>
      <c r="AA213" s="1"/>
      <c r="AB213" s="1"/>
      <c r="AC213" s="1"/>
      <c r="AD213" s="1"/>
      <c r="AE213" s="1"/>
    </row>
    <row r="214" spans="1:31" ht="22.05" customHeight="1">
      <c r="A214" s="1">
        <f>'01 Traffic inputs'!B164</f>
        <v>7.9022564417387309E-2</v>
      </c>
      <c r="B214" s="1">
        <f>'01 Traffic inputs'!C164</f>
        <v>2.2042067182921105E-3</v>
      </c>
      <c r="C214" s="1">
        <f>IF('01 Traffic inputs'!$B$16&lt;=2/3,(4*A214*(1-A214))^$B$16,1-ABS(2*A214-1)^$B$17)</f>
        <v>1.5126597927179986E-2</v>
      </c>
      <c r="D214" s="1">
        <f>IF('01 Traffic inputs'!$B$16&lt;=2/3,4*$B$16*(1-2*A214)*(4*A214*(1-A214))^($B$16-1),-2*$B$17*SIGN(2*A214-1)*ABS(2*A214-1)^($B$17-1))</f>
        <v>0.59435647971777472</v>
      </c>
      <c r="E214" s="1">
        <f t="shared" si="51"/>
        <v>10.637353596827483</v>
      </c>
      <c r="F214" s="1">
        <f t="shared" si="52"/>
        <v>1.7076484306509543E-2</v>
      </c>
      <c r="G214" s="1">
        <f t="shared" si="53"/>
        <v>0.18164860175901734</v>
      </c>
      <c r="H214" s="1">
        <f>'01 Traffic inputs'!$B$8/F214</f>
        <v>60.90246571441952</v>
      </c>
      <c r="I214" s="1">
        <f>MATCH(H214,'02 Emission rates'!$A$7:$A$15,1)</f>
        <v>5</v>
      </c>
      <c r="J214" s="1">
        <f>INDEX('02 Emission rates'!$D$7:$D$15,I214)</f>
        <v>15845.527995946721</v>
      </c>
      <c r="K214" s="1">
        <f>INDEX('02 Emission rates'!$E$7:$E$15,I214)</f>
        <v>20.885654518874212</v>
      </c>
      <c r="L214" s="1">
        <f>INDEX('02 Emission rates'!$F$7:$F$15,I214)</f>
        <v>98.655405882152721</v>
      </c>
      <c r="M214" s="1">
        <f>INDEX('02 Emission rates'!$G$7:$G$15,I214)</f>
        <v>4.4998305826136002</v>
      </c>
      <c r="N214" s="1">
        <f t="shared" si="54"/>
        <v>2878.3180045970862</v>
      </c>
      <c r="O214" s="1">
        <f t="shared" si="55"/>
        <v>3.7938499401754027</v>
      </c>
      <c r="P214" s="1">
        <f t="shared" si="56"/>
        <v>17.920616534461377</v>
      </c>
      <c r="Q214" s="1">
        <f t="shared" si="57"/>
        <v>0.81738793348422489</v>
      </c>
      <c r="R214" s="1">
        <f t="shared" si="58"/>
        <v>384.72276448316211</v>
      </c>
      <c r="S214" s="1">
        <f t="shared" si="59"/>
        <v>6.3199450306908469</v>
      </c>
      <c r="T214" s="1">
        <f t="shared" si="60"/>
        <v>106145.99072697556</v>
      </c>
      <c r="U214" s="1">
        <f t="shared" si="61"/>
        <v>143.89987666906885</v>
      </c>
      <c r="V214" s="1">
        <f t="shared" si="62"/>
        <v>669.4093673528148</v>
      </c>
      <c r="W214" s="1">
        <f t="shared" si="63"/>
        <v>29.659918438244933</v>
      </c>
      <c r="X214" s="1"/>
      <c r="Y214" s="1"/>
      <c r="Z214" s="1"/>
      <c r="AA214" s="1"/>
      <c r="AB214" s="1"/>
      <c r="AC214" s="1"/>
      <c r="AD214" s="1"/>
      <c r="AE214" s="1"/>
    </row>
    <row r="215" spans="1:31" ht="22.05" customHeight="1">
      <c r="A215" s="1">
        <f>'01 Traffic inputs'!B165</f>
        <v>8.1240798459464247E-2</v>
      </c>
      <c r="B215" s="1">
        <f>'01 Traffic inputs'!C165</f>
        <v>2.2322366848104408E-3</v>
      </c>
      <c r="C215" s="1">
        <f>IF('01 Traffic inputs'!$B$16&lt;=2/3,(4*A215*(1-A215))^$B$16,1-ABS(2*A215-1)^$B$17)</f>
        <v>1.648235385154101E-2</v>
      </c>
      <c r="D215" s="1">
        <f>IF('01 Traffic inputs'!$B$16&lt;=2/3,4*$B$16*(1-2*A215)*(4*A215*(1-A215))^($B$16-1),-2*$B$17*SIGN(2*A215-1)*ABS(2*A215-1)^($B$17-1))</f>
        <v>0.6281375281324848</v>
      </c>
      <c r="E215" s="1">
        <f t="shared" si="51"/>
        <v>10.777278364838349</v>
      </c>
      <c r="F215" s="1">
        <f t="shared" si="52"/>
        <v>1.7154223011861206E-2</v>
      </c>
      <c r="G215" s="1">
        <f t="shared" si="53"/>
        <v>0.1848758365313439</v>
      </c>
      <c r="H215" s="1">
        <f>'01 Traffic inputs'!$B$8/F215</f>
        <v>60.626470769379495</v>
      </c>
      <c r="I215" s="1">
        <f>MATCH(H215,'02 Emission rates'!$A$7:$A$15,1)</f>
        <v>5</v>
      </c>
      <c r="J215" s="1">
        <f>INDEX('02 Emission rates'!$D$7:$D$15,I215)</f>
        <v>15845.527995946721</v>
      </c>
      <c r="K215" s="1">
        <f>INDEX('02 Emission rates'!$E$7:$E$15,I215)</f>
        <v>20.885654518874212</v>
      </c>
      <c r="L215" s="1">
        <f>INDEX('02 Emission rates'!$F$7:$F$15,I215)</f>
        <v>98.655405882152721</v>
      </c>
      <c r="M215" s="1">
        <f>INDEX('02 Emission rates'!$G$7:$G$15,I215)</f>
        <v>4.4998305826136002</v>
      </c>
      <c r="N215" s="1">
        <f t="shared" si="54"/>
        <v>2929.4552435314795</v>
      </c>
      <c r="O215" s="1">
        <f t="shared" si="55"/>
        <v>3.8612528506815127</v>
      </c>
      <c r="P215" s="1">
        <f t="shared" si="56"/>
        <v>18.23900069080225</v>
      </c>
      <c r="Q215" s="1">
        <f t="shared" si="57"/>
        <v>0.83190994321001399</v>
      </c>
      <c r="R215" s="1">
        <f t="shared" si="58"/>
        <v>395.50004284800048</v>
      </c>
      <c r="S215" s="1">
        <f t="shared" si="59"/>
        <v>6.5048208672221906</v>
      </c>
      <c r="T215" s="1">
        <f t="shared" si="60"/>
        <v>109075.44597050705</v>
      </c>
      <c r="U215" s="1">
        <f t="shared" si="61"/>
        <v>147.76112951975037</v>
      </c>
      <c r="V215" s="1">
        <f t="shared" si="62"/>
        <v>687.6483680436171</v>
      </c>
      <c r="W215" s="1">
        <f t="shared" si="63"/>
        <v>30.491828381454948</v>
      </c>
      <c r="X215" s="1"/>
      <c r="Y215" s="1"/>
      <c r="Z215" s="1"/>
      <c r="AA215" s="1"/>
      <c r="AB215" s="1"/>
      <c r="AC215" s="1"/>
      <c r="AD215" s="1"/>
      <c r="AE215" s="1"/>
    </row>
    <row r="216" spans="1:31" ht="22.05" customHeight="1">
      <c r="A216" s="1">
        <f>'01 Traffic inputs'!B166</f>
        <v>8.3486988113527394E-2</v>
      </c>
      <c r="B216" s="1">
        <f>'01 Traffic inputs'!C166</f>
        <v>2.2601176312181479E-3</v>
      </c>
      <c r="C216" s="1">
        <f>IF('01 Traffic inputs'!$B$16&lt;=2/3,(4*A216*(1-A216))^$B$16,1-ABS(2*A216-1)^$B$17)</f>
        <v>1.79323628476021E-2</v>
      </c>
      <c r="D216" s="1">
        <f>IF('01 Traffic inputs'!$B$16&lt;=2/3,4*$B$16*(1-2*A216)*(4*A216*(1-A216))^($B$16-1),-2*$B$17*SIGN(2*A216-1)*ABS(2*A216-1)^($B$17-1))</f>
        <v>0.66306437031957899</v>
      </c>
      <c r="E216" s="1">
        <f t="shared" si="51"/>
        <v>10.916760059048183</v>
      </c>
      <c r="F216" s="1">
        <f t="shared" si="52"/>
        <v>1.7237366164752226E-2</v>
      </c>
      <c r="G216" s="1">
        <f t="shared" si="53"/>
        <v>0.18817619047055567</v>
      </c>
      <c r="H216" s="1">
        <f>'01 Traffic inputs'!$B$8/F216</f>
        <v>60.334043499444896</v>
      </c>
      <c r="I216" s="1">
        <f>MATCH(H216,'02 Emission rates'!$A$7:$A$15,1)</f>
        <v>5</v>
      </c>
      <c r="J216" s="1">
        <f>INDEX('02 Emission rates'!$D$7:$D$15,I216)</f>
        <v>15845.527995946721</v>
      </c>
      <c r="K216" s="1">
        <f>INDEX('02 Emission rates'!$E$7:$E$15,I216)</f>
        <v>20.885654518874212</v>
      </c>
      <c r="L216" s="1">
        <f>INDEX('02 Emission rates'!$F$7:$F$15,I216)</f>
        <v>98.655405882152721</v>
      </c>
      <c r="M216" s="1">
        <f>INDEX('02 Emission rates'!$G$7:$G$15,I216)</f>
        <v>4.4998305826136002</v>
      </c>
      <c r="N216" s="1">
        <f t="shared" si="54"/>
        <v>2981.7510942717922</v>
      </c>
      <c r="O216" s="1">
        <f t="shared" si="55"/>
        <v>3.9301829028458952</v>
      </c>
      <c r="P216" s="1">
        <f t="shared" si="56"/>
        <v>18.564598448229948</v>
      </c>
      <c r="Q216" s="1">
        <f t="shared" si="57"/>
        <v>0.84676097679912832</v>
      </c>
      <c r="R216" s="1">
        <f t="shared" si="58"/>
        <v>406.41680290704863</v>
      </c>
      <c r="S216" s="1">
        <f t="shared" si="59"/>
        <v>6.6929970576927467</v>
      </c>
      <c r="T216" s="1">
        <f t="shared" si="60"/>
        <v>112057.19706477884</v>
      </c>
      <c r="U216" s="1">
        <f t="shared" si="61"/>
        <v>151.69131242259627</v>
      </c>
      <c r="V216" s="1">
        <f t="shared" si="62"/>
        <v>706.21296649184706</v>
      </c>
      <c r="W216" s="1">
        <f t="shared" si="63"/>
        <v>31.338589358254076</v>
      </c>
      <c r="X216" s="1"/>
      <c r="Y216" s="1"/>
      <c r="Z216" s="1"/>
      <c r="AA216" s="1"/>
      <c r="AB216" s="1"/>
      <c r="AC216" s="1"/>
      <c r="AD216" s="1"/>
      <c r="AE216" s="1"/>
    </row>
    <row r="217" spans="1:31" ht="22.05" customHeight="1">
      <c r="A217" s="1">
        <f>'01 Traffic inputs'!B167</f>
        <v>8.57609834279911E-2</v>
      </c>
      <c r="B217" s="1">
        <f>'01 Traffic inputs'!C167</f>
        <v>2.2878476962335504E-3</v>
      </c>
      <c r="C217" s="1">
        <f>IF('01 Traffic inputs'!$B$16&lt;=2/3,(4*A217*(1-A217))^$B$16,1-ABS(2*A217-1)^$B$17)</f>
        <v>1.9481046960732277E-2</v>
      </c>
      <c r="D217" s="1">
        <f>IF('01 Traffic inputs'!$B$16&lt;=2/3,4*$B$16*(1-2*A217)*(4*A217*(1-A217))^($B$16-1),-2*$B$17*SIGN(2*A217-1)*ABS(2*A217-1)^($B$17-1))</f>
        <v>0.69913463996287462</v>
      </c>
      <c r="E217" s="1">
        <f t="shared" si="51"/>
        <v>11.055794302122388</v>
      </c>
      <c r="F217" s="1">
        <f t="shared" si="52"/>
        <v>1.7326167324157205E-2</v>
      </c>
      <c r="G217" s="1">
        <f t="shared" si="53"/>
        <v>0.19155454198003632</v>
      </c>
      <c r="H217" s="1">
        <f>'01 Traffic inputs'!$B$8/F217</f>
        <v>60.024815675766256</v>
      </c>
      <c r="I217" s="1">
        <f>MATCH(H217,'02 Emission rates'!$A$7:$A$15,1)</f>
        <v>5</v>
      </c>
      <c r="J217" s="1">
        <f>INDEX('02 Emission rates'!$D$7:$D$15,I217)</f>
        <v>15845.527995946721</v>
      </c>
      <c r="K217" s="1">
        <f>INDEX('02 Emission rates'!$E$7:$E$15,I217)</f>
        <v>20.885654518874212</v>
      </c>
      <c r="L217" s="1">
        <f>INDEX('02 Emission rates'!$F$7:$F$15,I217)</f>
        <v>98.655405882152721</v>
      </c>
      <c r="M217" s="1">
        <f>INDEX('02 Emission rates'!$G$7:$G$15,I217)</f>
        <v>4.4998305826136002</v>
      </c>
      <c r="N217" s="1">
        <f t="shared" si="54"/>
        <v>3035.2828576954171</v>
      </c>
      <c r="O217" s="1">
        <f t="shared" si="55"/>
        <v>4.0007419853162256</v>
      </c>
      <c r="P217" s="1">
        <f t="shared" si="56"/>
        <v>18.897891087610347</v>
      </c>
      <c r="Q217" s="1">
        <f t="shared" si="57"/>
        <v>0.8619629862403082</v>
      </c>
      <c r="R217" s="1">
        <f t="shared" si="58"/>
        <v>417.472597209171</v>
      </c>
      <c r="S217" s="1">
        <f t="shared" si="59"/>
        <v>6.8845515996727826</v>
      </c>
      <c r="T217" s="1">
        <f t="shared" si="60"/>
        <v>115092.47992247426</v>
      </c>
      <c r="U217" s="1">
        <f t="shared" si="61"/>
        <v>155.69205440791251</v>
      </c>
      <c r="V217" s="1">
        <f t="shared" si="62"/>
        <v>725.11085757945739</v>
      </c>
      <c r="W217" s="1">
        <f t="shared" si="63"/>
        <v>32.200552344494383</v>
      </c>
      <c r="X217" s="1"/>
      <c r="Y217" s="1"/>
      <c r="Z217" s="1"/>
      <c r="AA217" s="1"/>
      <c r="AB217" s="1"/>
      <c r="AC217" s="1"/>
      <c r="AD217" s="1"/>
      <c r="AE217" s="1"/>
    </row>
    <row r="218" spans="1:31" ht="22.05" customHeight="1">
      <c r="A218" s="1">
        <f>'01 Traffic inputs'!B168</f>
        <v>8.8062632595013679E-2</v>
      </c>
      <c r="B218" s="1">
        <f>'01 Traffic inputs'!C168</f>
        <v>2.3154250286469796E-3</v>
      </c>
      <c r="C218" s="1">
        <f>IF('01 Traffic inputs'!$B$16&lt;=2/3,(4*A218*(1-A218))^$B$16,1-ABS(2*A218-1)^$B$17)</f>
        <v>2.1132898439277396E-2</v>
      </c>
      <c r="D218" s="1">
        <f>IF('01 Traffic inputs'!$B$16&lt;=2/3,4*$B$16*(1-2*A218)*(4*A218*(1-A218))^($B$16-1),-2*$B$17*SIGN(2*A218-1)*ABS(2*A218-1)^($B$17-1))</f>
        <v>0.73634375586642142</v>
      </c>
      <c r="E218" s="1">
        <f t="shared" si="51"/>
        <v>11.194376352463099</v>
      </c>
      <c r="F218" s="1">
        <f t="shared" si="52"/>
        <v>1.7420884074471864E-2</v>
      </c>
      <c r="G218" s="1">
        <f t="shared" si="53"/>
        <v>0.19501593272226883</v>
      </c>
      <c r="H218" s="1">
        <f>'01 Traffic inputs'!$B$8/F218</f>
        <v>59.698462807866967</v>
      </c>
      <c r="I218" s="1">
        <f>MATCH(H218,'02 Emission rates'!$A$7:$A$15,1)</f>
        <v>5</v>
      </c>
      <c r="J218" s="1">
        <f>INDEX('02 Emission rates'!$D$7:$D$15,I218)</f>
        <v>15845.527995946721</v>
      </c>
      <c r="K218" s="1">
        <f>INDEX('02 Emission rates'!$E$7:$E$15,I218)</f>
        <v>20.885654518874212</v>
      </c>
      <c r="L218" s="1">
        <f>INDEX('02 Emission rates'!$F$7:$F$15,I218)</f>
        <v>98.655405882152721</v>
      </c>
      <c r="M218" s="1">
        <f>INDEX('02 Emission rates'!$G$7:$G$15,I218)</f>
        <v>4.4998305826136002</v>
      </c>
      <c r="N218" s="1">
        <f t="shared" si="54"/>
        <v>3090.1304216063731</v>
      </c>
      <c r="O218" s="1">
        <f t="shared" si="55"/>
        <v>4.0730353965133235</v>
      </c>
      <c r="P218" s="1">
        <f t="shared" si="56"/>
        <v>19.239375996202021</v>
      </c>
      <c r="Q218" s="1">
        <f t="shared" si="57"/>
        <v>0.87753865816058163</v>
      </c>
      <c r="R218" s="1">
        <f t="shared" si="58"/>
        <v>428.66697356163411</v>
      </c>
      <c r="S218" s="1">
        <f t="shared" si="59"/>
        <v>7.0795675323950515</v>
      </c>
      <c r="T218" s="1">
        <f t="shared" si="60"/>
        <v>118182.61034408063</v>
      </c>
      <c r="U218" s="1">
        <f t="shared" si="61"/>
        <v>159.76508980442583</v>
      </c>
      <c r="V218" s="1">
        <f t="shared" si="62"/>
        <v>744.35023357565944</v>
      </c>
      <c r="W218" s="1">
        <f t="shared" si="63"/>
        <v>33.078091002654965</v>
      </c>
      <c r="X218" s="1"/>
      <c r="Y218" s="1"/>
      <c r="Z218" s="1"/>
      <c r="AA218" s="1"/>
      <c r="AB218" s="1"/>
      <c r="AC218" s="1"/>
      <c r="AD218" s="1"/>
      <c r="AE218" s="1"/>
    </row>
    <row r="219" spans="1:31" ht="22.05" customHeight="1">
      <c r="A219" s="1">
        <f>'01 Traffic inputs'!B169</f>
        <v>9.0391781960632023E-2</v>
      </c>
      <c r="B219" s="1">
        <f>'01 Traffic inputs'!C169</f>
        <v>2.3428477874455917E-3</v>
      </c>
      <c r="C219" s="1">
        <f>IF('01 Traffic inputs'!$B$16&lt;=2/3,(4*A219*(1-A219))^$B$16,1-ABS(2*A219-1)^$B$17)</f>
        <v>2.2892472831239321E-2</v>
      </c>
      <c r="D219" s="1">
        <f>IF('01 Traffic inputs'!$B$16&lt;=2/3,4*$B$16*(1-2*A219)*(4*A219*(1-A219))^($B$16-1),-2*$B$17*SIGN(2*A219-1)*ABS(2*A219-1)^($B$17-1))</f>
        <v>0.77468487109743489</v>
      </c>
      <c r="E219" s="1">
        <f t="shared" si="51"/>
        <v>11.332501077744537</v>
      </c>
      <c r="F219" s="1">
        <f t="shared" si="52"/>
        <v>1.7521777629678364E-2</v>
      </c>
      <c r="G219" s="1">
        <f t="shared" si="53"/>
        <v>0.19856556387233018</v>
      </c>
      <c r="H219" s="1">
        <f>'01 Traffic inputs'!$B$8/F219</f>
        <v>59.354708293893069</v>
      </c>
      <c r="I219" s="1">
        <f>MATCH(H219,'02 Emission rates'!$A$7:$A$15,1)</f>
        <v>5</v>
      </c>
      <c r="J219" s="1">
        <f>INDEX('02 Emission rates'!$D$7:$D$15,I219)</f>
        <v>15845.527995946721</v>
      </c>
      <c r="K219" s="1">
        <f>INDEX('02 Emission rates'!$E$7:$E$15,I219)</f>
        <v>20.885654518874212</v>
      </c>
      <c r="L219" s="1">
        <f>INDEX('02 Emission rates'!$F$7:$F$15,I219)</f>
        <v>98.655405882152721</v>
      </c>
      <c r="M219" s="1">
        <f>INDEX('02 Emission rates'!$G$7:$G$15,I219)</f>
        <v>4.4998305826136002</v>
      </c>
      <c r="N219" s="1">
        <f t="shared" si="54"/>
        <v>3146.3762013699547</v>
      </c>
      <c r="O219" s="1">
        <f t="shared" si="55"/>
        <v>4.1471717663829386</v>
      </c>
      <c r="P219" s="1">
        <f t="shared" si="56"/>
        <v>19.589566298043255</v>
      </c>
      <c r="Q219" s="1">
        <f t="shared" si="57"/>
        <v>0.89351139696662552</v>
      </c>
      <c r="R219" s="1">
        <f t="shared" si="58"/>
        <v>439.99947463937866</v>
      </c>
      <c r="S219" s="1">
        <f t="shared" si="59"/>
        <v>7.278133096267382</v>
      </c>
      <c r="T219" s="1">
        <f t="shared" si="60"/>
        <v>121328.98654545059</v>
      </c>
      <c r="U219" s="1">
        <f t="shared" si="61"/>
        <v>163.91226157080877</v>
      </c>
      <c r="V219" s="1">
        <f t="shared" si="62"/>
        <v>763.93979987370267</v>
      </c>
      <c r="W219" s="1">
        <f t="shared" si="63"/>
        <v>33.971602399621588</v>
      </c>
      <c r="X219" s="1"/>
      <c r="Y219" s="1"/>
      <c r="Z219" s="1"/>
      <c r="AA219" s="1"/>
      <c r="AB219" s="1"/>
      <c r="AC219" s="1"/>
      <c r="AD219" s="1"/>
      <c r="AE219" s="1"/>
    </row>
    <row r="220" spans="1:31" ht="22.05" customHeight="1">
      <c r="A220" s="1">
        <f>'01 Traffic inputs'!B170</f>
        <v>9.2748276035019006E-2</v>
      </c>
      <c r="B220" s="1">
        <f>'01 Traffic inputs'!C170</f>
        <v>2.3701141419349395E-3</v>
      </c>
      <c r="C220" s="1">
        <f>IF('01 Traffic inputs'!$B$16&lt;=2/3,(4*A220*(1-A220))^$B$16,1-ABS(2*A220-1)^$B$17)</f>
        <v>2.4764381645769284E-2</v>
      </c>
      <c r="D220" s="1">
        <f>IF('01 Traffic inputs'!$B$16&lt;=2/3,4*$B$16*(1-2*A220)*(4*A220*(1-A220))^($B$16-1),-2*$B$17*SIGN(2*A220-1)*ABS(2*A220-1)^($B$17-1))</f>
        <v>0.81414882621101636</v>
      </c>
      <c r="E220" s="1">
        <f t="shared" si="51"/>
        <v>11.470162928854778</v>
      </c>
      <c r="F220" s="1">
        <f t="shared" si="52"/>
        <v>1.7629112412557154E-2</v>
      </c>
      <c r="G220" s="1">
        <f t="shared" si="53"/>
        <v>0.20220879166312669</v>
      </c>
      <c r="H220" s="1">
        <f>'01 Traffic inputs'!$B$8/F220</f>
        <v>58.993327381543736</v>
      </c>
      <c r="I220" s="1">
        <f>MATCH(H220,'02 Emission rates'!$A$7:$A$15,1)</f>
        <v>5</v>
      </c>
      <c r="J220" s="1">
        <f>INDEX('02 Emission rates'!$D$7:$D$15,I220)</f>
        <v>15845.527995946721</v>
      </c>
      <c r="K220" s="1">
        <f>INDEX('02 Emission rates'!$E$7:$E$15,I220)</f>
        <v>20.885654518874212</v>
      </c>
      <c r="L220" s="1">
        <f>INDEX('02 Emission rates'!$F$7:$F$15,I220)</f>
        <v>98.655405882152721</v>
      </c>
      <c r="M220" s="1">
        <f>INDEX('02 Emission rates'!$G$7:$G$15,I220)</f>
        <v>4.4998305826136002</v>
      </c>
      <c r="N220" s="1">
        <f t="shared" si="54"/>
        <v>3204.105069324632</v>
      </c>
      <c r="O220" s="1">
        <f t="shared" si="55"/>
        <v>4.2232629633550758</v>
      </c>
      <c r="P220" s="1">
        <f t="shared" si="56"/>
        <v>19.948990414465424</v>
      </c>
      <c r="Q220" s="1">
        <f t="shared" si="57"/>
        <v>0.9099053047990795</v>
      </c>
      <c r="R220" s="1">
        <f t="shared" si="58"/>
        <v>451.46963756823345</v>
      </c>
      <c r="S220" s="1">
        <f t="shared" si="59"/>
        <v>7.4803418879305088</v>
      </c>
      <c r="T220" s="1">
        <f t="shared" si="60"/>
        <v>124533.09161477523</v>
      </c>
      <c r="U220" s="1">
        <f t="shared" si="61"/>
        <v>168.13552453416384</v>
      </c>
      <c r="V220" s="1">
        <f t="shared" si="62"/>
        <v>783.88879028816814</v>
      </c>
      <c r="W220" s="1">
        <f t="shared" si="63"/>
        <v>34.88150770442067</v>
      </c>
      <c r="X220" s="1"/>
      <c r="Y220" s="1"/>
      <c r="Z220" s="1"/>
      <c r="AA220" s="1"/>
      <c r="AB220" s="1"/>
      <c r="AC220" s="1"/>
      <c r="AD220" s="1"/>
      <c r="AE220" s="1"/>
    </row>
    <row r="221" spans="1:31" ht="22.05" customHeight="1">
      <c r="A221" s="1">
        <f>'01 Traffic inputs'!B171</f>
        <v>9.5131957502864017E-2</v>
      </c>
      <c r="B221" s="1">
        <f>'01 Traffic inputs'!C171</f>
        <v>2.3972222718625681E-3</v>
      </c>
      <c r="C221" s="1">
        <f>IF('01 Traffic inputs'!$B$16&lt;=2/3,(4*A221*(1-A221))^$B$16,1-ABS(2*A221-1)^$B$17)</f>
        <v>2.6753284587054789E-2</v>
      </c>
      <c r="D221" s="1">
        <f>IF('01 Traffic inputs'!$B$16&lt;=2/3,4*$B$16*(1-2*A221)*(4*A221*(1-A221))^($B$16-1),-2*$B$17*SIGN(2*A221-1)*ABS(2*A221-1)^($B$17-1))</f>
        <v>0.85472410672065646</v>
      </c>
      <c r="E221" s="1">
        <f t="shared" si="51"/>
        <v>11.607355914360785</v>
      </c>
      <c r="F221" s="1">
        <f t="shared" si="52"/>
        <v>1.7743155609380005E-2</v>
      </c>
      <c r="G221" s="1">
        <f t="shared" si="53"/>
        <v>0.20595112220196074</v>
      </c>
      <c r="H221" s="1">
        <f>'01 Traffic inputs'!$B$8/F221</f>
        <v>58.614150881380958</v>
      </c>
      <c r="I221" s="1">
        <f>MATCH(H221,'02 Emission rates'!$A$7:$A$15,1)</f>
        <v>5</v>
      </c>
      <c r="J221" s="1">
        <f>INDEX('02 Emission rates'!$D$7:$D$15,I221)</f>
        <v>15845.527995946721</v>
      </c>
      <c r="K221" s="1">
        <f>INDEX('02 Emission rates'!$E$7:$E$15,I221)</f>
        <v>20.885654518874212</v>
      </c>
      <c r="L221" s="1">
        <f>INDEX('02 Emission rates'!$F$7:$F$15,I221)</f>
        <v>98.655405882152721</v>
      </c>
      <c r="M221" s="1">
        <f>INDEX('02 Emission rates'!$G$7:$G$15,I221)</f>
        <v>4.4998305826136002</v>
      </c>
      <c r="N221" s="1">
        <f t="shared" si="54"/>
        <v>3263.4042726478133</v>
      </c>
      <c r="O221" s="1">
        <f t="shared" si="55"/>
        <v>4.301423986084596</v>
      </c>
      <c r="P221" s="1">
        <f t="shared" si="56"/>
        <v>20.31819155271927</v>
      </c>
      <c r="Q221" s="1">
        <f t="shared" si="57"/>
        <v>0.92674515820797376</v>
      </c>
      <c r="R221" s="1">
        <f t="shared" si="58"/>
        <v>463.07699348259422</v>
      </c>
      <c r="S221" s="1">
        <f t="shared" si="59"/>
        <v>7.6862930101324691</v>
      </c>
      <c r="T221" s="1">
        <f t="shared" si="60"/>
        <v>127796.49588742304</v>
      </c>
      <c r="U221" s="1">
        <f t="shared" si="61"/>
        <v>172.43694852024842</v>
      </c>
      <c r="V221" s="1">
        <f t="shared" si="62"/>
        <v>804.20698184088747</v>
      </c>
      <c r="W221" s="1">
        <f t="shared" si="63"/>
        <v>35.808252862628642</v>
      </c>
      <c r="X221" s="1"/>
      <c r="Y221" s="1"/>
      <c r="Z221" s="1"/>
      <c r="AA221" s="1"/>
      <c r="AB221" s="1"/>
      <c r="AC221" s="1"/>
      <c r="AD221" s="1"/>
      <c r="AE221" s="1"/>
    </row>
    <row r="222" spans="1:31" ht="22.05" customHeight="1">
      <c r="A222" s="1">
        <f>'01 Traffic inputs'!B172</f>
        <v>9.7542667233874725E-2</v>
      </c>
      <c r="B222" s="1">
        <f>'01 Traffic inputs'!C172</f>
        <v>2.4241703675380736E-3</v>
      </c>
      <c r="C222" s="1">
        <f>IF('01 Traffic inputs'!$B$16&lt;=2/3,(4*A222*(1-A222))^$B$16,1-ABS(2*A222-1)^$B$17)</f>
        <v>2.886388136965751E-2</v>
      </c>
      <c r="D222" s="1">
        <f>IF('01 Traffic inputs'!$B$16&lt;=2/3,4*$B$16*(1-2*A222)*(4*A222*(1-A222))^($B$16-1),-2*$B$17*SIGN(2*A222-1)*ABS(2*A222-1)^($B$17-1))</f>
        <v>0.89639680496995433</v>
      </c>
      <c r="E222" s="1">
        <f t="shared" si="51"/>
        <v>11.74407357556105</v>
      </c>
      <c r="F222" s="1">
        <f t="shared" si="52"/>
        <v>1.7864176700603522E-2</v>
      </c>
      <c r="G222" s="1">
        <f t="shared" si="53"/>
        <v>0.2097982055387112</v>
      </c>
      <c r="H222" s="1">
        <f>'01 Traffic inputs'!$B$8/F222</f>
        <v>58.217068574164138</v>
      </c>
      <c r="I222" s="1">
        <f>MATCH(H222,'02 Emission rates'!$A$7:$A$15,1)</f>
        <v>5</v>
      </c>
      <c r="J222" s="1">
        <f>INDEX('02 Emission rates'!$D$7:$D$15,I222)</f>
        <v>15845.527995946721</v>
      </c>
      <c r="K222" s="1">
        <f>INDEX('02 Emission rates'!$E$7:$E$15,I222)</f>
        <v>20.885654518874212</v>
      </c>
      <c r="L222" s="1">
        <f>INDEX('02 Emission rates'!$F$7:$F$15,I222)</f>
        <v>98.655405882152721</v>
      </c>
      <c r="M222" s="1">
        <f>INDEX('02 Emission rates'!$G$7:$G$15,I222)</f>
        <v>4.4998305826136002</v>
      </c>
      <c r="N222" s="1">
        <f t="shared" si="54"/>
        <v>3324.3633393630325</v>
      </c>
      <c r="O222" s="1">
        <f t="shared" si="55"/>
        <v>4.3817728395612843</v>
      </c>
      <c r="P222" s="1">
        <f t="shared" si="56"/>
        <v>20.697727120768853</v>
      </c>
      <c r="Q222" s="1">
        <f t="shared" si="57"/>
        <v>0.94405638146054671</v>
      </c>
      <c r="R222" s="1">
        <f t="shared" si="58"/>
        <v>474.82106705815528</v>
      </c>
      <c r="S222" s="1">
        <f t="shared" si="59"/>
        <v>7.8960912156711807</v>
      </c>
      <c r="T222" s="1">
        <f t="shared" si="60"/>
        <v>131120.85922678607</v>
      </c>
      <c r="U222" s="1">
        <f t="shared" si="61"/>
        <v>176.8187213598097</v>
      </c>
      <c r="V222" s="1">
        <f t="shared" si="62"/>
        <v>824.9047089616563</v>
      </c>
      <c r="W222" s="1">
        <f t="shared" si="63"/>
        <v>36.75230924408919</v>
      </c>
      <c r="X222" s="1"/>
      <c r="Y222" s="1"/>
      <c r="Z222" s="1"/>
      <c r="AA222" s="1"/>
      <c r="AB222" s="1"/>
      <c r="AC222" s="1"/>
      <c r="AD222" s="1"/>
      <c r="AE222" s="1"/>
    </row>
    <row r="223" spans="1:31" ht="22.05" customHeight="1">
      <c r="A223" s="1">
        <f>'01 Traffic inputs'!B173</f>
        <v>9.9980244293400578E-2</v>
      </c>
      <c r="B223" s="1">
        <f>'01 Traffic inputs'!C173</f>
        <v>2.4509566299550406E-3</v>
      </c>
      <c r="C223" s="1">
        <f>IF('01 Traffic inputs'!$B$16&lt;=2/3,(4*A223*(1-A223))^$B$16,1-ABS(2*A223-1)^$B$17)</f>
        <v>3.1100903125839442E-2</v>
      </c>
      <c r="D223" s="1">
        <f>IF('01 Traffic inputs'!$B$16&lt;=2/3,4*$B$16*(1-2*A223)*(4*A223*(1-A223))^($B$16-1),-2*$B$17*SIGN(2*A223-1)*ABS(2*A223-1)^($B$17-1))</f>
        <v>0.9391505865521218</v>
      </c>
      <c r="E223" s="1">
        <f t="shared" si="51"/>
        <v>11.880308962243161</v>
      </c>
      <c r="F223" s="1">
        <f t="shared" si="52"/>
        <v>1.7992446968167389E-2</v>
      </c>
      <c r="G223" s="1">
        <f t="shared" si="53"/>
        <v>0.21375582896860382</v>
      </c>
      <c r="H223" s="1">
        <f>'01 Traffic inputs'!$B$8/F223</f>
        <v>57.802032254979551</v>
      </c>
      <c r="I223" s="1">
        <f>MATCH(H223,'02 Emission rates'!$A$7:$A$15,1)</f>
        <v>5</v>
      </c>
      <c r="J223" s="1">
        <f>INDEX('02 Emission rates'!$D$7:$D$15,I223)</f>
        <v>15845.527995946721</v>
      </c>
      <c r="K223" s="1">
        <f>INDEX('02 Emission rates'!$E$7:$E$15,I223)</f>
        <v>20.885654518874212</v>
      </c>
      <c r="L223" s="1">
        <f>INDEX('02 Emission rates'!$F$7:$F$15,I223)</f>
        <v>98.655405882152721</v>
      </c>
      <c r="M223" s="1">
        <f>INDEX('02 Emission rates'!$G$7:$G$15,I223)</f>
        <v>4.4998305826136002</v>
      </c>
      <c r="N223" s="1">
        <f t="shared" si="54"/>
        <v>3387.0739722188109</v>
      </c>
      <c r="O223" s="1">
        <f t="shared" si="55"/>
        <v>4.4644303952338236</v>
      </c>
      <c r="P223" s="1">
        <f t="shared" si="56"/>
        <v>21.088168066573626</v>
      </c>
      <c r="Q223" s="1">
        <f t="shared" si="57"/>
        <v>0.96186501640484556</v>
      </c>
      <c r="R223" s="1">
        <f t="shared" si="58"/>
        <v>486.70137602039841</v>
      </c>
      <c r="S223" s="1">
        <f t="shared" si="59"/>
        <v>8.1098470446397837</v>
      </c>
      <c r="T223" s="1">
        <f t="shared" si="60"/>
        <v>134507.93319900488</v>
      </c>
      <c r="U223" s="1">
        <f t="shared" si="61"/>
        <v>181.28315175504352</v>
      </c>
      <c r="V223" s="1">
        <f t="shared" si="62"/>
        <v>845.99287702822994</v>
      </c>
      <c r="W223" s="1">
        <f t="shared" si="63"/>
        <v>37.714174260494033</v>
      </c>
      <c r="X223" s="1"/>
      <c r="Y223" s="1"/>
      <c r="Z223" s="1"/>
      <c r="AA223" s="1"/>
      <c r="AB223" s="1"/>
      <c r="AC223" s="1"/>
      <c r="AD223" s="1"/>
      <c r="AE223" s="1"/>
    </row>
    <row r="224" spans="1:31" ht="22.05" customHeight="1">
      <c r="A224" s="1">
        <f>'01 Traffic inputs'!B174</f>
        <v>0.10244452595317644</v>
      </c>
      <c r="B224" s="1">
        <f>'01 Traffic inputs'!C174</f>
        <v>2.4775792709108456E-3</v>
      </c>
      <c r="C224" s="1">
        <f>IF('01 Traffic inputs'!$B$16&lt;=2/3,(4*A224*(1-A224))^$B$16,1-ABS(2*A224-1)^$B$17)</f>
        <v>3.3469103416882709E-2</v>
      </c>
      <c r="D224" s="1">
        <f>IF('01 Traffic inputs'!$B$16&lt;=2/3,4*$B$16*(1-2*A224)*(4*A224*(1-A224))^($B$16-1),-2*$B$17*SIGN(2*A224-1)*ABS(2*A224-1)^($B$17-1))</f>
        <v>0.98296666141450095</v>
      </c>
      <c r="E224" s="1">
        <f t="shared" si="51"/>
        <v>12.0160546092172</v>
      </c>
      <c r="F224" s="1">
        <f t="shared" si="52"/>
        <v>1.8128238980085684E-2</v>
      </c>
      <c r="G224" s="1">
        <f t="shared" si="53"/>
        <v>0.2178299095536495</v>
      </c>
      <c r="H224" s="1">
        <f>'01 Traffic inputs'!$B$8/F224</f>
        <v>57.369058359308148</v>
      </c>
      <c r="I224" s="1">
        <f>MATCH(H224,'02 Emission rates'!$A$7:$A$15,1)</f>
        <v>5</v>
      </c>
      <c r="J224" s="1">
        <f>INDEX('02 Emission rates'!$D$7:$D$15,I224)</f>
        <v>15845.527995946721</v>
      </c>
      <c r="K224" s="1">
        <f>INDEX('02 Emission rates'!$E$7:$E$15,I224)</f>
        <v>20.885654518874212</v>
      </c>
      <c r="L224" s="1">
        <f>INDEX('02 Emission rates'!$F$7:$F$15,I224)</f>
        <v>98.655405882152721</v>
      </c>
      <c r="M224" s="1">
        <f>INDEX('02 Emission rates'!$G$7:$G$15,I224)</f>
        <v>4.4998305826136002</v>
      </c>
      <c r="N224" s="1">
        <f t="shared" si="54"/>
        <v>3451.6299301868953</v>
      </c>
      <c r="O224" s="1">
        <f t="shared" si="55"/>
        <v>4.5495202348151409</v>
      </c>
      <c r="P224" s="1">
        <f t="shared" si="56"/>
        <v>21.490098140287909</v>
      </c>
      <c r="Q224" s="1">
        <f t="shared" si="57"/>
        <v>0.98019768881746649</v>
      </c>
      <c r="R224" s="1">
        <f t="shared" si="58"/>
        <v>498.71743062961559</v>
      </c>
      <c r="S224" s="1">
        <f t="shared" si="59"/>
        <v>8.3276769541934339</v>
      </c>
      <c r="T224" s="1">
        <f t="shared" si="60"/>
        <v>137959.56312919178</v>
      </c>
      <c r="U224" s="1">
        <f t="shared" si="61"/>
        <v>185.83267198985865</v>
      </c>
      <c r="V224" s="1">
        <f t="shared" si="62"/>
        <v>867.4829751685179</v>
      </c>
      <c r="W224" s="1">
        <f t="shared" si="63"/>
        <v>38.694371949311503</v>
      </c>
      <c r="X224" s="1"/>
      <c r="Y224" s="1"/>
      <c r="Z224" s="1"/>
      <c r="AA224" s="1"/>
      <c r="AB224" s="1"/>
      <c r="AC224" s="1"/>
      <c r="AD224" s="1"/>
      <c r="AE224" s="1"/>
    </row>
    <row r="225" spans="1:31" ht="22.05" customHeight="1">
      <c r="A225" s="1">
        <f>'01 Traffic inputs'!B175</f>
        <v>0.10493534770218593</v>
      </c>
      <c r="B225" s="1">
        <f>'01 Traffic inputs'!C175</f>
        <v>2.5040365131257115E-3</v>
      </c>
      <c r="C225" s="1">
        <f>IF('01 Traffic inputs'!$B$16&lt;=2/3,(4*A225*(1-A225))^$B$16,1-ABS(2*A225-1)^$B$17)</f>
        <v>3.5973248861868243E-2</v>
      </c>
      <c r="D225" s="1">
        <f>IF('01 Traffic inputs'!$B$16&lt;=2/3,4*$B$16*(1-2*A225)*(4*A225*(1-A225))^($B$16-1),-2*$B$17*SIGN(2*A225-1)*ABS(2*A225-1)^($B$17-1))</f>
        <v>1.0278237597756676</v>
      </c>
      <c r="E225" s="1">
        <f t="shared" si="51"/>
        <v>12.151302513721273</v>
      </c>
      <c r="F225" s="1">
        <f t="shared" si="52"/>
        <v>1.8271826053103409E-2</v>
      </c>
      <c r="G225" s="1">
        <f t="shared" si="53"/>
        <v>0.22202648584935331</v>
      </c>
      <c r="H225" s="1">
        <f>'01 Traffic inputs'!$B$8/F225</f>
        <v>56.918230119828664</v>
      </c>
      <c r="I225" s="1">
        <f>MATCH(H225,'02 Emission rates'!$A$7:$A$15,1)</f>
        <v>5</v>
      </c>
      <c r="J225" s="1">
        <f>INDEX('02 Emission rates'!$D$7:$D$15,I225)</f>
        <v>15845.527995946721</v>
      </c>
      <c r="K225" s="1">
        <f>INDEX('02 Emission rates'!$E$7:$E$15,I225)</f>
        <v>20.885654518874212</v>
      </c>
      <c r="L225" s="1">
        <f>INDEX('02 Emission rates'!$F$7:$F$15,I225)</f>
        <v>98.655405882152721</v>
      </c>
      <c r="M225" s="1">
        <f>INDEX('02 Emission rates'!$G$7:$G$15,I225)</f>
        <v>4.4998305826136002</v>
      </c>
      <c r="N225" s="1">
        <f t="shared" si="54"/>
        <v>3518.126897367596</v>
      </c>
      <c r="O225" s="1">
        <f t="shared" si="55"/>
        <v>4.6371684774893067</v>
      </c>
      <c r="P225" s="1">
        <f t="shared" si="56"/>
        <v>21.904113078055989</v>
      </c>
      <c r="Q225" s="1">
        <f t="shared" si="57"/>
        <v>0.99908157117514573</v>
      </c>
      <c r="R225" s="1">
        <f t="shared" si="58"/>
        <v>510.86873314333684</v>
      </c>
      <c r="S225" s="1">
        <f t="shared" si="59"/>
        <v>8.5497034400427872</v>
      </c>
      <c r="T225" s="1">
        <f t="shared" si="60"/>
        <v>141477.69002655937</v>
      </c>
      <c r="U225" s="1">
        <f t="shared" si="61"/>
        <v>190.46984046734795</v>
      </c>
      <c r="V225" s="1">
        <f t="shared" si="62"/>
        <v>889.38708824657385</v>
      </c>
      <c r="W225" s="1">
        <f t="shared" si="63"/>
        <v>39.693453520486649</v>
      </c>
      <c r="X225" s="1"/>
      <c r="Y225" s="1"/>
      <c r="Z225" s="1"/>
      <c r="AA225" s="1"/>
      <c r="AB225" s="1"/>
      <c r="AC225" s="1"/>
      <c r="AD225" s="1"/>
      <c r="AE225" s="1"/>
    </row>
    <row r="226" spans="1:31" ht="22.05" customHeight="1">
      <c r="A226" s="1">
        <f>'01 Traffic inputs'!B176</f>
        <v>0.10745254325764414</v>
      </c>
      <c r="B226" s="1">
        <f>'01 Traffic inputs'!C176</f>
        <v>2.5303265903615958E-3</v>
      </c>
      <c r="C226" s="1">
        <f>IF('01 Traffic inputs'!$B$16&lt;=2/3,(4*A226*(1-A226))^$B$16,1-ABS(2*A226-1)^$B$17)</f>
        <v>3.8618109398820176E-2</v>
      </c>
      <c r="D226" s="1">
        <f>IF('01 Traffic inputs'!$B$16&lt;=2/3,4*$B$16*(1-2*A226)*(4*A226*(1-A226))^($B$16-1),-2*$B$17*SIGN(2*A226-1)*ABS(2*A226-1)^($B$17-1))</f>
        <v>1.0736981129727112</v>
      </c>
      <c r="E226" s="1">
        <f t="shared" si="51"/>
        <v>12.286044113790366</v>
      </c>
      <c r="F226" s="1">
        <f t="shared" si="52"/>
        <v>1.8423481694272926E-2</v>
      </c>
      <c r="G226" s="1">
        <f t="shared" si="53"/>
        <v>0.22635170882544645</v>
      </c>
      <c r="H226" s="1">
        <f>'01 Traffic inputs'!$B$8/F226</f>
        <v>56.449699207686244</v>
      </c>
      <c r="I226" s="1">
        <f>MATCH(H226,'02 Emission rates'!$A$7:$A$15,1)</f>
        <v>5</v>
      </c>
      <c r="J226" s="1">
        <f>INDEX('02 Emission rates'!$D$7:$D$15,I226)</f>
        <v>15845.527995946721</v>
      </c>
      <c r="K226" s="1">
        <f>INDEX('02 Emission rates'!$E$7:$E$15,I226)</f>
        <v>20.885654518874212</v>
      </c>
      <c r="L226" s="1">
        <f>INDEX('02 Emission rates'!$F$7:$F$15,I226)</f>
        <v>98.655405882152721</v>
      </c>
      <c r="M226" s="1">
        <f>INDEX('02 Emission rates'!$G$7:$G$15,I226)</f>
        <v>4.4998305826136002</v>
      </c>
      <c r="N226" s="1">
        <f t="shared" si="54"/>
        <v>3586.6623391239923</v>
      </c>
      <c r="O226" s="1">
        <f t="shared" si="55"/>
        <v>4.7275035902850853</v>
      </c>
      <c r="P226" s="1">
        <f t="shared" si="56"/>
        <v>22.330819706293269</v>
      </c>
      <c r="Q226" s="1">
        <f t="shared" si="57"/>
        <v>1.0185443417995927</v>
      </c>
      <c r="R226" s="1">
        <f t="shared" si="58"/>
        <v>523.15477725712719</v>
      </c>
      <c r="S226" s="1">
        <f t="shared" si="59"/>
        <v>8.7760551488682328</v>
      </c>
      <c r="T226" s="1">
        <f t="shared" si="60"/>
        <v>145064.35236568336</v>
      </c>
      <c r="U226" s="1">
        <f t="shared" si="61"/>
        <v>195.19734405763305</v>
      </c>
      <c r="V226" s="1">
        <f t="shared" si="62"/>
        <v>911.71790795286711</v>
      </c>
      <c r="W226" s="1">
        <f t="shared" si="63"/>
        <v>40.711997862286239</v>
      </c>
      <c r="X226" s="1"/>
      <c r="Y226" s="1"/>
      <c r="Z226" s="1"/>
      <c r="AA226" s="1"/>
      <c r="AB226" s="1"/>
      <c r="AC226" s="1"/>
      <c r="AD226" s="1"/>
      <c r="AE226" s="1"/>
    </row>
    <row r="227" spans="1:31" ht="22.05" customHeight="1">
      <c r="A227" s="1">
        <f>'01 Traffic inputs'!B177</f>
        <v>0.10999594457609801</v>
      </c>
      <c r="B227" s="1">
        <f>'01 Traffic inputs'!C177</f>
        <v>2.5564477475401837E-3</v>
      </c>
      <c r="C227" s="1">
        <f>IF('01 Traffic inputs'!$B$16&lt;=2/3,(4*A227*(1-A227))^$B$16,1-ABS(2*A227-1)^$B$17)</f>
        <v>4.1408448194541529E-2</v>
      </c>
      <c r="D227" s="1">
        <f>IF('01 Traffic inputs'!$B$16&lt;=2/3,4*$B$16*(1-2*A227)*(4*A227*(1-A227))^($B$16-1),-2*$B$17*SIGN(2*A227-1)*ABS(2*A227-1)^($B$17-1))</f>
        <v>1.1205634393458874</v>
      </c>
      <c r="E227" s="1">
        <f t="shared" si="51"/>
        <v>12.420270267671897</v>
      </c>
      <c r="F227" s="1">
        <f t="shared" si="52"/>
        <v>1.8583479022386488E-2</v>
      </c>
      <c r="G227" s="1">
        <f t="shared" si="53"/>
        <v>0.23081183197165131</v>
      </c>
      <c r="H227" s="1">
        <f>'01 Traffic inputs'!$B$8/F227</f>
        <v>55.963686818124316</v>
      </c>
      <c r="I227" s="1">
        <f>MATCH(H227,'02 Emission rates'!$A$7:$A$15,1)</f>
        <v>5</v>
      </c>
      <c r="J227" s="1">
        <f>INDEX('02 Emission rates'!$D$7:$D$15,I227)</f>
        <v>15845.527995946721</v>
      </c>
      <c r="K227" s="1">
        <f>INDEX('02 Emission rates'!$E$7:$E$15,I227)</f>
        <v>20.885654518874212</v>
      </c>
      <c r="L227" s="1">
        <f>INDEX('02 Emission rates'!$F$7:$F$15,I227)</f>
        <v>98.655405882152721</v>
      </c>
      <c r="M227" s="1">
        <f>INDEX('02 Emission rates'!$G$7:$G$15,I227)</f>
        <v>4.4998305826136002</v>
      </c>
      <c r="N227" s="1">
        <f t="shared" si="54"/>
        <v>3657.3353453025511</v>
      </c>
      <c r="O227" s="1">
        <f t="shared" si="55"/>
        <v>4.8206561814283546</v>
      </c>
      <c r="P227" s="1">
        <f t="shared" si="56"/>
        <v>22.770834965566493</v>
      </c>
      <c r="Q227" s="1">
        <f t="shared" si="57"/>
        <v>1.0386141403351081</v>
      </c>
      <c r="R227" s="1">
        <f t="shared" si="58"/>
        <v>535.57504752479906</v>
      </c>
      <c r="S227" s="1">
        <f t="shared" si="59"/>
        <v>9.0068669808398845</v>
      </c>
      <c r="T227" s="1">
        <f t="shared" si="60"/>
        <v>148721.68771098592</v>
      </c>
      <c r="U227" s="1">
        <f t="shared" si="61"/>
        <v>200.01800023906139</v>
      </c>
      <c r="V227" s="1">
        <f t="shared" si="62"/>
        <v>934.48874291843356</v>
      </c>
      <c r="W227" s="1">
        <f t="shared" si="63"/>
        <v>41.750612002621345</v>
      </c>
      <c r="X227" s="1"/>
      <c r="Y227" s="1"/>
      <c r="Z227" s="1"/>
      <c r="AA227" s="1"/>
      <c r="AB227" s="1"/>
      <c r="AC227" s="1"/>
      <c r="AD227" s="1"/>
      <c r="AE227" s="1"/>
    </row>
    <row r="228" spans="1:31" ht="22.05" customHeight="1">
      <c r="A228" s="1">
        <f>'01 Traffic inputs'!B178</f>
        <v>0.11256538186464499</v>
      </c>
      <c r="B228" s="1">
        <f>'01 Traffic inputs'!C178</f>
        <v>2.5823982408600629E-3</v>
      </c>
      <c r="C228" s="1">
        <f>IF('01 Traffic inputs'!$B$16&lt;=2/3,(4*A228*(1-A228))^$B$16,1-ABS(2*A228-1)^$B$17)</f>
        <v>4.4349011220864057E-2</v>
      </c>
      <c r="D228" s="1">
        <f>IF('01 Traffic inputs'!$B$16&lt;=2/3,4*$B$16*(1-2*A228)*(4*A228*(1-A228))^($B$16-1),-2*$B$17*SIGN(2*A228-1)*ABS(2*A228-1)^($B$17-1))</f>
        <v>1.1683909352572834</v>
      </c>
      <c r="E228" s="1">
        <f t="shared" si="51"/>
        <v>12.553971234373442</v>
      </c>
      <c r="F228" s="1">
        <f t="shared" si="52"/>
        <v>1.8752090170280986E-2</v>
      </c>
      <c r="G228" s="1">
        <f t="shared" si="53"/>
        <v>0.23541320058208448</v>
      </c>
      <c r="H228" s="1">
        <f>'01 Traffic inputs'!$B$8/F228</f>
        <v>55.460484167693018</v>
      </c>
      <c r="I228" s="1">
        <f>MATCH(H228,'02 Emission rates'!$A$7:$A$15,1)</f>
        <v>5</v>
      </c>
      <c r="J228" s="1">
        <f>INDEX('02 Emission rates'!$D$7:$D$15,I228)</f>
        <v>15845.527995946721</v>
      </c>
      <c r="K228" s="1">
        <f>INDEX('02 Emission rates'!$E$7:$E$15,I228)</f>
        <v>20.885654518874212</v>
      </c>
      <c r="L228" s="1">
        <f>INDEX('02 Emission rates'!$F$7:$F$15,I228)</f>
        <v>98.655405882152721</v>
      </c>
      <c r="M228" s="1">
        <f>INDEX('02 Emission rates'!$G$7:$G$15,I228)</f>
        <v>4.4998305826136002</v>
      </c>
      <c r="N228" s="1">
        <f t="shared" si="54"/>
        <v>3730.2464604388406</v>
      </c>
      <c r="O228" s="1">
        <f t="shared" si="55"/>
        <v>4.9167587765398544</v>
      </c>
      <c r="P228" s="1">
        <f t="shared" si="56"/>
        <v>23.224784853442177</v>
      </c>
      <c r="Q228" s="1">
        <f t="shared" si="57"/>
        <v>1.0593195195302136</v>
      </c>
      <c r="R228" s="1">
        <f t="shared" si="58"/>
        <v>548.12901875917248</v>
      </c>
      <c r="S228" s="1">
        <f t="shared" si="59"/>
        <v>9.2422801814219682</v>
      </c>
      <c r="T228" s="1">
        <f t="shared" si="60"/>
        <v>152451.93417142477</v>
      </c>
      <c r="U228" s="1">
        <f t="shared" si="61"/>
        <v>204.93475901560126</v>
      </c>
      <c r="V228" s="1">
        <f t="shared" si="62"/>
        <v>957.71352777187576</v>
      </c>
      <c r="W228" s="1">
        <f t="shared" si="63"/>
        <v>42.809931522151558</v>
      </c>
      <c r="X228" s="1"/>
      <c r="Y228" s="1"/>
      <c r="Z228" s="1"/>
      <c r="AA228" s="1"/>
      <c r="AB228" s="1"/>
      <c r="AC228" s="1"/>
      <c r="AD228" s="1"/>
      <c r="AE228" s="1"/>
    </row>
    <row r="229" spans="1:31" ht="22.05" customHeight="1">
      <c r="A229" s="1">
        <f>'01 Traffic inputs'!B179</f>
        <v>0.11516068359226778</v>
      </c>
      <c r="B229" s="1">
        <f>'01 Traffic inputs'!C179</f>
        <v>2.6081763379126764E-3</v>
      </c>
      <c r="C229" s="1">
        <f>IF('01 Traffic inputs'!$B$16&lt;=2/3,(4*A229*(1-A229))^$B$16,1-ABS(2*A229-1)^$B$17)</f>
        <v>4.7444516516394239E-2</v>
      </c>
      <c r="D229" s="1">
        <f>IF('01 Traffic inputs'!$B$16&lt;=2/3,4*$B$16*(1-2*A229)*(4*A229*(1-A229))^($B$16-1),-2*$B$17*SIGN(2*A229-1)*ABS(2*A229-1)^($B$17-1))</f>
        <v>1.2171492713291527</v>
      </c>
      <c r="E229" s="1">
        <f t="shared" si="51"/>
        <v>12.687136655423819</v>
      </c>
      <c r="F229" s="1">
        <f t="shared" si="52"/>
        <v>1.8929585669109173E-2</v>
      </c>
      <c r="G229" s="1">
        <f t="shared" si="53"/>
        <v>0.24016224021454041</v>
      </c>
      <c r="H229" s="1">
        <f>'01 Traffic inputs'!$B$8/F229</f>
        <v>54.940452378584098</v>
      </c>
      <c r="I229" s="1">
        <f>MATCH(H229,'02 Emission rates'!$A$7:$A$15,1)</f>
        <v>5</v>
      </c>
      <c r="J229" s="1">
        <f>INDEX('02 Emission rates'!$D$7:$D$15,I229)</f>
        <v>15845.527995946721</v>
      </c>
      <c r="K229" s="1">
        <f>INDEX('02 Emission rates'!$E$7:$E$15,I229)</f>
        <v>20.885654518874212</v>
      </c>
      <c r="L229" s="1">
        <f>INDEX('02 Emission rates'!$F$7:$F$15,I229)</f>
        <v>98.655405882152721</v>
      </c>
      <c r="M229" s="1">
        <f>INDEX('02 Emission rates'!$G$7:$G$15,I229)</f>
        <v>4.4998305826136002</v>
      </c>
      <c r="N229" s="1">
        <f t="shared" si="54"/>
        <v>3805.4975008887814</v>
      </c>
      <c r="O229" s="1">
        <f t="shared" si="55"/>
        <v>5.0159455775997701</v>
      </c>
      <c r="P229" s="1">
        <f t="shared" si="56"/>
        <v>23.693303285932544</v>
      </c>
      <c r="Q229" s="1">
        <f t="shared" si="57"/>
        <v>1.0806893933063828</v>
      </c>
      <c r="R229" s="1">
        <f t="shared" si="58"/>
        <v>560.81615541459632</v>
      </c>
      <c r="S229" s="1">
        <f t="shared" si="59"/>
        <v>9.4824424216365077</v>
      </c>
      <c r="T229" s="1">
        <f t="shared" si="60"/>
        <v>156257.43167231354</v>
      </c>
      <c r="U229" s="1">
        <f t="shared" si="61"/>
        <v>209.95070459320104</v>
      </c>
      <c r="V229" s="1">
        <f t="shared" si="62"/>
        <v>981.40683105780829</v>
      </c>
      <c r="W229" s="1">
        <f t="shared" si="63"/>
        <v>43.890620915457944</v>
      </c>
      <c r="X229" s="1"/>
      <c r="Y229" s="1"/>
      <c r="Z229" s="1"/>
      <c r="AA229" s="1"/>
      <c r="AB229" s="1"/>
      <c r="AC229" s="1"/>
      <c r="AD229" s="1"/>
      <c r="AE229" s="1"/>
    </row>
    <row r="230" spans="1:31" ht="22.05" customHeight="1">
      <c r="A230" s="1">
        <f>'01 Traffic inputs'!B180</f>
        <v>0.11778167650128574</v>
      </c>
      <c r="B230" s="1">
        <f>'01 Traffic inputs'!C180</f>
        <v>2.6337803177988459E-3</v>
      </c>
      <c r="C230" s="1">
        <f>IF('01 Traffic inputs'!$B$16&lt;=2/3,(4*A230*(1-A230))^$B$16,1-ABS(2*A230-1)^$B$17)</f>
        <v>5.0699643154169853E-2</v>
      </c>
      <c r="D230" s="1">
        <f>IF('01 Traffic inputs'!$B$16&lt;=2/3,4*$B$16*(1-2*A230)*(4*A230*(1-A230))^($B$16-1),-2*$B$17*SIGN(2*A230-1)*ABS(2*A230-1)^($B$17-1))</f>
        <v>1.2668045939764729</v>
      </c>
      <c r="E230" s="1">
        <f t="shared" si="51"/>
        <v>12.819755537936972</v>
      </c>
      <c r="F230" s="1">
        <f t="shared" si="52"/>
        <v>1.9116233815747848E-2</v>
      </c>
      <c r="G230" s="1">
        <f t="shared" si="53"/>
        <v>0.24506544432393149</v>
      </c>
      <c r="H230" s="1">
        <f>'01 Traffic inputs'!$B$8/F230</f>
        <v>54.40402173482908</v>
      </c>
      <c r="I230" s="1">
        <f>MATCH(H230,'02 Emission rates'!$A$7:$A$15,1)</f>
        <v>5</v>
      </c>
      <c r="J230" s="1">
        <f>INDEX('02 Emission rates'!$D$7:$D$15,I230)</f>
        <v>15845.527995946721</v>
      </c>
      <c r="K230" s="1">
        <f>INDEX('02 Emission rates'!$E$7:$E$15,I230)</f>
        <v>20.885654518874212</v>
      </c>
      <c r="L230" s="1">
        <f>INDEX('02 Emission rates'!$F$7:$F$15,I230)</f>
        <v>98.655405882152721</v>
      </c>
      <c r="M230" s="1">
        <f>INDEX('02 Emission rates'!$G$7:$G$15,I230)</f>
        <v>4.4998305826136002</v>
      </c>
      <c r="N230" s="1">
        <f t="shared" si="54"/>
        <v>3883.1913588739785</v>
      </c>
      <c r="O230" s="1">
        <f t="shared" si="55"/>
        <v>5.1183522046640366</v>
      </c>
      <c r="P230" s="1">
        <f t="shared" si="56"/>
        <v>24.177030877467562</v>
      </c>
      <c r="Q230" s="1">
        <f t="shared" si="57"/>
        <v>1.1027529811106174</v>
      </c>
      <c r="R230" s="1">
        <f t="shared" si="58"/>
        <v>573.63591095253332</v>
      </c>
      <c r="S230" s="1">
        <f t="shared" si="59"/>
        <v>9.7275078659604386</v>
      </c>
      <c r="T230" s="1">
        <f t="shared" si="60"/>
        <v>160140.62303118751</v>
      </c>
      <c r="U230" s="1">
        <f t="shared" si="61"/>
        <v>215.06905679786507</v>
      </c>
      <c r="V230" s="1">
        <f t="shared" si="62"/>
        <v>1005.5838619352759</v>
      </c>
      <c r="W230" s="1">
        <f t="shared" si="63"/>
        <v>44.993373896568563</v>
      </c>
      <c r="X230" s="1"/>
      <c r="Y230" s="1"/>
      <c r="Z230" s="1"/>
      <c r="AA230" s="1"/>
      <c r="AB230" s="1"/>
      <c r="AC230" s="1"/>
      <c r="AD230" s="1"/>
      <c r="AE230" s="1"/>
    </row>
    <row r="231" spans="1:31" ht="22.05" customHeight="1">
      <c r="A231" s="1">
        <f>'01 Traffic inputs'!B181</f>
        <v>0.12042818561892099</v>
      </c>
      <c r="B231" s="1">
        <f>'01 Traffic inputs'!C181</f>
        <v>2.6592084712427399E-3</v>
      </c>
      <c r="C231" s="1">
        <f>IF('01 Traffic inputs'!$B$16&lt;=2/3,(4*A231*(1-A231))^$B$16,1-ABS(2*A231-1)^$B$17)</f>
        <v>5.4119019936925479E-2</v>
      </c>
      <c r="D231" s="1">
        <f>IF('01 Traffic inputs'!$B$16&lt;=2/3,4*$B$16*(1-2*A231)*(4*A231*(1-A231))^($B$16-1),-2*$B$17*SIGN(2*A231-1)*ABS(2*A231-1)^($B$17-1))</f>
        <v>1.3173205322968355</v>
      </c>
      <c r="E231" s="1">
        <f t="shared" si="51"/>
        <v>12.95181623904169</v>
      </c>
      <c r="F231" s="1">
        <f t="shared" si="52"/>
        <v>1.9312300024587194E-2</v>
      </c>
      <c r="G231" s="1">
        <f t="shared" si="53"/>
        <v>0.25012936107169365</v>
      </c>
      <c r="H231" s="1">
        <f>'01 Traffic inputs'!$B$8/F231</f>
        <v>53.851690304933044</v>
      </c>
      <c r="I231" s="1">
        <f>MATCH(H231,'02 Emission rates'!$A$7:$A$15,1)</f>
        <v>5</v>
      </c>
      <c r="J231" s="1">
        <f>INDEX('02 Emission rates'!$D$7:$D$15,I231)</f>
        <v>15845.527995946721</v>
      </c>
      <c r="K231" s="1">
        <f>INDEX('02 Emission rates'!$E$7:$E$15,I231)</f>
        <v>20.885654518874212</v>
      </c>
      <c r="L231" s="1">
        <f>INDEX('02 Emission rates'!$F$7:$F$15,I231)</f>
        <v>98.655405882152721</v>
      </c>
      <c r="M231" s="1">
        <f>INDEX('02 Emission rates'!$G$7:$G$15,I231)</f>
        <v>4.4998305826136002</v>
      </c>
      <c r="N231" s="1">
        <f t="shared" si="54"/>
        <v>3963.4317934697874</v>
      </c>
      <c r="O231" s="1">
        <f t="shared" si="55"/>
        <v>5.2241154203701381</v>
      </c>
      <c r="P231" s="1">
        <f t="shared" si="56"/>
        <v>24.676613639571467</v>
      </c>
      <c r="Q231" s="1">
        <f t="shared" si="57"/>
        <v>1.1255397485600067</v>
      </c>
      <c r="R231" s="1">
        <f t="shared" si="58"/>
        <v>586.58772719157503</v>
      </c>
      <c r="S231" s="1">
        <f t="shared" si="59"/>
        <v>9.9776372270321314</v>
      </c>
      <c r="T231" s="1">
        <f t="shared" si="60"/>
        <v>164104.0548246573</v>
      </c>
      <c r="U231" s="1">
        <f t="shared" si="61"/>
        <v>220.29317221823521</v>
      </c>
      <c r="V231" s="1">
        <f t="shared" si="62"/>
        <v>1030.2604755748473</v>
      </c>
      <c r="W231" s="1">
        <f t="shared" si="63"/>
        <v>46.118913645128572</v>
      </c>
      <c r="X231" s="1"/>
      <c r="Y231" s="1"/>
      <c r="Z231" s="1"/>
      <c r="AA231" s="1"/>
      <c r="AB231" s="1"/>
      <c r="AC231" s="1"/>
      <c r="AD231" s="1"/>
      <c r="AE231" s="1"/>
    </row>
    <row r="232" spans="1:31" ht="22.05" customHeight="1">
      <c r="A232" s="1">
        <f>'01 Traffic inputs'!B182</f>
        <v>0.12310003426897942</v>
      </c>
      <c r="B232" s="1">
        <f>'01 Traffic inputs'!C182</f>
        <v>2.6844591007064351E-3</v>
      </c>
      <c r="C232" s="1">
        <f>IF('01 Traffic inputs'!$B$16&lt;=2/3,(4*A232*(1-A232))^$B$16,1-ABS(2*A232-1)^$B$17)</f>
        <v>5.7707213842912157E-2</v>
      </c>
      <c r="D232" s="1">
        <f>IF('01 Traffic inputs'!$B$16&lt;=2/3,4*$B$16*(1-2*A232)*(4*A232*(1-A232))^($B$16-1),-2*$B$17*SIGN(2*A232-1)*ABS(2*A232-1)^($B$17-1))</f>
        <v>1.3686582103692295</v>
      </c>
      <c r="E232" s="1">
        <f t="shared" si="51"/>
        <v>13.083306451767669</v>
      </c>
      <c r="F232" s="1">
        <f t="shared" si="52"/>
        <v>1.9518046165017004E-2</v>
      </c>
      <c r="G232" s="1">
        <f t="shared" si="53"/>
        <v>0.25536057931666617</v>
      </c>
      <c r="H232" s="1">
        <f>'01 Traffic inputs'!$B$8/F232</f>
        <v>53.284021935764002</v>
      </c>
      <c r="I232" s="1">
        <f>MATCH(H232,'02 Emission rates'!$A$7:$A$15,1)</f>
        <v>5</v>
      </c>
      <c r="J232" s="1">
        <f>INDEX('02 Emission rates'!$D$7:$D$15,I232)</f>
        <v>15845.527995946721</v>
      </c>
      <c r="K232" s="1">
        <f>INDEX('02 Emission rates'!$E$7:$E$15,I232)</f>
        <v>20.885654518874212</v>
      </c>
      <c r="L232" s="1">
        <f>INDEX('02 Emission rates'!$F$7:$F$15,I232)</f>
        <v>98.655405882152721</v>
      </c>
      <c r="M232" s="1">
        <f>INDEX('02 Emission rates'!$G$7:$G$15,I232)</f>
        <v>4.4998305826136002</v>
      </c>
      <c r="N232" s="1">
        <f t="shared" si="54"/>
        <v>4046.323208623407</v>
      </c>
      <c r="O232" s="1">
        <f t="shared" si="55"/>
        <v>5.3333728373474649</v>
      </c>
      <c r="P232" s="1">
        <f t="shared" si="56"/>
        <v>25.192701598787355</v>
      </c>
      <c r="Q232" s="1">
        <f t="shared" si="57"/>
        <v>1.1490793444030605</v>
      </c>
      <c r="R232" s="1">
        <f t="shared" si="58"/>
        <v>599.67103364334275</v>
      </c>
      <c r="S232" s="1">
        <f t="shared" si="59"/>
        <v>10.232997806348797</v>
      </c>
      <c r="T232" s="1">
        <f t="shared" si="60"/>
        <v>168150.37803328072</v>
      </c>
      <c r="U232" s="1">
        <f t="shared" si="61"/>
        <v>225.62654505558268</v>
      </c>
      <c r="V232" s="1">
        <f t="shared" si="62"/>
        <v>1055.4531771736347</v>
      </c>
      <c r="W232" s="1">
        <f t="shared" si="63"/>
        <v>47.267992989531635</v>
      </c>
      <c r="X232" s="1"/>
      <c r="Y232" s="1"/>
      <c r="Z232" s="1"/>
      <c r="AA232" s="1"/>
      <c r="AB232" s="1"/>
      <c r="AC232" s="1"/>
      <c r="AD232" s="1"/>
      <c r="AE232" s="1"/>
    </row>
    <row r="233" spans="1:31" ht="22.05" customHeight="1">
      <c r="A233" s="1">
        <f>'01 Traffic inputs'!B183</f>
        <v>0.12579704408364528</v>
      </c>
      <c r="B233" s="1">
        <f>'01 Traffic inputs'!C183</f>
        <v>2.7095305205033903E-3</v>
      </c>
      <c r="C233" s="1">
        <f>IF('01 Traffic inputs'!$B$16&lt;=2/3,(4*A233*(1-A233))^$B$16,1-ABS(2*A233-1)^$B$17)</f>
        <v>6.1468718246408982E-2</v>
      </c>
      <c r="D233" s="1">
        <f>IF('01 Traffic inputs'!$B$16&lt;=2/3,4*$B$16*(1-2*A233)*(4*A233*(1-A233))^($B$16-1),-2*$B$17*SIGN(2*A233-1)*ABS(2*A233-1)^($B$17-1))</f>
        <v>1.4207762650014695</v>
      </c>
      <c r="E233" s="1">
        <f t="shared" si="51"/>
        <v>13.214213192451998</v>
      </c>
      <c r="F233" s="1">
        <f t="shared" si="52"/>
        <v>1.9733729885993725E-2</v>
      </c>
      <c r="G233" s="1">
        <f t="shared" si="53"/>
        <v>0.26076571379578256</v>
      </c>
      <c r="H233" s="1">
        <f>'01 Traffic inputs'!$B$8/F233</f>
        <v>52.701643632923862</v>
      </c>
      <c r="I233" s="1">
        <f>MATCH(H233,'02 Emission rates'!$A$7:$A$15,1)</f>
        <v>5</v>
      </c>
      <c r="J233" s="1">
        <f>INDEX('02 Emission rates'!$D$7:$D$15,I233)</f>
        <v>15845.527995946721</v>
      </c>
      <c r="K233" s="1">
        <f>INDEX('02 Emission rates'!$E$7:$E$15,I233)</f>
        <v>20.885654518874212</v>
      </c>
      <c r="L233" s="1">
        <f>INDEX('02 Emission rates'!$F$7:$F$15,I233)</f>
        <v>98.655405882152721</v>
      </c>
      <c r="M233" s="1">
        <f>INDEX('02 Emission rates'!$G$7:$G$15,I233)</f>
        <v>4.4998305826136002</v>
      </c>
      <c r="N233" s="1">
        <f t="shared" si="54"/>
        <v>4131.9704183341028</v>
      </c>
      <c r="O233" s="1">
        <f t="shared" si="55"/>
        <v>5.4462626087063457</v>
      </c>
      <c r="P233" s="1">
        <f t="shared" si="56"/>
        <v>25.725947334672199</v>
      </c>
      <c r="Q233" s="1">
        <f t="shared" si="57"/>
        <v>1.1734015338353276</v>
      </c>
      <c r="R233" s="1">
        <f t="shared" si="58"/>
        <v>612.88524683579476</v>
      </c>
      <c r="S233" s="1">
        <f t="shared" si="59"/>
        <v>10.493763520144579</v>
      </c>
      <c r="T233" s="1">
        <f t="shared" si="60"/>
        <v>172282.34845161482</v>
      </c>
      <c r="U233" s="1">
        <f t="shared" si="61"/>
        <v>231.07280766428903</v>
      </c>
      <c r="V233" s="1">
        <f t="shared" si="62"/>
        <v>1081.1791245083068</v>
      </c>
      <c r="W233" s="1">
        <f t="shared" si="63"/>
        <v>48.441394523366959</v>
      </c>
      <c r="X233" s="1"/>
      <c r="Y233" s="1"/>
      <c r="Z233" s="1"/>
      <c r="AA233" s="1"/>
      <c r="AB233" s="1"/>
      <c r="AC233" s="1"/>
      <c r="AD233" s="1"/>
      <c r="AE233" s="1"/>
    </row>
    <row r="234" spans="1:31" ht="22.05" customHeight="1">
      <c r="A234" s="1">
        <f>'01 Traffic inputs'!B184</f>
        <v>0.12851903501538864</v>
      </c>
      <c r="B234" s="1">
        <f>'01 Traffic inputs'!C184</f>
        <v>2.7344210569105491E-3</v>
      </c>
      <c r="C234" s="1">
        <f>IF('01 Traffic inputs'!$B$16&lt;=2/3,(4*A234*(1-A234))^$B$16,1-ABS(2*A234-1)^$B$17)</f>
        <v>6.5407940938207426E-2</v>
      </c>
      <c r="D234" s="1">
        <f>IF('01 Traffic inputs'!$B$16&lt;=2/3,4*$B$16*(1-2*A234)*(4*A234*(1-A234))^($B$16-1),-2*$B$17*SIGN(2*A234-1)*ABS(2*A234-1)^($B$17-1))</f>
        <v>1.4736308689540938</v>
      </c>
      <c r="E234" s="1">
        <f t="shared" si="51"/>
        <v>13.344522789733345</v>
      </c>
      <c r="F234" s="1">
        <f t="shared" si="52"/>
        <v>1.9959603929138054E-2</v>
      </c>
      <c r="G234" s="1">
        <f t="shared" si="53"/>
        <v>0.266351389506434</v>
      </c>
      <c r="H234" s="1">
        <f>'01 Traffic inputs'!$B$8/F234</f>
        <v>52.105242353119799</v>
      </c>
      <c r="I234" s="1">
        <f>MATCH(H234,'02 Emission rates'!$A$7:$A$15,1)</f>
        <v>5</v>
      </c>
      <c r="J234" s="1">
        <f>INDEX('02 Emission rates'!$D$7:$D$15,I234)</f>
        <v>15845.527995946721</v>
      </c>
      <c r="K234" s="1">
        <f>INDEX('02 Emission rates'!$E$7:$E$15,I234)</f>
        <v>20.885654518874212</v>
      </c>
      <c r="L234" s="1">
        <f>INDEX('02 Emission rates'!$F$7:$F$15,I234)</f>
        <v>98.655405882152721</v>
      </c>
      <c r="M234" s="1">
        <f>INDEX('02 Emission rates'!$G$7:$G$15,I234)</f>
        <v>4.4998305826136002</v>
      </c>
      <c r="N234" s="1">
        <f t="shared" si="54"/>
        <v>4220.4783991835093</v>
      </c>
      <c r="O234" s="1">
        <f t="shared" si="55"/>
        <v>5.5629231018534782</v>
      </c>
      <c r="P234" s="1">
        <f t="shared" si="56"/>
        <v>26.277004439032599</v>
      </c>
      <c r="Q234" s="1">
        <f t="shared" si="57"/>
        <v>1.198536128222679</v>
      </c>
      <c r="R234" s="1">
        <f t="shared" si="58"/>
        <v>626.22976962552809</v>
      </c>
      <c r="S234" s="1">
        <f t="shared" si="59"/>
        <v>10.760114909651014</v>
      </c>
      <c r="T234" s="1">
        <f t="shared" si="60"/>
        <v>176502.82685079833</v>
      </c>
      <c r="U234" s="1">
        <f t="shared" si="61"/>
        <v>236.6357307661425</v>
      </c>
      <c r="V234" s="1">
        <f t="shared" si="62"/>
        <v>1107.4561289473395</v>
      </c>
      <c r="W234" s="1">
        <f t="shared" si="63"/>
        <v>49.639930651589637</v>
      </c>
      <c r="X234" s="1"/>
      <c r="Y234" s="1"/>
      <c r="Z234" s="1"/>
      <c r="AA234" s="1"/>
      <c r="AB234" s="1"/>
      <c r="AC234" s="1"/>
      <c r="AD234" s="1"/>
      <c r="AE234" s="1"/>
    </row>
    <row r="235" spans="1:31" ht="22.05" customHeight="1">
      <c r="A235" s="1">
        <f>'01 Traffic inputs'!B185</f>
        <v>0.13126582534898507</v>
      </c>
      <c r="B235" s="1">
        <f>'01 Traffic inputs'!C185</f>
        <v>2.7591290482804356E-3</v>
      </c>
      <c r="C235" s="1">
        <f>IF('01 Traffic inputs'!$B$16&lt;=2/3,(4*A235*(1-A235))^$B$16,1-ABS(2*A235-1)^$B$17)</f>
        <v>6.9529191972433319E-2</v>
      </c>
      <c r="D235" s="1">
        <f>IF('01 Traffic inputs'!$B$16&lt;=2/3,4*$B$16*(1-2*A235)*(4*A235*(1-A235))^($B$16-1),-2*$B$17*SIGN(2*A235-1)*ABS(2*A235-1)^($B$17-1))</f>
        <v>1.5271757596565345</v>
      </c>
      <c r="E235" s="1">
        <f t="shared" si="51"/>
        <v>13.474220875205676</v>
      </c>
      <c r="F235" s="1">
        <f t="shared" si="52"/>
        <v>2.0195915431874739E-2</v>
      </c>
      <c r="G235" s="1">
        <f t="shared" si="53"/>
        <v>0.27212422530605507</v>
      </c>
      <c r="H235" s="1">
        <f>'01 Traffic inputs'!$B$8/F235</f>
        <v>51.495561243963863</v>
      </c>
      <c r="I235" s="1">
        <f>MATCH(H235,'02 Emission rates'!$A$7:$A$15,1)</f>
        <v>5</v>
      </c>
      <c r="J235" s="1">
        <f>INDEX('02 Emission rates'!$D$7:$D$15,I235)</f>
        <v>15845.527995946721</v>
      </c>
      <c r="K235" s="1">
        <f>INDEX('02 Emission rates'!$E$7:$E$15,I235)</f>
        <v>20.885654518874212</v>
      </c>
      <c r="L235" s="1">
        <f>INDEX('02 Emission rates'!$F$7:$F$15,I235)</f>
        <v>98.655405882152721</v>
      </c>
      <c r="M235" s="1">
        <f>INDEX('02 Emission rates'!$G$7:$G$15,I235)</f>
        <v>4.4998305826136002</v>
      </c>
      <c r="N235" s="1">
        <f t="shared" si="54"/>
        <v>4311.9520304624084</v>
      </c>
      <c r="O235" s="1">
        <f t="shared" si="55"/>
        <v>5.6834925559585532</v>
      </c>
      <c r="P235" s="1">
        <f t="shared" si="56"/>
        <v>26.846525897935237</v>
      </c>
      <c r="Q235" s="1">
        <f t="shared" si="57"/>
        <v>1.2245129113022204</v>
      </c>
      <c r="R235" s="1">
        <f t="shared" si="58"/>
        <v>639.70399050073377</v>
      </c>
      <c r="S235" s="1">
        <f t="shared" si="59"/>
        <v>11.032239134957068</v>
      </c>
      <c r="T235" s="1">
        <f t="shared" si="60"/>
        <v>180814.77888126075</v>
      </c>
      <c r="U235" s="1">
        <f t="shared" si="61"/>
        <v>242.31922332210107</v>
      </c>
      <c r="V235" s="1">
        <f t="shared" si="62"/>
        <v>1134.3026548452747</v>
      </c>
      <c r="W235" s="1">
        <f t="shared" si="63"/>
        <v>50.864443562891857</v>
      </c>
      <c r="X235" s="1"/>
      <c r="Y235" s="1"/>
      <c r="Z235" s="1"/>
      <c r="AA235" s="1"/>
      <c r="AB235" s="1"/>
      <c r="AC235" s="1"/>
      <c r="AD235" s="1"/>
      <c r="AE235" s="1"/>
    </row>
    <row r="236" spans="1:31" ht="22.05" customHeight="1">
      <c r="A236" s="1">
        <f>'01 Traffic inputs'!B186</f>
        <v>0.13403723171364662</v>
      </c>
      <c r="B236" s="1">
        <f>'01 Traffic inputs'!C186</f>
        <v>2.7836528451519577E-3</v>
      </c>
      <c r="C236" s="1">
        <f>IF('01 Traffic inputs'!$B$16&lt;=2/3,(4*A236*(1-A236))^$B$16,1-ABS(2*A236-1)^$B$17)</f>
        <v>7.383667136709593E-2</v>
      </c>
      <c r="D236" s="1">
        <f>IF('01 Traffic inputs'!$B$16&lt;=2/3,4*$B$16*(1-2*A236)*(4*A236*(1-A236))^($B$16-1),-2*$B$17*SIGN(2*A236-1)*ABS(2*A236-1)^($B$17-1))</f>
        <v>1.5813622734191732</v>
      </c>
      <c r="E236" s="1">
        <f t="shared" si="51"/>
        <v>13.603292375786367</v>
      </c>
      <c r="F236" s="1">
        <f t="shared" si="52"/>
        <v>2.0442905222185156E-2</v>
      </c>
      <c r="G236" s="1">
        <f t="shared" si="53"/>
        <v>0.27809081674787467</v>
      </c>
      <c r="H236" s="1">
        <f>'01 Traffic inputs'!$B$8/F236</f>
        <v>50.873395375887483</v>
      </c>
      <c r="I236" s="1">
        <f>MATCH(H236,'02 Emission rates'!$A$7:$A$15,1)</f>
        <v>5</v>
      </c>
      <c r="J236" s="1">
        <f>INDEX('02 Emission rates'!$D$7:$D$15,I236)</f>
        <v>15845.527995946721</v>
      </c>
      <c r="K236" s="1">
        <f>INDEX('02 Emission rates'!$E$7:$E$15,I236)</f>
        <v>20.885654518874212</v>
      </c>
      <c r="L236" s="1">
        <f>INDEX('02 Emission rates'!$F$7:$F$15,I236)</f>
        <v>98.655405882152721</v>
      </c>
      <c r="M236" s="1">
        <f>INDEX('02 Emission rates'!$G$7:$G$15,I236)</f>
        <v>4.4998305826136002</v>
      </c>
      <c r="N236" s="1">
        <f t="shared" si="54"/>
        <v>4406.495822194137</v>
      </c>
      <c r="O236" s="1">
        <f t="shared" si="55"/>
        <v>5.8081087234676687</v>
      </c>
      <c r="P236" s="1">
        <f t="shared" si="56"/>
        <v>27.43516239836093</v>
      </c>
      <c r="Q236" s="1">
        <f t="shared" si="57"/>
        <v>1.2513615619460807</v>
      </c>
      <c r="R236" s="1">
        <f t="shared" si="58"/>
        <v>653.30728287652016</v>
      </c>
      <c r="S236" s="1">
        <f t="shared" si="59"/>
        <v>11.310329951704944</v>
      </c>
      <c r="T236" s="1">
        <f t="shared" si="60"/>
        <v>185221.2747034549</v>
      </c>
      <c r="U236" s="1">
        <f t="shared" si="61"/>
        <v>248.12733204556872</v>
      </c>
      <c r="V236" s="1">
        <f t="shared" si="62"/>
        <v>1161.7378172436356</v>
      </c>
      <c r="W236" s="1">
        <f t="shared" si="63"/>
        <v>52.115805124837941</v>
      </c>
      <c r="X236" s="1"/>
      <c r="Y236" s="1"/>
      <c r="Z236" s="1"/>
      <c r="AA236" s="1"/>
      <c r="AB236" s="1"/>
      <c r="AC236" s="1"/>
      <c r="AD236" s="1"/>
      <c r="AE236" s="1"/>
    </row>
    <row r="237" spans="1:31" ht="22.05" customHeight="1">
      <c r="A237" s="1">
        <f>'01 Traffic inputs'!B187</f>
        <v>0.13683306909526333</v>
      </c>
      <c r="B237" s="1">
        <f>'01 Traffic inputs'!C187</f>
        <v>2.8079908103604708E-3</v>
      </c>
      <c r="C237" s="1">
        <f>IF('01 Traffic inputs'!$B$16&lt;=2/3,(4*A237*(1-A237))^$B$16,1-ABS(2*A237-1)^$B$17)</f>
        <v>7.8334456686710602E-2</v>
      </c>
      <c r="D237" s="1">
        <f>IF('01 Traffic inputs'!$B$16&lt;=2/3,4*$B$16*(1-2*A237)*(4*A237*(1-A237))^($B$16-1),-2*$B$17*SIGN(2*A237-1)*ABS(2*A237-1)^($B$17-1))</f>
        <v>1.6361393851326793</v>
      </c>
      <c r="E237" s="1">
        <f t="shared" si="51"/>
        <v>13.731721507858598</v>
      </c>
      <c r="F237" s="1">
        <f t="shared" si="52"/>
        <v>2.0700807106597979E-2</v>
      </c>
      <c r="G237" s="1">
        <f t="shared" si="53"/>
        <v>0.28425771817570356</v>
      </c>
      <c r="H237" s="1">
        <f>'01 Traffic inputs'!$B$8/F237</f>
        <v>50.239587019220174</v>
      </c>
      <c r="I237" s="1">
        <f>MATCH(H237,'02 Emission rates'!$A$7:$A$15,1)</f>
        <v>5</v>
      </c>
      <c r="J237" s="1">
        <f>INDEX('02 Emission rates'!$D$7:$D$15,I237)</f>
        <v>15845.527995946721</v>
      </c>
      <c r="K237" s="1">
        <f>INDEX('02 Emission rates'!$E$7:$E$15,I237)</f>
        <v>20.885654518874212</v>
      </c>
      <c r="L237" s="1">
        <f>INDEX('02 Emission rates'!$F$7:$F$15,I237)</f>
        <v>98.655405882152721</v>
      </c>
      <c r="M237" s="1">
        <f>INDEX('02 Emission rates'!$G$7:$G$15,I237)</f>
        <v>4.4998305826136002</v>
      </c>
      <c r="N237" s="1">
        <f t="shared" si="54"/>
        <v>4504.2136314170439</v>
      </c>
      <c r="O237" s="1">
        <f t="shared" si="55"/>
        <v>5.936908496141255</v>
      </c>
      <c r="P237" s="1">
        <f t="shared" si="56"/>
        <v>28.043560561758614</v>
      </c>
      <c r="Q237" s="1">
        <f t="shared" si="57"/>
        <v>1.2791115735909888</v>
      </c>
      <c r="R237" s="1">
        <f t="shared" si="58"/>
        <v>667.03900438437881</v>
      </c>
      <c r="S237" s="1">
        <f t="shared" si="59"/>
        <v>11.594587669880648</v>
      </c>
      <c r="T237" s="1">
        <f t="shared" si="60"/>
        <v>189725.48833487194</v>
      </c>
      <c r="U237" s="1">
        <f t="shared" si="61"/>
        <v>254.06424054170998</v>
      </c>
      <c r="V237" s="1">
        <f t="shared" si="62"/>
        <v>1189.7813778053942</v>
      </c>
      <c r="W237" s="1">
        <f t="shared" si="63"/>
        <v>53.394916698428929</v>
      </c>
      <c r="X237" s="1"/>
      <c r="Y237" s="1"/>
      <c r="Z237" s="1"/>
      <c r="AA237" s="1"/>
      <c r="AB237" s="1"/>
      <c r="AC237" s="1"/>
      <c r="AD237" s="1"/>
      <c r="AE237" s="1"/>
    </row>
    <row r="238" spans="1:31" ht="22.05" customHeight="1">
      <c r="A238" s="1">
        <f>'01 Traffic inputs'!B188</f>
        <v>0.1396531508487544</v>
      </c>
      <c r="B238" s="1">
        <f>'01 Traffic inputs'!C188</f>
        <v>2.8321413191470619E-3</v>
      </c>
      <c r="C238" s="1">
        <f>IF('01 Traffic inputs'!$B$16&lt;=2/3,(4*A238*(1-A238))^$B$16,1-ABS(2*A238-1)^$B$17)</f>
        <v>8.302649053623401E-2</v>
      </c>
      <c r="D238" s="1">
        <f>IF('01 Traffic inputs'!$B$16&lt;=2/3,4*$B$16*(1-2*A238)*(4*A238*(1-A238))^($B$16-1),-2*$B$17*SIGN(2*A238-1)*ABS(2*A238-1)^($B$17-1))</f>
        <v>1.691453753433779</v>
      </c>
      <c r="E238" s="1">
        <f t="shared" si="51"/>
        <v>13.859491773240501</v>
      </c>
      <c r="F238" s="1">
        <f t="shared" si="52"/>
        <v>2.0969847153094575E-2</v>
      </c>
      <c r="G238" s="1">
        <f t="shared" si="53"/>
        <v>0.290631424104425</v>
      </c>
      <c r="H238" s="1">
        <f>'01 Traffic inputs'!$B$8/F238</f>
        <v>49.595020526725442</v>
      </c>
      <c r="I238" s="1">
        <f>MATCH(H238,'02 Emission rates'!$A$7:$A$15,1)</f>
        <v>4</v>
      </c>
      <c r="J238" s="1">
        <f>INDEX('02 Emission rates'!$D$7:$D$15,I238)</f>
        <v>12537.329389053953</v>
      </c>
      <c r="K238" s="1">
        <f>INDEX('02 Emission rates'!$E$7:$E$15,I238)</f>
        <v>15.864045153632283</v>
      </c>
      <c r="L238" s="1">
        <f>INDEX('02 Emission rates'!$F$7:$F$15,I238)</f>
        <v>136.02153223377903</v>
      </c>
      <c r="M238" s="1">
        <f>INDEX('02 Emission rates'!$G$7:$G$15,I238)</f>
        <v>4.8429827864262895</v>
      </c>
      <c r="N238" s="1">
        <f t="shared" si="54"/>
        <v>3643.7418948070112</v>
      </c>
      <c r="O238" s="1">
        <f t="shared" si="55"/>
        <v>4.6105900350570517</v>
      </c>
      <c r="P238" s="1">
        <f t="shared" si="56"/>
        <v>39.53213162196915</v>
      </c>
      <c r="Q238" s="1">
        <f t="shared" si="57"/>
        <v>1.4075229841322889</v>
      </c>
      <c r="R238" s="1">
        <f t="shared" si="58"/>
        <v>680.89849615761932</v>
      </c>
      <c r="S238" s="1">
        <f t="shared" si="59"/>
        <v>11.885219093985073</v>
      </c>
      <c r="T238" s="1">
        <f t="shared" si="60"/>
        <v>193369.23022967894</v>
      </c>
      <c r="U238" s="1">
        <f t="shared" si="61"/>
        <v>258.67483057676702</v>
      </c>
      <c r="V238" s="1">
        <f t="shared" si="62"/>
        <v>1229.3135094273634</v>
      </c>
      <c r="W238" s="1">
        <f t="shared" si="63"/>
        <v>54.802439682561221</v>
      </c>
      <c r="X238" s="1"/>
      <c r="Y238" s="1"/>
      <c r="Z238" s="1"/>
      <c r="AA238" s="1"/>
      <c r="AB238" s="1"/>
      <c r="AC238" s="1"/>
      <c r="AD238" s="1"/>
      <c r="AE238" s="1"/>
    </row>
    <row r="239" spans="1:31" ht="22.05" customHeight="1">
      <c r="A239" s="1">
        <f>'01 Traffic inputs'!B189</f>
        <v>0.14249728871052841</v>
      </c>
      <c r="B239" s="1">
        <f>'01 Traffic inputs'!C189</f>
        <v>2.8561027592673119E-3</v>
      </c>
      <c r="C239" s="1">
        <f>IF('01 Traffic inputs'!$B$16&lt;=2/3,(4*A239*(1-A239))^$B$16,1-ABS(2*A239-1)^$B$17)</f>
        <v>8.7916567996367462E-2</v>
      </c>
      <c r="D239" s="1">
        <f>IF('01 Traffic inputs'!$B$16&lt;=2/3,4*$B$16*(1-2*A239)*(4*A239*(1-A239))^($B$16-1),-2*$B$17*SIGN(2*A239-1)*ABS(2*A239-1)^($B$17-1))</f>
        <v>1.7472497713042783</v>
      </c>
      <c r="E239" s="1">
        <f t="shared" si="51"/>
        <v>13.986585957030615</v>
      </c>
      <c r="F239" s="1">
        <f t="shared" si="52"/>
        <v>2.1250242970652436E-2</v>
      </c>
      <c r="G239" s="1">
        <f t="shared" si="53"/>
        <v>0.29721834991681589</v>
      </c>
      <c r="H239" s="1">
        <f>'01 Traffic inputs'!$B$8/F239</f>
        <v>48.940616887830807</v>
      </c>
      <c r="I239" s="1">
        <f>MATCH(H239,'02 Emission rates'!$A$7:$A$15,1)</f>
        <v>4</v>
      </c>
      <c r="J239" s="1">
        <f>INDEX('02 Emission rates'!$D$7:$D$15,I239)</f>
        <v>12537.329389053953</v>
      </c>
      <c r="K239" s="1">
        <f>INDEX('02 Emission rates'!$E$7:$E$15,I239)</f>
        <v>15.864045153632283</v>
      </c>
      <c r="L239" s="1">
        <f>INDEX('02 Emission rates'!$F$7:$F$15,I239)</f>
        <v>136.02153223377903</v>
      </c>
      <c r="M239" s="1">
        <f>INDEX('02 Emission rates'!$G$7:$G$15,I239)</f>
        <v>4.8429827864262895</v>
      </c>
      <c r="N239" s="1">
        <f t="shared" si="54"/>
        <v>3726.3243533782174</v>
      </c>
      <c r="O239" s="1">
        <f t="shared" si="55"/>
        <v>4.7150853235684469</v>
      </c>
      <c r="P239" s="1">
        <f t="shared" si="56"/>
        <v>40.428095363680789</v>
      </c>
      <c r="Q239" s="1">
        <f t="shared" si="57"/>
        <v>1.4394233524571649</v>
      </c>
      <c r="R239" s="1">
        <f t="shared" si="58"/>
        <v>694.88508211464989</v>
      </c>
      <c r="S239" s="1">
        <f t="shared" si="59"/>
        <v>12.18243744390189</v>
      </c>
      <c r="T239" s="1">
        <f t="shared" si="60"/>
        <v>197095.55458305715</v>
      </c>
      <c r="U239" s="1">
        <f t="shared" si="61"/>
        <v>263.3899159003355</v>
      </c>
      <c r="V239" s="1">
        <f t="shared" si="62"/>
        <v>1269.7416047910442</v>
      </c>
      <c r="W239" s="1">
        <f t="shared" si="63"/>
        <v>56.241863035018383</v>
      </c>
      <c r="X239" s="1"/>
      <c r="Y239" s="1"/>
      <c r="Z239" s="1"/>
      <c r="AA239" s="1"/>
      <c r="AB239" s="1"/>
      <c r="AC239" s="1"/>
      <c r="AD239" s="1"/>
      <c r="AE239" s="1"/>
    </row>
    <row r="240" spans="1:31" ht="22.05" customHeight="1">
      <c r="A240" s="1">
        <f>'01 Traffic inputs'!B190</f>
        <v>0.14536529281105126</v>
      </c>
      <c r="B240" s="1">
        <f>'01 Traffic inputs'!C190</f>
        <v>2.8798735310984406E-3</v>
      </c>
      <c r="C240" s="1">
        <f>IF('01 Traffic inputs'!$B$16&lt;=2/3,(4*A240*(1-A240))^$B$16,1-ABS(2*A240-1)^$B$17)</f>
        <v>9.3008324031027143E-2</v>
      </c>
      <c r="D240" s="1">
        <f>IF('01 Traffic inputs'!$B$16&lt;=2/3,4*$B$16*(1-2*A240)*(4*A240*(1-A240))^($B$16-1),-2*$B$17*SIGN(2*A240-1)*ABS(2*A240-1)^($B$17-1))</f>
        <v>1.8034696220579105</v>
      </c>
      <c r="E240" s="1">
        <f t="shared" si="51"/>
        <v>14.112986127367693</v>
      </c>
      <c r="F240" s="1">
        <f t="shared" si="52"/>
        <v>2.1542202987192664E-2</v>
      </c>
      <c r="G240" s="1">
        <f t="shared" si="53"/>
        <v>0.30402481191118896</v>
      </c>
      <c r="H240" s="1">
        <f>'01 Traffic inputs'!$B$8/F240</f>
        <v>48.277328025287126</v>
      </c>
      <c r="I240" s="1">
        <f>MATCH(H240,'02 Emission rates'!$A$7:$A$15,1)</f>
        <v>4</v>
      </c>
      <c r="J240" s="1">
        <f>INDEX('02 Emission rates'!$D$7:$D$15,I240)</f>
        <v>12537.329389053953</v>
      </c>
      <c r="K240" s="1">
        <f>INDEX('02 Emission rates'!$E$7:$E$15,I240)</f>
        <v>15.864045153632283</v>
      </c>
      <c r="L240" s="1">
        <f>INDEX('02 Emission rates'!$F$7:$F$15,I240)</f>
        <v>136.02153223377903</v>
      </c>
      <c r="M240" s="1">
        <f>INDEX('02 Emission rates'!$G$7:$G$15,I240)</f>
        <v>4.8429827864262895</v>
      </c>
      <c r="N240" s="1">
        <f t="shared" si="54"/>
        <v>3811.6592093757499</v>
      </c>
      <c r="O240" s="1">
        <f t="shared" si="55"/>
        <v>4.8230633439836632</v>
      </c>
      <c r="P240" s="1">
        <f t="shared" si="56"/>
        <v>41.353920753246392</v>
      </c>
      <c r="Q240" s="1">
        <f t="shared" si="57"/>
        <v>1.4723869307323785</v>
      </c>
      <c r="R240" s="1">
        <f t="shared" si="58"/>
        <v>708.99806824201755</v>
      </c>
      <c r="S240" s="1">
        <f t="shared" si="59"/>
        <v>12.486462255813079</v>
      </c>
      <c r="T240" s="1">
        <f t="shared" si="60"/>
        <v>200907.21379243291</v>
      </c>
      <c r="U240" s="1">
        <f t="shared" si="61"/>
        <v>268.21297924431917</v>
      </c>
      <c r="V240" s="1">
        <f t="shared" si="62"/>
        <v>1311.0955255442907</v>
      </c>
      <c r="W240" s="1">
        <f t="shared" si="63"/>
        <v>57.71424996575076</v>
      </c>
      <c r="X240" s="1"/>
      <c r="Y240" s="1"/>
      <c r="Z240" s="1"/>
      <c r="AA240" s="1"/>
      <c r="AB240" s="1"/>
      <c r="AC240" s="1"/>
      <c r="AD240" s="1"/>
      <c r="AE240" s="1"/>
    </row>
    <row r="241" spans="1:31" ht="22.05" customHeight="1">
      <c r="A241" s="1">
        <f>'01 Traffic inputs'!B191</f>
        <v>0.14825697168752167</v>
      </c>
      <c r="B241" s="1">
        <f>'01 Traffic inputs'!C191</f>
        <v>2.9034520477464235E-3</v>
      </c>
      <c r="C241" s="1">
        <f>IF('01 Traffic inputs'!$B$16&lt;=2/3,(4*A241*(1-A241))^$B$16,1-ABS(2*A241-1)^$B$17)</f>
        <v>9.8305220898445803E-2</v>
      </c>
      <c r="D241" s="1">
        <f>IF('01 Traffic inputs'!$B$16&lt;=2/3,4*$B$16*(1-2*A241)*(4*A241*(1-A241))^($B$16-1),-2*$B$17*SIGN(2*A241-1)*ABS(2*A241-1)^($B$17-1))</f>
        <v>1.8600533406573256</v>
      </c>
      <c r="E241" s="1">
        <f t="shared" si="51"/>
        <v>14.238673637151217</v>
      </c>
      <c r="F241" s="1">
        <f t="shared" si="52"/>
        <v>2.1845925727735707E-2</v>
      </c>
      <c r="G241" s="1">
        <f t="shared" si="53"/>
        <v>0.31105700673867392</v>
      </c>
      <c r="H241" s="1">
        <f>'01 Traffic inputs'!$B$8/F241</f>
        <v>47.606130907953734</v>
      </c>
      <c r="I241" s="1">
        <f>MATCH(H241,'02 Emission rates'!$A$7:$A$15,1)</f>
        <v>4</v>
      </c>
      <c r="J241" s="1">
        <f>INDEX('02 Emission rates'!$D$7:$D$15,I241)</f>
        <v>12537.329389053953</v>
      </c>
      <c r="K241" s="1">
        <f>INDEX('02 Emission rates'!$E$7:$E$15,I241)</f>
        <v>15.864045153632283</v>
      </c>
      <c r="L241" s="1">
        <f>INDEX('02 Emission rates'!$F$7:$F$15,I241)</f>
        <v>136.02153223377903</v>
      </c>
      <c r="M241" s="1">
        <f>INDEX('02 Emission rates'!$G$7:$G$15,I241)</f>
        <v>4.8429827864262895</v>
      </c>
      <c r="N241" s="1">
        <f t="shared" si="54"/>
        <v>3899.8241522559301</v>
      </c>
      <c r="O241" s="1">
        <f t="shared" si="55"/>
        <v>4.9346224002560248</v>
      </c>
      <c r="P241" s="1">
        <f t="shared" si="56"/>
        <v>42.310450668647356</v>
      </c>
      <c r="Q241" s="1">
        <f t="shared" si="57"/>
        <v>1.5064437292326842</v>
      </c>
      <c r="R241" s="1">
        <f t="shared" si="58"/>
        <v>723.23674187916879</v>
      </c>
      <c r="S241" s="1">
        <f t="shared" si="59"/>
        <v>12.797519262551752</v>
      </c>
      <c r="T241" s="1">
        <f t="shared" si="60"/>
        <v>204807.03794468884</v>
      </c>
      <c r="U241" s="1">
        <f t="shared" si="61"/>
        <v>273.14760164457522</v>
      </c>
      <c r="V241" s="1">
        <f t="shared" si="62"/>
        <v>1353.405976212938</v>
      </c>
      <c r="W241" s="1">
        <f t="shared" si="63"/>
        <v>59.220693694983446</v>
      </c>
      <c r="X241" s="1"/>
      <c r="Y241" s="1"/>
      <c r="Z241" s="1"/>
      <c r="AA241" s="1"/>
      <c r="AB241" s="1"/>
      <c r="AC241" s="1"/>
      <c r="AD241" s="1"/>
      <c r="AE241" s="1"/>
    </row>
    <row r="242" spans="1:31" ht="22.05" customHeight="1">
      <c r="A242" s="1">
        <f>'01 Traffic inputs'!B192</f>
        <v>0.15117213229665283</v>
      </c>
      <c r="B242" s="1">
        <f>'01 Traffic inputs'!C192</f>
        <v>2.9268367351518933E-3</v>
      </c>
      <c r="C242" s="1">
        <f>IF('01 Traffic inputs'!$B$16&lt;=2/3,(4*A242*(1-A242))^$B$16,1-ABS(2*A242-1)^$B$17)</f>
        <v>0.10381053559795204</v>
      </c>
      <c r="D242" s="1">
        <f>IF('01 Traffic inputs'!$B$16&lt;=2/3,4*$B$16*(1-2*A242)*(4*A242*(1-A242))^($B$16-1),-2*$B$17*SIGN(2*A242-1)*ABS(2*A242-1)^($B$17-1))</f>
        <v>1.9169388802913638</v>
      </c>
      <c r="E242" s="1">
        <f t="shared" si="51"/>
        <v>14.363629127750274</v>
      </c>
      <c r="F242" s="1">
        <f t="shared" si="52"/>
        <v>2.216159909460283E-2</v>
      </c>
      <c r="G242" s="1">
        <f t="shared" si="53"/>
        <v>0.31832099027276128</v>
      </c>
      <c r="H242" s="1">
        <f>'01 Traffic inputs'!$B$8/F242</f>
        <v>46.928021554784777</v>
      </c>
      <c r="I242" s="1">
        <f>MATCH(H242,'02 Emission rates'!$A$7:$A$15,1)</f>
        <v>3</v>
      </c>
      <c r="J242" s="1">
        <f>INDEX('02 Emission rates'!$D$7:$D$15,I242)</f>
        <v>9725.5949630613486</v>
      </c>
      <c r="K242" s="1">
        <f>INDEX('02 Emission rates'!$E$7:$E$15,I242)</f>
        <v>9.2521191106683567</v>
      </c>
      <c r="L242" s="1">
        <f>INDEX('02 Emission rates'!$F$7:$F$15,I242)</f>
        <v>91.70580434039428</v>
      </c>
      <c r="M242" s="1">
        <f>INDEX('02 Emission rates'!$G$7:$G$15,I242)</f>
        <v>3.6129593672116069</v>
      </c>
      <c r="N242" s="1">
        <f t="shared" si="54"/>
        <v>3095.8610196334675</v>
      </c>
      <c r="O242" s="1">
        <f t="shared" si="55"/>
        <v>2.9451437174294908</v>
      </c>
      <c r="P242" s="1">
        <f t="shared" si="56"/>
        <v>29.191882451394399</v>
      </c>
      <c r="Q242" s="1">
        <f t="shared" si="57"/>
        <v>1.1500808035860477</v>
      </c>
      <c r="R242" s="1">
        <f t="shared" si="58"/>
        <v>737.60037100691909</v>
      </c>
      <c r="S242" s="1">
        <f t="shared" si="59"/>
        <v>13.115840252824514</v>
      </c>
      <c r="T242" s="1">
        <f t="shared" si="60"/>
        <v>207902.89896432232</v>
      </c>
      <c r="U242" s="1">
        <f t="shared" si="61"/>
        <v>276.09274536200473</v>
      </c>
      <c r="V242" s="1">
        <f t="shared" si="62"/>
        <v>1382.5978586643323</v>
      </c>
      <c r="W242" s="1">
        <f t="shared" si="63"/>
        <v>60.370774498569496</v>
      </c>
      <c r="X242" s="1"/>
      <c r="Y242" s="1"/>
      <c r="Z242" s="1"/>
      <c r="AA242" s="1"/>
      <c r="AB242" s="1"/>
      <c r="AC242" s="1"/>
      <c r="AD242" s="1"/>
      <c r="AE242" s="1"/>
    </row>
    <row r="243" spans="1:31" ht="22.05" customHeight="1">
      <c r="A243" s="1">
        <f>'01 Traffic inputs'!B193</f>
        <v>0.15411058002755962</v>
      </c>
      <c r="B243" s="1">
        <f>'01 Traffic inputs'!C193</f>
        <v>2.9500260321949955E-3</v>
      </c>
      <c r="C243" s="1">
        <f>IF('01 Traffic inputs'!$B$16&lt;=2/3,(4*A243*(1-A243))^$B$16,1-ABS(2*A243-1)^$B$17)</f>
        <v>0.10952734738497487</v>
      </c>
      <c r="D243" s="1">
        <f>IF('01 Traffic inputs'!$B$16&lt;=2/3,4*$B$16*(1-2*A243)*(4*A243*(1-A243))^($B$16-1),-2*$B$17*SIGN(2*A243-1)*ABS(2*A243-1)^($B$17-1))</f>
        <v>1.9740621841306654</v>
      </c>
      <c r="E243" s="1">
        <f t="shared" si="51"/>
        <v>14.487832534729787</v>
      </c>
      <c r="F243" s="1">
        <f t="shared" si="52"/>
        <v>2.2489399651529574E-2</v>
      </c>
      <c r="G243" s="1">
        <f t="shared" si="53"/>
        <v>0.32582265595797089</v>
      </c>
      <c r="H243" s="1">
        <f>'01 Traffic inputs'!$B$8/F243</f>
        <v>46.244009004895197</v>
      </c>
      <c r="I243" s="1">
        <f>MATCH(H243,'02 Emission rates'!$A$7:$A$15,1)</f>
        <v>3</v>
      </c>
      <c r="J243" s="1">
        <f>INDEX('02 Emission rates'!$D$7:$D$15,I243)</f>
        <v>9725.5949630613486</v>
      </c>
      <c r="K243" s="1">
        <f>INDEX('02 Emission rates'!$E$7:$E$15,I243)</f>
        <v>9.2521191106683567</v>
      </c>
      <c r="L243" s="1">
        <f>INDEX('02 Emission rates'!$F$7:$F$15,I243)</f>
        <v>91.70580434039428</v>
      </c>
      <c r="M243" s="1">
        <f>INDEX('02 Emission rates'!$G$7:$G$15,I243)</f>
        <v>3.6129593672116069</v>
      </c>
      <c r="N243" s="1">
        <f t="shared" si="54"/>
        <v>3168.8191816361123</v>
      </c>
      <c r="O243" s="1">
        <f t="shared" si="55"/>
        <v>3.0145500218774637</v>
      </c>
      <c r="P243" s="1">
        <f t="shared" si="56"/>
        <v>29.879828736949278</v>
      </c>
      <c r="Q243" s="1">
        <f t="shared" si="57"/>
        <v>1.1771840168931156</v>
      </c>
      <c r="R243" s="1">
        <f t="shared" si="58"/>
        <v>752.08820354164891</v>
      </c>
      <c r="S243" s="1">
        <f t="shared" si="59"/>
        <v>13.441662908782485</v>
      </c>
      <c r="T243" s="1">
        <f t="shared" si="60"/>
        <v>211071.71814595844</v>
      </c>
      <c r="U243" s="1">
        <f t="shared" si="61"/>
        <v>279.10729538388222</v>
      </c>
      <c r="V243" s="1">
        <f t="shared" si="62"/>
        <v>1412.4776874012816</v>
      </c>
      <c r="W243" s="1">
        <f t="shared" si="63"/>
        <v>61.547958515462611</v>
      </c>
      <c r="X243" s="1"/>
      <c r="Y243" s="1"/>
      <c r="Z243" s="1"/>
      <c r="AA243" s="1"/>
      <c r="AB243" s="1"/>
      <c r="AC243" s="1"/>
      <c r="AD243" s="1"/>
      <c r="AE243" s="1"/>
    </row>
    <row r="244" spans="1:31" ht="22.05" customHeight="1">
      <c r="A244" s="1">
        <f>'01 Traffic inputs'!B194</f>
        <v>0.15707211871475052</v>
      </c>
      <c r="B244" s="1">
        <f>'01 Traffic inputs'!C194</f>
        <v>2.973018390799951E-3</v>
      </c>
      <c r="C244" s="1">
        <f>IF('01 Traffic inputs'!$B$16&lt;=2/3,(4*A244*(1-A244))^$B$16,1-ABS(2*A244-1)^$B$17)</f>
        <v>0.11545852538723418</v>
      </c>
      <c r="D244" s="1">
        <f>IF('01 Traffic inputs'!$B$16&lt;=2/3,4*$B$16*(1-2*A244)*(4*A244*(1-A244))^($B$16-1),-2*$B$17*SIGN(2*A244-1)*ABS(2*A244-1)^($B$17-1))</f>
        <v>2.0313572621677154</v>
      </c>
      <c r="E244" s="1">
        <f t="shared" si="51"/>
        <v>14.611263095620622</v>
      </c>
      <c r="F244" s="1">
        <f t="shared" si="52"/>
        <v>2.2829491913581246E-2</v>
      </c>
      <c r="G244" s="1">
        <f t="shared" si="53"/>
        <v>0.33356771268867907</v>
      </c>
      <c r="H244" s="1">
        <f>'01 Traffic inputs'!$B$8/F244</f>
        <v>45.555109326867033</v>
      </c>
      <c r="I244" s="1">
        <f>MATCH(H244,'02 Emission rates'!$A$7:$A$15,1)</f>
        <v>3</v>
      </c>
      <c r="J244" s="1">
        <f>INDEX('02 Emission rates'!$D$7:$D$15,I244)</f>
        <v>9725.5949630613486</v>
      </c>
      <c r="K244" s="1">
        <f>INDEX('02 Emission rates'!$E$7:$E$15,I244)</f>
        <v>9.2521191106683567</v>
      </c>
      <c r="L244" s="1">
        <f>INDEX('02 Emission rates'!$F$7:$F$15,I244)</f>
        <v>91.70580434039428</v>
      </c>
      <c r="M244" s="1">
        <f>INDEX('02 Emission rates'!$G$7:$G$15,I244)</f>
        <v>3.6129593672116069</v>
      </c>
      <c r="N244" s="1">
        <f t="shared" si="54"/>
        <v>3244.1444663649122</v>
      </c>
      <c r="O244" s="1">
        <f t="shared" si="55"/>
        <v>3.0862082092688592</v>
      </c>
      <c r="P244" s="1">
        <f t="shared" si="56"/>
        <v>30.590095394100857</v>
      </c>
      <c r="Q244" s="1">
        <f t="shared" si="57"/>
        <v>1.2051665921579131</v>
      </c>
      <c r="R244" s="1">
        <f t="shared" si="58"/>
        <v>766.69946663726955</v>
      </c>
      <c r="S244" s="1">
        <f t="shared" si="59"/>
        <v>13.775230621471163</v>
      </c>
      <c r="T244" s="1">
        <f t="shared" si="60"/>
        <v>214315.86261232334</v>
      </c>
      <c r="U244" s="1">
        <f t="shared" si="61"/>
        <v>282.19350359315109</v>
      </c>
      <c r="V244" s="1">
        <f t="shared" si="62"/>
        <v>1443.0677827953825</v>
      </c>
      <c r="W244" s="1">
        <f t="shared" si="63"/>
        <v>62.753125107620527</v>
      </c>
      <c r="X244" s="1"/>
      <c r="Y244" s="1"/>
      <c r="Z244" s="1"/>
      <c r="AA244" s="1"/>
      <c r="AB244" s="1"/>
      <c r="AC244" s="1"/>
      <c r="AD244" s="1"/>
      <c r="AE244" s="1"/>
    </row>
    <row r="245" spans="1:31" ht="22.05" customHeight="1">
      <c r="A245" s="1">
        <f>'01 Traffic inputs'!B195</f>
        <v>0.16005655065122332</v>
      </c>
      <c r="B245" s="1">
        <f>'01 Traffic inputs'!C195</f>
        <v>2.9958122760383233E-3</v>
      </c>
      <c r="C245" s="1">
        <f>IF('01 Traffic inputs'!$B$16&lt;=2/3,(4*A245*(1-A245))^$B$16,1-ABS(2*A245-1)^$B$17)</f>
        <v>0.12160671635540121</v>
      </c>
      <c r="D245" s="1">
        <f>IF('01 Traffic inputs'!$B$16&lt;=2/3,4*$B$16*(1-2*A245)*(4*A245*(1-A245))^($B$16-1),-2*$B$17*SIGN(2*A245-1)*ABS(2*A245-1)^($B$17-1))</f>
        <v>2.0887562730355822</v>
      </c>
      <c r="E245" s="1">
        <f t="shared" si="51"/>
        <v>14.733899359745976</v>
      </c>
      <c r="F245" s="1">
        <f t="shared" si="52"/>
        <v>2.3182027644778846E-2</v>
      </c>
      <c r="G245" s="1">
        <f t="shared" si="53"/>
        <v>0.34156166227302054</v>
      </c>
      <c r="H245" s="1">
        <f>'01 Traffic inputs'!$B$8/F245</f>
        <v>44.862339737320333</v>
      </c>
      <c r="I245" s="1">
        <f>MATCH(H245,'02 Emission rates'!$A$7:$A$15,1)</f>
        <v>3</v>
      </c>
      <c r="J245" s="1">
        <f>INDEX('02 Emission rates'!$D$7:$D$15,I245)</f>
        <v>9725.5949630613486</v>
      </c>
      <c r="K245" s="1">
        <f>INDEX('02 Emission rates'!$E$7:$E$15,I245)</f>
        <v>9.2521191106683567</v>
      </c>
      <c r="L245" s="1">
        <f>INDEX('02 Emission rates'!$F$7:$F$15,I245)</f>
        <v>91.70580434039428</v>
      </c>
      <c r="M245" s="1">
        <f>INDEX('02 Emission rates'!$G$7:$G$15,I245)</f>
        <v>3.6129593672116069</v>
      </c>
      <c r="N245" s="1">
        <f t="shared" si="54"/>
        <v>3321.8903821773501</v>
      </c>
      <c r="O245" s="1">
        <f t="shared" si="55"/>
        <v>3.1601691829878642</v>
      </c>
      <c r="P245" s="1">
        <f t="shared" si="56"/>
        <v>31.323186970589454</v>
      </c>
      <c r="Q245" s="1">
        <f t="shared" si="57"/>
        <v>1.2340484071896769</v>
      </c>
      <c r="R245" s="1">
        <f t="shared" si="58"/>
        <v>781.43336599701547</v>
      </c>
      <c r="S245" s="1">
        <f t="shared" si="59"/>
        <v>14.116792283744184</v>
      </c>
      <c r="T245" s="1">
        <f t="shared" si="60"/>
        <v>217637.75299450068</v>
      </c>
      <c r="U245" s="1">
        <f t="shared" si="61"/>
        <v>285.35367277613898</v>
      </c>
      <c r="V245" s="1">
        <f t="shared" si="62"/>
        <v>1474.3909697659719</v>
      </c>
      <c r="W245" s="1">
        <f t="shared" si="63"/>
        <v>63.987173514810202</v>
      </c>
      <c r="X245" s="1"/>
      <c r="Y245" s="1"/>
      <c r="Z245" s="1"/>
      <c r="AA245" s="1"/>
      <c r="AB245" s="1"/>
      <c r="AC245" s="1"/>
      <c r="AD245" s="1"/>
      <c r="AE245" s="1"/>
    </row>
    <row r="246" spans="1:31" ht="22.05" customHeight="1">
      <c r="A246" s="1">
        <f>'01 Traffic inputs'!B196</f>
        <v>0.16306367660166343</v>
      </c>
      <c r="B246" s="1">
        <f>'01 Traffic inputs'!C196</f>
        <v>3.018406166231038E-3</v>
      </c>
      <c r="C246" s="1">
        <f>IF('01 Traffic inputs'!$B$16&lt;=2/3,(4*A246*(1-A246))^$B$16,1-ABS(2*A246-1)^$B$17)</f>
        <v>0.12797433258174981</v>
      </c>
      <c r="D246" s="1">
        <f>IF('01 Traffic inputs'!$B$16&lt;=2/3,4*$B$16*(1-2*A246)*(4*A246*(1-A246))^($B$16-1),-2*$B$17*SIGN(2*A246-1)*ABS(2*A246-1)^($B$17-1))</f>
        <v>2.1461896106879745</v>
      </c>
      <c r="E246" s="1">
        <f t="shared" si="51"/>
        <v>14.855719200115916</v>
      </c>
      <c r="F246" s="1">
        <f t="shared" si="52"/>
        <v>2.3547145165357542E-2</v>
      </c>
      <c r="G246" s="1">
        <f t="shared" si="53"/>
        <v>0.34980977654091872</v>
      </c>
      <c r="H246" s="1">
        <f>'01 Traffic inputs'!$B$8/F246</f>
        <v>44.166712894353914</v>
      </c>
      <c r="I246" s="1">
        <f>MATCH(H246,'02 Emission rates'!$A$7:$A$15,1)</f>
        <v>3</v>
      </c>
      <c r="J246" s="1">
        <f>INDEX('02 Emission rates'!$D$7:$D$15,I246)</f>
        <v>9725.5949630613486</v>
      </c>
      <c r="K246" s="1">
        <f>INDEX('02 Emission rates'!$E$7:$E$15,I246)</f>
        <v>9.2521191106683567</v>
      </c>
      <c r="L246" s="1">
        <f>INDEX('02 Emission rates'!$F$7:$F$15,I246)</f>
        <v>91.70580434039428</v>
      </c>
      <c r="M246" s="1">
        <f>INDEX('02 Emission rates'!$G$7:$G$15,I246)</f>
        <v>3.6129593672116069</v>
      </c>
      <c r="N246" s="1">
        <f t="shared" si="54"/>
        <v>3402.1082007559748</v>
      </c>
      <c r="O246" s="1">
        <f t="shared" si="55"/>
        <v>3.2364817186328616</v>
      </c>
      <c r="P246" s="1">
        <f t="shared" si="56"/>
        <v>32.079586923818539</v>
      </c>
      <c r="Q246" s="1">
        <f t="shared" si="57"/>
        <v>1.2638485088957112</v>
      </c>
      <c r="R246" s="1">
        <f t="shared" si="58"/>
        <v>796.28908519713139</v>
      </c>
      <c r="S246" s="1">
        <f t="shared" si="59"/>
        <v>14.466602060285103</v>
      </c>
      <c r="T246" s="1">
        <f t="shared" si="60"/>
        <v>221039.86119525667</v>
      </c>
      <c r="U246" s="1">
        <f t="shared" si="61"/>
        <v>288.59015449477187</v>
      </c>
      <c r="V246" s="1">
        <f t="shared" si="62"/>
        <v>1506.4705566897906</v>
      </c>
      <c r="W246" s="1">
        <f t="shared" si="63"/>
        <v>65.251022023705914</v>
      </c>
      <c r="X246" s="1"/>
      <c r="Y246" s="1"/>
      <c r="Z246" s="1"/>
      <c r="AA246" s="1"/>
      <c r="AB246" s="1"/>
      <c r="AC246" s="1"/>
      <c r="AD246" s="1"/>
      <c r="AE246" s="1"/>
    </row>
    <row r="247" spans="1:31" ht="22.05" customHeight="1">
      <c r="A247" s="1">
        <f>'01 Traffic inputs'!B197</f>
        <v>0.16609329581574489</v>
      </c>
      <c r="B247" s="1">
        <f>'01 Traffic inputs'!C197</f>
        <v>3.0407985530508178E-3</v>
      </c>
      <c r="C247" s="1">
        <f>IF('01 Traffic inputs'!$B$16&lt;=2/3,(4*A247*(1-A247))^$B$16,1-ABS(2*A247-1)^$B$17)</f>
        <v>0.13456354002046325</v>
      </c>
      <c r="D247" s="1">
        <f>IF('01 Traffic inputs'!$B$16&lt;=2/3,4*$B$16*(1-2*A247)*(4*A247*(1-A247))^($B$16-1),-2*$B$17*SIGN(2*A247-1)*ABS(2*A247-1)^($B$17-1))</f>
        <v>2.2035859958118089</v>
      </c>
      <c r="E247" s="1">
        <f t="shared" si="51"/>
        <v>14.976699827404191</v>
      </c>
      <c r="F247" s="1">
        <f t="shared" si="52"/>
        <v>2.3924968670588062E-2</v>
      </c>
      <c r="G247" s="1">
        <f t="shared" si="53"/>
        <v>0.35831707415944691</v>
      </c>
      <c r="H247" s="1">
        <f>'01 Traffic inputs'!$B$8/F247</f>
        <v>43.469231425934311</v>
      </c>
      <c r="I247" s="1">
        <f>MATCH(H247,'02 Emission rates'!$A$7:$A$15,1)</f>
        <v>3</v>
      </c>
      <c r="J247" s="1">
        <f>INDEX('02 Emission rates'!$D$7:$D$15,I247)</f>
        <v>9725.5949630613486</v>
      </c>
      <c r="K247" s="1">
        <f>INDEX('02 Emission rates'!$E$7:$E$15,I247)</f>
        <v>9.2521191106683567</v>
      </c>
      <c r="L247" s="1">
        <f>INDEX('02 Emission rates'!$F$7:$F$15,I247)</f>
        <v>91.70580434039428</v>
      </c>
      <c r="M247" s="1">
        <f>INDEX('02 Emission rates'!$G$7:$G$15,I247)</f>
        <v>3.6129593672116069</v>
      </c>
      <c r="N247" s="1">
        <f t="shared" si="54"/>
        <v>3484.8467316239967</v>
      </c>
      <c r="O247" s="1">
        <f t="shared" si="55"/>
        <v>3.3151922495093897</v>
      </c>
      <c r="P247" s="1">
        <f t="shared" si="56"/>
        <v>32.859755494688784</v>
      </c>
      <c r="Q247" s="1">
        <f t="shared" si="57"/>
        <v>1.2945850295162298</v>
      </c>
      <c r="R247" s="1">
        <f t="shared" si="58"/>
        <v>811.2657850245356</v>
      </c>
      <c r="S247" s="1">
        <f t="shared" si="59"/>
        <v>14.824919134444549</v>
      </c>
      <c r="T247" s="1">
        <f t="shared" si="60"/>
        <v>224524.70792688066</v>
      </c>
      <c r="U247" s="1">
        <f t="shared" si="61"/>
        <v>291.90534674428125</v>
      </c>
      <c r="V247" s="1">
        <f t="shared" si="62"/>
        <v>1539.3303121844792</v>
      </c>
      <c r="W247" s="1">
        <f t="shared" si="63"/>
        <v>66.545607053222142</v>
      </c>
      <c r="X247" s="1"/>
      <c r="Y247" s="1"/>
      <c r="Z247" s="1"/>
      <c r="AA247" s="1"/>
      <c r="AB247" s="1"/>
      <c r="AC247" s="1"/>
      <c r="AD247" s="1"/>
      <c r="AE247" s="1"/>
    </row>
    <row r="248" spans="1:31" ht="22.05" customHeight="1">
      <c r="A248" s="1">
        <f>'01 Traffic inputs'!B198</f>
        <v>0.16914520604153171</v>
      </c>
      <c r="B248" s="1">
        <f>'01 Traffic inputs'!C198</f>
        <v>3.0629879416221319E-3</v>
      </c>
      <c r="C248" s="1">
        <f>IF('01 Traffic inputs'!$B$16&lt;=2/3,(4*A248*(1-A248))^$B$16,1-ABS(2*A248-1)^$B$17)</f>
        <v>0.14137624664330664</v>
      </c>
      <c r="D248" s="1">
        <f>IF('01 Traffic inputs'!$B$16&lt;=2/3,4*$B$16*(1-2*A248)*(4*A248*(1-A248))^($B$16-1),-2*$B$17*SIGN(2*A248-1)*ABS(2*A248-1)^($B$17-1))</f>
        <v>2.2608725718322229</v>
      </c>
      <c r="E248" s="1">
        <f t="shared" si="51"/>
        <v>15.096817805993277</v>
      </c>
      <c r="F248" s="1">
        <f t="shared" si="52"/>
        <v>2.4315607563093838E-2</v>
      </c>
      <c r="G248" s="1">
        <f t="shared" si="53"/>
        <v>0.36708829722205988</v>
      </c>
      <c r="H248" s="1">
        <f>'01 Traffic inputs'!$B$8/F248</f>
        <v>42.770882746871173</v>
      </c>
      <c r="I248" s="1">
        <f>MATCH(H248,'02 Emission rates'!$A$7:$A$15,1)</f>
        <v>3</v>
      </c>
      <c r="J248" s="1">
        <f>INDEX('02 Emission rates'!$D$7:$D$15,I248)</f>
        <v>9725.5949630613486</v>
      </c>
      <c r="K248" s="1">
        <f>INDEX('02 Emission rates'!$E$7:$E$15,I248)</f>
        <v>9.2521191106683567</v>
      </c>
      <c r="L248" s="1">
        <f>INDEX('02 Emission rates'!$F$7:$F$15,I248)</f>
        <v>91.70580434039428</v>
      </c>
      <c r="M248" s="1">
        <f>INDEX('02 Emission rates'!$G$7:$G$15,I248)</f>
        <v>3.6129593672116069</v>
      </c>
      <c r="N248" s="1">
        <f t="shared" si="54"/>
        <v>3570.1520944616327</v>
      </c>
      <c r="O248" s="1">
        <f t="shared" si="55"/>
        <v>3.396344650030926</v>
      </c>
      <c r="P248" s="1">
        <f t="shared" si="56"/>
        <v>33.664127560694723</v>
      </c>
      <c r="Q248" s="1">
        <f t="shared" si="57"/>
        <v>1.3262751020421997</v>
      </c>
      <c r="R248" s="1">
        <f t="shared" si="58"/>
        <v>826.36260283052889</v>
      </c>
      <c r="S248" s="1">
        <f t="shared" si="59"/>
        <v>15.192007431666608</v>
      </c>
      <c r="T248" s="1">
        <f t="shared" si="60"/>
        <v>228094.86002134229</v>
      </c>
      <c r="U248" s="1">
        <f t="shared" si="61"/>
        <v>295.30169139431217</v>
      </c>
      <c r="V248" s="1">
        <f t="shared" si="62"/>
        <v>1572.9944397451738</v>
      </c>
      <c r="W248" s="1">
        <f t="shared" si="63"/>
        <v>67.871882155264345</v>
      </c>
      <c r="X248" s="1"/>
      <c r="Y248" s="1"/>
      <c r="Z248" s="1"/>
      <c r="AA248" s="1"/>
      <c r="AB248" s="1"/>
      <c r="AC248" s="1"/>
      <c r="AD248" s="1"/>
      <c r="AE248" s="1"/>
    </row>
    <row r="249" spans="1:31" ht="22.05" customHeight="1">
      <c r="A249" s="1">
        <f>'01 Traffic inputs'!B199</f>
        <v>0.17221920353898001</v>
      </c>
      <c r="B249" s="1">
        <f>'01 Traffic inputs'!C199</f>
        <v>3.0849728506211049E-3</v>
      </c>
      <c r="C249" s="1">
        <f>IF('01 Traffic inputs'!$B$16&lt;=2/3,(4*A249*(1-A249))^$B$16,1-ABS(2*A249-1)^$B$17)</f>
        <v>0.14841409106433415</v>
      </c>
      <c r="D249" s="1">
        <f>IF('01 Traffic inputs'!$B$16&lt;=2/3,4*$B$16*(1-2*A249)*(4*A249*(1-A249))^($B$16-1),-2*$B$17*SIGN(2*A249-1)*ABS(2*A249-1)^($B$17-1))</f>
        <v>2.3179750053590311</v>
      </c>
      <c r="E249" s="1">
        <f t="shared" si="51"/>
        <v>15.216049072093861</v>
      </c>
      <c r="F249" s="1">
        <f t="shared" si="52"/>
        <v>2.4719155800594597E-2</v>
      </c>
      <c r="G249" s="1">
        <f t="shared" si="53"/>
        <v>0.37612788768258104</v>
      </c>
      <c r="H249" s="1">
        <f>'01 Traffic inputs'!$B$8/F249</f>
        <v>42.072634210873993</v>
      </c>
      <c r="I249" s="1">
        <f>MATCH(H249,'02 Emission rates'!$A$7:$A$15,1)</f>
        <v>3</v>
      </c>
      <c r="J249" s="1">
        <f>INDEX('02 Emission rates'!$D$7:$D$15,I249)</f>
        <v>9725.5949630613486</v>
      </c>
      <c r="K249" s="1">
        <f>INDEX('02 Emission rates'!$E$7:$E$15,I249)</f>
        <v>9.2521191106683567</v>
      </c>
      <c r="L249" s="1">
        <f>INDEX('02 Emission rates'!$F$7:$F$15,I249)</f>
        <v>91.70580434039428</v>
      </c>
      <c r="M249" s="1">
        <f>INDEX('02 Emission rates'!$G$7:$G$15,I249)</f>
        <v>3.6129593672116069</v>
      </c>
      <c r="N249" s="1">
        <f t="shared" si="54"/>
        <v>3658.0674899126147</v>
      </c>
      <c r="O249" s="1">
        <f t="shared" si="55"/>
        <v>3.4799800176833293</v>
      </c>
      <c r="P249" s="1">
        <f t="shared" si="56"/>
        <v>34.493110474784572</v>
      </c>
      <c r="Q249" s="1">
        <f t="shared" si="57"/>
        <v>1.3589347750722964</v>
      </c>
      <c r="R249" s="1">
        <f t="shared" si="58"/>
        <v>841.57865190262271</v>
      </c>
      <c r="S249" s="1">
        <f t="shared" si="59"/>
        <v>15.568135319349189</v>
      </c>
      <c r="T249" s="1">
        <f t="shared" si="60"/>
        <v>231752.92751125491</v>
      </c>
      <c r="U249" s="1">
        <f t="shared" si="61"/>
        <v>298.78167141199549</v>
      </c>
      <c r="V249" s="1">
        <f t="shared" si="62"/>
        <v>1607.4875502199584</v>
      </c>
      <c r="W249" s="1">
        <f t="shared" si="63"/>
        <v>69.230816930336644</v>
      </c>
      <c r="X249" s="1"/>
      <c r="Y249" s="1"/>
      <c r="Z249" s="1"/>
      <c r="AA249" s="1"/>
      <c r="AB249" s="1"/>
      <c r="AC249" s="1"/>
      <c r="AD249" s="1"/>
      <c r="AE249" s="1"/>
    </row>
    <row r="250" spans="1:31" ht="22.05" customHeight="1">
      <c r="A250" s="1">
        <f>'01 Traffic inputs'!B200</f>
        <v>0.17531508309353938</v>
      </c>
      <c r="B250" s="1">
        <f>'01 Traffic inputs'!C200</f>
        <v>3.1067518123748003E-3</v>
      </c>
      <c r="C250" s="1">
        <f>IF('01 Traffic inputs'!$B$16&lt;=2/3,(4*A250*(1-A250))^$B$16,1-ABS(2*A250-1)^$B$17)</f>
        <v>0.15567843146715965</v>
      </c>
      <c r="D250" s="1">
        <f>IF('01 Traffic inputs'!$B$16&lt;=2/3,4*$B$16*(1-2*A250)*(4*A250*(1-A250))^($B$16-1),-2*$B$17*SIGN(2*A250-1)*ABS(2*A250-1)^($B$17-1))</f>
        <v>2.3748175909129237</v>
      </c>
      <c r="E250" s="1">
        <f t="shared" si="51"/>
        <v>15.33436895392445</v>
      </c>
      <c r="F250" s="1">
        <f t="shared" si="52"/>
        <v>2.5135691260998787E-2</v>
      </c>
      <c r="G250" s="1">
        <f t="shared" si="53"/>
        <v>0.38543996370808992</v>
      </c>
      <c r="H250" s="1">
        <f>'01 Traffic inputs'!$B$8/F250</f>
        <v>41.375428636558425</v>
      </c>
      <c r="I250" s="1">
        <f>MATCH(H250,'02 Emission rates'!$A$7:$A$15,1)</f>
        <v>3</v>
      </c>
      <c r="J250" s="1">
        <f>INDEX('02 Emission rates'!$D$7:$D$15,I250)</f>
        <v>9725.5949630613486</v>
      </c>
      <c r="K250" s="1">
        <f>INDEX('02 Emission rates'!$E$7:$E$15,I250)</f>
        <v>9.2521191106683567</v>
      </c>
      <c r="L250" s="1">
        <f>INDEX('02 Emission rates'!$F$7:$F$15,I250)</f>
        <v>91.70580434039428</v>
      </c>
      <c r="M250" s="1">
        <f>INDEX('02 Emission rates'!$G$7:$G$15,I250)</f>
        <v>3.6129593672116069</v>
      </c>
      <c r="N250" s="1">
        <f t="shared" si="54"/>
        <v>3748.6329696019484</v>
      </c>
      <c r="O250" s="1">
        <f t="shared" si="55"/>
        <v>3.5661364542389364</v>
      </c>
      <c r="P250" s="1">
        <f t="shared" si="56"/>
        <v>35.347081896782768</v>
      </c>
      <c r="Q250" s="1">
        <f t="shared" si="57"/>
        <v>1.3925789273768452</v>
      </c>
      <c r="R250" s="1">
        <f t="shared" si="58"/>
        <v>856.91302085654718</v>
      </c>
      <c r="S250" s="1">
        <f t="shared" si="59"/>
        <v>15.953575283057278</v>
      </c>
      <c r="T250" s="1">
        <f t="shared" si="60"/>
        <v>235501.56048085686</v>
      </c>
      <c r="U250" s="1">
        <f t="shared" si="61"/>
        <v>302.3478078662344</v>
      </c>
      <c r="V250" s="1">
        <f t="shared" si="62"/>
        <v>1642.8346321167412</v>
      </c>
      <c r="W250" s="1">
        <f t="shared" si="63"/>
        <v>70.62339585771349</v>
      </c>
      <c r="X250" s="1"/>
      <c r="Y250" s="1"/>
      <c r="Z250" s="1"/>
      <c r="AA250" s="1"/>
      <c r="AB250" s="1"/>
      <c r="AC250" s="1"/>
      <c r="AD250" s="1"/>
      <c r="AE250" s="1"/>
    </row>
    <row r="251" spans="1:31" ht="22.05" customHeight="1">
      <c r="A251" s="1">
        <f>'01 Traffic inputs'!B201</f>
        <v>0.1784326380298526</v>
      </c>
      <c r="B251" s="1">
        <f>'01 Traffic inputs'!C201</f>
        <v>3.1283233729589334E-3</v>
      </c>
      <c r="C251" s="1">
        <f>IF('01 Traffic inputs'!$B$16&lt;=2/3,(4*A251*(1-A251))^$B$16,1-ABS(2*A251-1)^$B$17)</f>
        <v>0.16317033486808102</v>
      </c>
      <c r="D251" s="1">
        <f>IF('01 Traffic inputs'!$B$16&lt;=2/3,4*$B$16*(1-2*A251)*(4*A251*(1-A251))^($B$16-1),-2*$B$17*SIGN(2*A251-1)*ABS(2*A251-1)^($B$17-1))</f>
        <v>2.4313233597593036</v>
      </c>
      <c r="E251" s="1">
        <f t="shared" si="51"/>
        <v>15.451752193928765</v>
      </c>
      <c r="F251" s="1">
        <f t="shared" si="52"/>
        <v>2.5565275126753852E-2</v>
      </c>
      <c r="G251" s="1">
        <f t="shared" si="53"/>
        <v>0.39502829602821132</v>
      </c>
      <c r="H251" s="1">
        <f>'01 Traffic inputs'!$B$8/F251</f>
        <v>40.680180238376117</v>
      </c>
      <c r="I251" s="1">
        <f>MATCH(H251,'02 Emission rates'!$A$7:$A$15,1)</f>
        <v>3</v>
      </c>
      <c r="J251" s="1">
        <f>INDEX('02 Emission rates'!$D$7:$D$15,I251)</f>
        <v>9725.5949630613486</v>
      </c>
      <c r="K251" s="1">
        <f>INDEX('02 Emission rates'!$E$7:$E$15,I251)</f>
        <v>9.2521191106683567</v>
      </c>
      <c r="L251" s="1">
        <f>INDEX('02 Emission rates'!$F$7:$F$15,I251)</f>
        <v>91.70580434039428</v>
      </c>
      <c r="M251" s="1">
        <f>INDEX('02 Emission rates'!$G$7:$G$15,I251)</f>
        <v>3.6129593672116069</v>
      </c>
      <c r="N251" s="1">
        <f t="shared" si="54"/>
        <v>3841.8852061186794</v>
      </c>
      <c r="O251" s="1">
        <f t="shared" si="55"/>
        <v>3.6548488469373708</v>
      </c>
      <c r="P251" s="1">
        <f t="shared" si="56"/>
        <v>36.226387624482498</v>
      </c>
      <c r="Q251" s="1">
        <f t="shared" si="57"/>
        <v>1.4272211824487657</v>
      </c>
      <c r="R251" s="1">
        <f t="shared" si="58"/>
        <v>872.36477305047595</v>
      </c>
      <c r="S251" s="1">
        <f t="shared" si="59"/>
        <v>16.348603579085488</v>
      </c>
      <c r="T251" s="1">
        <f t="shared" si="60"/>
        <v>239343.44568697555</v>
      </c>
      <c r="U251" s="1">
        <f t="shared" si="61"/>
        <v>306.0026567131718</v>
      </c>
      <c r="V251" s="1">
        <f t="shared" si="62"/>
        <v>1679.0610197412236</v>
      </c>
      <c r="W251" s="1">
        <f t="shared" si="63"/>
        <v>72.050617040162251</v>
      </c>
      <c r="X251" s="1"/>
      <c r="Y251" s="1"/>
      <c r="Z251" s="1"/>
      <c r="AA251" s="1"/>
      <c r="AB251" s="1"/>
      <c r="AC251" s="1"/>
      <c r="AD251" s="1"/>
      <c r="AE251" s="1"/>
    </row>
    <row r="252" spans="1:31" ht="22.05" customHeight="1">
      <c r="A252" s="1">
        <f>'01 Traffic inputs'!B202</f>
        <v>0.18157166022555277</v>
      </c>
      <c r="B252" s="1">
        <f>'01 Traffic inputs'!C202</f>
        <v>3.1496860922946113E-3</v>
      </c>
      <c r="C252" s="1">
        <f>IF('01 Traffic inputs'!$B$16&lt;=2/3,(4*A252*(1-A252))^$B$16,1-ABS(2*A252-1)^$B$17)</f>
        <v>0.17089056674801859</v>
      </c>
      <c r="D252" s="1">
        <f>IF('01 Traffic inputs'!$B$16&lt;=2/3,4*$B$16*(1-2*A252)*(4*A252*(1-A252))^($B$16-1),-2*$B$17*SIGN(2*A252-1)*ABS(2*A252-1)^($B$17-1))</f>
        <v>2.4874141926675977</v>
      </c>
      <c r="E252" s="1">
        <f t="shared" si="51"/>
        <v>15.568172973010507</v>
      </c>
      <c r="F252" s="1">
        <f t="shared" si="52"/>
        <v>2.6007951290344163E-2</v>
      </c>
      <c r="G252" s="1">
        <f t="shared" si="53"/>
        <v>0.40489628436170971</v>
      </c>
      <c r="H252" s="1">
        <f>'01 Traffic inputs'!$B$8/F252</f>
        <v>39.987770985488417</v>
      </c>
      <c r="I252" s="1">
        <f>MATCH(H252,'02 Emission rates'!$A$7:$A$15,1)</f>
        <v>3</v>
      </c>
      <c r="J252" s="1">
        <f>INDEX('02 Emission rates'!$D$7:$D$15,I252)</f>
        <v>9725.5949630613486</v>
      </c>
      <c r="K252" s="1">
        <f>INDEX('02 Emission rates'!$E$7:$E$15,I252)</f>
        <v>9.2521191106683567</v>
      </c>
      <c r="L252" s="1">
        <f>INDEX('02 Emission rates'!$F$7:$F$15,I252)</f>
        <v>91.70580434039428</v>
      </c>
      <c r="M252" s="1">
        <f>INDEX('02 Emission rates'!$G$7:$G$15,I252)</f>
        <v>3.6129593672116069</v>
      </c>
      <c r="N252" s="1">
        <f t="shared" si="54"/>
        <v>3937.8572637504994</v>
      </c>
      <c r="O252" s="1">
        <f t="shared" si="55"/>
        <v>3.7461486503815835</v>
      </c>
      <c r="P252" s="1">
        <f t="shared" si="56"/>
        <v>37.131339431827598</v>
      </c>
      <c r="Q252" s="1">
        <f t="shared" si="57"/>
        <v>1.4628738233338137</v>
      </c>
      <c r="R252" s="1">
        <f t="shared" si="58"/>
        <v>887.93294602348647</v>
      </c>
      <c r="S252" s="1">
        <f t="shared" si="59"/>
        <v>16.753499863447196</v>
      </c>
      <c r="T252" s="1">
        <f t="shared" si="60"/>
        <v>243281.30295072607</v>
      </c>
      <c r="U252" s="1">
        <f t="shared" si="61"/>
        <v>309.7488053635534</v>
      </c>
      <c r="V252" s="1">
        <f t="shared" si="62"/>
        <v>1716.1923591730513</v>
      </c>
      <c r="W252" s="1">
        <f t="shared" si="63"/>
        <v>73.51349086349606</v>
      </c>
      <c r="X252" s="1"/>
      <c r="Y252" s="1"/>
      <c r="Z252" s="1"/>
      <c r="AA252" s="1"/>
      <c r="AB252" s="1"/>
      <c r="AC252" s="1"/>
      <c r="AD252" s="1"/>
      <c r="AE252" s="1"/>
    </row>
    <row r="253" spans="1:31" ht="22.05" customHeight="1">
      <c r="A253" s="1">
        <f>'01 Traffic inputs'!B203</f>
        <v>0.18473194012515753</v>
      </c>
      <c r="B253" s="1">
        <f>'01 Traffic inputs'!C203</f>
        <v>3.17083854424542E-3</v>
      </c>
      <c r="C253" s="1">
        <f>IF('01 Traffic inputs'!$B$16&lt;=2/3,(4*A253*(1-A253))^$B$16,1-ABS(2*A253-1)^$B$17)</f>
        <v>0.17883958108580056</v>
      </c>
      <c r="D253" s="1">
        <f>IF('01 Traffic inputs'!$B$16&lt;=2/3,4*$B$16*(1-2*A253)*(4*A253*(1-A253))^($B$16-1),-2*$B$17*SIGN(2*A253-1)*ABS(2*A253-1)^($B$17-1))</f>
        <v>2.5430109364041815</v>
      </c>
      <c r="E253" s="1">
        <f t="shared" si="51"/>
        <v>15.68360493676261</v>
      </c>
      <c r="F253" s="1">
        <f t="shared" si="52"/>
        <v>2.6463745782802098E-2</v>
      </c>
      <c r="G253" s="1">
        <f t="shared" si="53"/>
        <v>0.41504693400438569</v>
      </c>
      <c r="H253" s="1">
        <f>'01 Traffic inputs'!$B$8/F253</f>
        <v>39.299047403783696</v>
      </c>
      <c r="I253" s="1">
        <f>MATCH(H253,'02 Emission rates'!$A$7:$A$15,1)</f>
        <v>3</v>
      </c>
      <c r="J253" s="1">
        <f>INDEX('02 Emission rates'!$D$7:$D$15,I253)</f>
        <v>9725.5949630613486</v>
      </c>
      <c r="K253" s="1">
        <f>INDEX('02 Emission rates'!$E$7:$E$15,I253)</f>
        <v>9.2521191106683567</v>
      </c>
      <c r="L253" s="1">
        <f>INDEX('02 Emission rates'!$F$7:$F$15,I253)</f>
        <v>91.70580434039428</v>
      </c>
      <c r="M253" s="1">
        <f>INDEX('02 Emission rates'!$G$7:$G$15,I253)</f>
        <v>3.6129593672116069</v>
      </c>
      <c r="N253" s="1">
        <f t="shared" si="54"/>
        <v>4036.5783707871096</v>
      </c>
      <c r="O253" s="1">
        <f t="shared" si="55"/>
        <v>3.8400636699262849</v>
      </c>
      <c r="P253" s="1">
        <f t="shared" si="56"/>
        <v>38.062212921886733</v>
      </c>
      <c r="Q253" s="1">
        <f t="shared" si="57"/>
        <v>1.4995477080436028</v>
      </c>
      <c r="R253" s="1">
        <f t="shared" si="58"/>
        <v>903.61655096024913</v>
      </c>
      <c r="S253" s="1">
        <f t="shared" si="59"/>
        <v>17.168546797451583</v>
      </c>
      <c r="T253" s="1">
        <f t="shared" si="60"/>
        <v>247317.88132151318</v>
      </c>
      <c r="U253" s="1">
        <f t="shared" si="61"/>
        <v>313.58886903347968</v>
      </c>
      <c r="V253" s="1">
        <f t="shared" si="62"/>
        <v>1754.2545720949381</v>
      </c>
      <c r="W253" s="1">
        <f t="shared" si="63"/>
        <v>75.013038571539667</v>
      </c>
      <c r="X253" s="1"/>
      <c r="Y253" s="1"/>
      <c r="Z253" s="1"/>
      <c r="AA253" s="1"/>
      <c r="AB253" s="1"/>
      <c r="AC253" s="1"/>
      <c r="AD253" s="1"/>
      <c r="AE253" s="1"/>
    </row>
    <row r="254" spans="1:31" ht="22.05" customHeight="1">
      <c r="A254" s="1">
        <f>'01 Traffic inputs'!B204</f>
        <v>0.18791326675405817</v>
      </c>
      <c r="B254" s="1">
        <f>'01 Traffic inputs'!C204</f>
        <v>3.1917793167112961E-3</v>
      </c>
      <c r="C254" s="1">
        <f>IF('01 Traffic inputs'!$B$16&lt;=2/3,(4*A254*(1-A254))^$B$16,1-ABS(2*A254-1)^$B$17)</f>
        <v>0.18701751082479987</v>
      </c>
      <c r="D254" s="1">
        <f>IF('01 Traffic inputs'!$B$16&lt;=2/3,4*$B$16*(1-2*A254)*(4*A254*(1-A254))^($B$16-1),-2*$B$17*SIGN(2*A254-1)*ABS(2*A254-1)^($B$17-1))</f>
        <v>2.5980335237576613</v>
      </c>
      <c r="E254" s="1">
        <f t="shared" si="51"/>
        <v>15.798021223638042</v>
      </c>
      <c r="F254" s="1">
        <f t="shared" si="52"/>
        <v>2.6932666227067383E-2</v>
      </c>
      <c r="G254" s="1">
        <f t="shared" si="53"/>
        <v>0.42548283266437004</v>
      </c>
      <c r="H254" s="1">
        <f>'01 Traffic inputs'!$B$8/F254</f>
        <v>38.614817828723488</v>
      </c>
      <c r="I254" s="1">
        <f>MATCH(H254,'02 Emission rates'!$A$7:$A$15,1)</f>
        <v>3</v>
      </c>
      <c r="J254" s="1">
        <f>INDEX('02 Emission rates'!$D$7:$D$15,I254)</f>
        <v>9725.5949630613486</v>
      </c>
      <c r="K254" s="1">
        <f>INDEX('02 Emission rates'!$E$7:$E$15,I254)</f>
        <v>9.2521191106683567</v>
      </c>
      <c r="L254" s="1">
        <f>INDEX('02 Emission rates'!$F$7:$F$15,I254)</f>
        <v>91.70580434039428</v>
      </c>
      <c r="M254" s="1">
        <f>INDEX('02 Emission rates'!$G$7:$G$15,I254)</f>
        <v>3.6129593672116069</v>
      </c>
      <c r="N254" s="1">
        <f t="shared" si="54"/>
        <v>4138.0736942296717</v>
      </c>
      <c r="O254" s="1">
        <f t="shared" si="55"/>
        <v>3.9366178473553246</v>
      </c>
      <c r="P254" s="1">
        <f t="shared" si="56"/>
        <v>39.019245402515438</v>
      </c>
      <c r="Q254" s="1">
        <f t="shared" si="57"/>
        <v>1.5372521858624644</v>
      </c>
      <c r="R254" s="1">
        <f t="shared" si="58"/>
        <v>919.41457218388712</v>
      </c>
      <c r="S254" s="1">
        <f t="shared" si="59"/>
        <v>17.594029630115955</v>
      </c>
      <c r="T254" s="1">
        <f t="shared" si="60"/>
        <v>251455.95501574286</v>
      </c>
      <c r="U254" s="1">
        <f t="shared" si="61"/>
        <v>317.52548688083499</v>
      </c>
      <c r="V254" s="1">
        <f t="shared" si="62"/>
        <v>1793.2738174974536</v>
      </c>
      <c r="W254" s="1">
        <f t="shared" si="63"/>
        <v>76.550290757402138</v>
      </c>
      <c r="X254" s="1"/>
      <c r="Y254" s="1"/>
      <c r="Z254" s="1"/>
      <c r="AA254" s="1"/>
      <c r="AB254" s="1"/>
      <c r="AC254" s="1"/>
      <c r="AD254" s="1"/>
      <c r="AE254" s="1"/>
    </row>
    <row r="255" spans="1:31" ht="22.05" customHeight="1">
      <c r="A255" s="1">
        <f>'01 Traffic inputs'!B205</f>
        <v>0.19111542773260437</v>
      </c>
      <c r="B255" s="1">
        <f>'01 Traffic inputs'!C205</f>
        <v>3.2125070117241961E-3</v>
      </c>
      <c r="C255" s="1">
        <f>IF('01 Traffic inputs'!$B$16&lt;=2/3,(4*A255*(1-A255))^$B$16,1-ABS(2*A255-1)^$B$17)</f>
        <v>0.19542415880431654</v>
      </c>
      <c r="D255" s="1">
        <f>IF('01 Traffic inputs'!$B$16&lt;=2/3,4*$B$16*(1-2*A255)*(4*A255*(1-A255))^($B$16-1),-2*$B$17*SIGN(2*A255-1)*ABS(2*A255-1)^($B$17-1))</f>
        <v>2.6524010968863849</v>
      </c>
      <c r="E255" s="1">
        <f t="shared" si="51"/>
        <v>15.911394495045871</v>
      </c>
      <c r="F255" s="1">
        <f t="shared" si="52"/>
        <v>2.7414701317994832E-2</v>
      </c>
      <c r="G255" s="1">
        <f t="shared" si="53"/>
        <v>0.43620612763446975</v>
      </c>
      <c r="H255" s="1">
        <f>'01 Traffic inputs'!$B$8/F255</f>
        <v>37.935850109640668</v>
      </c>
      <c r="I255" s="1">
        <f>MATCH(H255,'02 Emission rates'!$A$7:$A$15,1)</f>
        <v>3</v>
      </c>
      <c r="J255" s="1">
        <f>INDEX('02 Emission rates'!$D$7:$D$15,I255)</f>
        <v>9725.5949630613486</v>
      </c>
      <c r="K255" s="1">
        <f>INDEX('02 Emission rates'!$E$7:$E$15,I255)</f>
        <v>9.2521191106683567</v>
      </c>
      <c r="L255" s="1">
        <f>INDEX('02 Emission rates'!$F$7:$F$15,I255)</f>
        <v>91.70580434039428</v>
      </c>
      <c r="M255" s="1">
        <f>INDEX('02 Emission rates'!$G$7:$G$15,I255)</f>
        <v>3.6129593672116069</v>
      </c>
      <c r="N255" s="1">
        <f t="shared" si="54"/>
        <v>4242.3641177782947</v>
      </c>
      <c r="O255" s="1">
        <f t="shared" si="55"/>
        <v>4.035831049677518</v>
      </c>
      <c r="P255" s="1">
        <f t="shared" si="56"/>
        <v>40.002633792927739</v>
      </c>
      <c r="Q255" s="1">
        <f t="shared" si="57"/>
        <v>1.5759950148720594</v>
      </c>
      <c r="R255" s="1">
        <f t="shared" si="58"/>
        <v>935.32596667893301</v>
      </c>
      <c r="S255" s="1">
        <f t="shared" si="59"/>
        <v>18.030235757750425</v>
      </c>
      <c r="T255" s="1">
        <f t="shared" si="60"/>
        <v>255698.31913352114</v>
      </c>
      <c r="U255" s="1">
        <f t="shared" si="61"/>
        <v>321.56131793051253</v>
      </c>
      <c r="V255" s="1">
        <f t="shared" si="62"/>
        <v>1833.2764512903814</v>
      </c>
      <c r="W255" s="1">
        <f t="shared" si="63"/>
        <v>78.126285772274201</v>
      </c>
      <c r="X255" s="1"/>
      <c r="Y255" s="1"/>
      <c r="Z255" s="1"/>
      <c r="AA255" s="1"/>
      <c r="AB255" s="1"/>
      <c r="AC255" s="1"/>
      <c r="AD255" s="1"/>
      <c r="AE255" s="1"/>
    </row>
    <row r="256" spans="1:31" ht="22.05" customHeight="1">
      <c r="A256" s="1">
        <f>'01 Traffic inputs'!B206</f>
        <v>0.19433820929028178</v>
      </c>
      <c r="B256" s="1">
        <f>'01 Traffic inputs'!C206</f>
        <v>3.233020245540205E-3</v>
      </c>
      <c r="C256" s="1">
        <f>IF('01 Traffic inputs'!$B$16&lt;=2/3,(4*A256*(1-A256))^$B$16,1-ABS(2*A256-1)^$B$17)</f>
        <v>0.20405898918637261</v>
      </c>
      <c r="D256" s="1">
        <f>IF('01 Traffic inputs'!$B$16&lt;=2/3,4*$B$16*(1-2*A256)*(4*A256*(1-A256))^($B$16-1),-2*$B$17*SIGN(2*A256-1)*ABS(2*A256-1)^($B$17-1))</f>
        <v>2.706032133769412</v>
      </c>
      <c r="E256" s="1">
        <f t="shared" si="51"/>
        <v>16.023696967299113</v>
      </c>
      <c r="F256" s="1">
        <f t="shared" si="52"/>
        <v>2.7909820330768907E-2</v>
      </c>
      <c r="G256" s="1">
        <f t="shared" si="53"/>
        <v>0.44721850339200486</v>
      </c>
      <c r="H256" s="1">
        <f>'01 Traffic inputs'!$B$8/F256</f>
        <v>37.262869759626604</v>
      </c>
      <c r="I256" s="1">
        <f>MATCH(H256,'02 Emission rates'!$A$7:$A$15,1)</f>
        <v>3</v>
      </c>
      <c r="J256" s="1">
        <f>INDEX('02 Emission rates'!$D$7:$D$15,I256)</f>
        <v>9725.5949630613486</v>
      </c>
      <c r="K256" s="1">
        <f>INDEX('02 Emission rates'!$E$7:$E$15,I256)</f>
        <v>9.2521191106683567</v>
      </c>
      <c r="L256" s="1">
        <f>INDEX('02 Emission rates'!$F$7:$F$15,I256)</f>
        <v>91.70580434039428</v>
      </c>
      <c r="M256" s="1">
        <f>INDEX('02 Emission rates'!$G$7:$G$15,I256)</f>
        <v>3.6129593672116069</v>
      </c>
      <c r="N256" s="1">
        <f t="shared" si="54"/>
        <v>4349.4660239771174</v>
      </c>
      <c r="O256" s="1">
        <f t="shared" si="55"/>
        <v>4.1377188618776692</v>
      </c>
      <c r="P256" s="1">
        <f t="shared" si="56"/>
        <v>41.012532569471155</v>
      </c>
      <c r="Q256" s="1">
        <f t="shared" si="57"/>
        <v>1.6157822810204998</v>
      </c>
      <c r="R256" s="1">
        <f t="shared" si="58"/>
        <v>951.3496636462321</v>
      </c>
      <c r="S256" s="1">
        <f t="shared" si="59"/>
        <v>18.47745426114243</v>
      </c>
      <c r="T256" s="1">
        <f t="shared" si="60"/>
        <v>260047.78515749826</v>
      </c>
      <c r="U256" s="1">
        <f t="shared" si="61"/>
        <v>325.69903679239019</v>
      </c>
      <c r="V256" s="1">
        <f t="shared" si="62"/>
        <v>1874.2889838598526</v>
      </c>
      <c r="W256" s="1">
        <f t="shared" si="63"/>
        <v>79.742068053294702</v>
      </c>
      <c r="X256" s="1"/>
      <c r="Y256" s="1"/>
      <c r="Z256" s="1"/>
      <c r="AA256" s="1"/>
      <c r="AB256" s="1"/>
      <c r="AC256" s="1"/>
      <c r="AD256" s="1"/>
      <c r="AE256" s="1"/>
    </row>
    <row r="257" spans="1:31" ht="22.05" customHeight="1">
      <c r="A257" s="1">
        <f>'01 Traffic inputs'!B207</f>
        <v>0.19758139627998356</v>
      </c>
      <c r="B257" s="1">
        <f>'01 Traffic inputs'!C207</f>
        <v>3.2533176487329328E-3</v>
      </c>
      <c r="C257" s="1">
        <f>IF('01 Traffic inputs'!$B$16&lt;=2/3,(4*A257*(1-A257))^$B$16,1-ABS(2*A257-1)^$B$17)</f>
        <v>0.21292111940779568</v>
      </c>
      <c r="D257" s="1">
        <f>IF('01 Traffic inputs'!$B$16&lt;=2/3,4*$B$16*(1-2*A257)*(4*A257*(1-A257))^($B$16-1),-2*$B$17*SIGN(2*A257-1)*ABS(2*A257-1)^($B$17-1))</f>
        <v>2.7588445775341683</v>
      </c>
      <c r="E257" s="1">
        <f t="shared" si="51"/>
        <v>16.1349004453857</v>
      </c>
      <c r="F257" s="1">
        <f t="shared" si="52"/>
        <v>2.8417972659438219E-2</v>
      </c>
      <c r="G257" s="1">
        <f t="shared" si="53"/>
        <v>0.45852115971972834</v>
      </c>
      <c r="H257" s="1">
        <f>'01 Traffic inputs'!$B$8/F257</f>
        <v>36.596558539323325</v>
      </c>
      <c r="I257" s="1">
        <f>MATCH(H257,'02 Emission rates'!$A$7:$A$15,1)</f>
        <v>3</v>
      </c>
      <c r="J257" s="1">
        <f>INDEX('02 Emission rates'!$D$7:$D$15,I257)</f>
        <v>9725.5949630613486</v>
      </c>
      <c r="K257" s="1">
        <f>INDEX('02 Emission rates'!$E$7:$E$15,I257)</f>
        <v>9.2521191106683567</v>
      </c>
      <c r="L257" s="1">
        <f>INDEX('02 Emission rates'!$F$7:$F$15,I257)</f>
        <v>91.70580434039428</v>
      </c>
      <c r="M257" s="1">
        <f>INDEX('02 Emission rates'!$G$7:$G$15,I257)</f>
        <v>3.6129593672116069</v>
      </c>
      <c r="N257" s="1">
        <f t="shared" si="54"/>
        <v>4459.3910814272385</v>
      </c>
      <c r="O257" s="1">
        <f t="shared" si="55"/>
        <v>4.2422923844887164</v>
      </c>
      <c r="P257" s="1">
        <f t="shared" si="56"/>
        <v>42.049051759188082</v>
      </c>
      <c r="Q257" s="1">
        <f t="shared" si="57"/>
        <v>1.6566183190741219</v>
      </c>
      <c r="R257" s="1">
        <f t="shared" si="58"/>
        <v>967.48456409161781</v>
      </c>
      <c r="S257" s="1">
        <f t="shared" si="59"/>
        <v>18.93597542086216</v>
      </c>
      <c r="T257" s="1">
        <f t="shared" si="60"/>
        <v>264507.17623892549</v>
      </c>
      <c r="U257" s="1">
        <f t="shared" si="61"/>
        <v>329.94132917687892</v>
      </c>
      <c r="V257" s="1">
        <f t="shared" si="62"/>
        <v>1916.3380356190407</v>
      </c>
      <c r="W257" s="1">
        <f t="shared" si="63"/>
        <v>81.398686372368829</v>
      </c>
      <c r="X257" s="1"/>
      <c r="Y257" s="1"/>
      <c r="Z257" s="1"/>
      <c r="AA257" s="1"/>
      <c r="AB257" s="1"/>
      <c r="AC257" s="1"/>
      <c r="AD257" s="1"/>
      <c r="AE257" s="1"/>
    </row>
    <row r="258" spans="1:31" ht="22.05" customHeight="1">
      <c r="A258" s="1">
        <f>'01 Traffic inputs'!B208</f>
        <v>0.20084477219237257</v>
      </c>
      <c r="B258" s="1">
        <f>'01 Traffic inputs'!C208</f>
        <v>3.2733978662839447E-3</v>
      </c>
      <c r="C258" s="1">
        <f>IF('01 Traffic inputs'!$B$16&lt;=2/3,(4*A258*(1-A258))^$B$16,1-ABS(2*A258-1)^$B$17)</f>
        <v>0.22200931268655316</v>
      </c>
      <c r="D258" s="1">
        <f>IF('01 Traffic inputs'!$B$16&lt;=2/3,4*$B$16*(1-2*A258)*(4*A258*(1-A258))^($B$16-1),-2*$B$17*SIGN(2*A258-1)*ABS(2*A258-1)^($B$17-1))</f>
        <v>2.8107559684262902</v>
      </c>
      <c r="E258" s="1">
        <f t="shared" si="51"/>
        <v>16.244976358483257</v>
      </c>
      <c r="F258" s="1">
        <f t="shared" si="52"/>
        <v>2.893908738723059E-2</v>
      </c>
      <c r="G258" s="1">
        <f t="shared" si="53"/>
        <v>0.47011479044164195</v>
      </c>
      <c r="H258" s="1">
        <f>'01 Traffic inputs'!$B$8/F258</f>
        <v>35.937553457850981</v>
      </c>
      <c r="I258" s="1">
        <f>MATCH(H258,'02 Emission rates'!$A$7:$A$15,1)</f>
        <v>3</v>
      </c>
      <c r="J258" s="1">
        <f>INDEX('02 Emission rates'!$D$7:$D$15,I258)</f>
        <v>9725.5949630613486</v>
      </c>
      <c r="K258" s="1">
        <f>INDEX('02 Emission rates'!$E$7:$E$15,I258)</f>
        <v>9.2521191106683567</v>
      </c>
      <c r="L258" s="1">
        <f>INDEX('02 Emission rates'!$F$7:$F$15,I258)</f>
        <v>91.70580434039428</v>
      </c>
      <c r="M258" s="1">
        <f>INDEX('02 Emission rates'!$G$7:$G$15,I258)</f>
        <v>3.6129593672116069</v>
      </c>
      <c r="N258" s="1">
        <f t="shared" si="54"/>
        <v>4572.1460379798746</v>
      </c>
      <c r="O258" s="1">
        <f t="shared" si="55"/>
        <v>4.3495580368529652</v>
      </c>
      <c r="P258" s="1">
        <f t="shared" si="56"/>
        <v>43.112254989766676</v>
      </c>
      <c r="Q258" s="1">
        <f t="shared" si="57"/>
        <v>1.6985056357908519</v>
      </c>
      <c r="R258" s="1">
        <f t="shared" si="58"/>
        <v>983.72954045010101</v>
      </c>
      <c r="S258" s="1">
        <f t="shared" si="59"/>
        <v>19.406090211303802</v>
      </c>
      <c r="T258" s="1">
        <f t="shared" si="60"/>
        <v>269079.32227690535</v>
      </c>
      <c r="U258" s="1">
        <f t="shared" si="61"/>
        <v>334.29088721373188</v>
      </c>
      <c r="V258" s="1">
        <f t="shared" si="62"/>
        <v>1959.4502906088073</v>
      </c>
      <c r="W258" s="1">
        <f t="shared" si="63"/>
        <v>83.097192008159681</v>
      </c>
      <c r="X258" s="1"/>
      <c r="Y258" s="1"/>
      <c r="Z258" s="1"/>
      <c r="AA258" s="1"/>
      <c r="AB258" s="1"/>
      <c r="AC258" s="1"/>
      <c r="AD258" s="1"/>
      <c r="AE258" s="1"/>
    </row>
    <row r="259" spans="1:31" ht="22.05" customHeight="1">
      <c r="A259" s="1">
        <f>'01 Traffic inputs'!B209</f>
        <v>0.20412811917033569</v>
      </c>
      <c r="B259" s="1">
        <f>'01 Traffic inputs'!C209</f>
        <v>3.2932595576741701E-3</v>
      </c>
      <c r="C259" s="1">
        <f>IF('01 Traffic inputs'!$B$16&lt;=2/3,(4*A259*(1-A259))^$B$16,1-ABS(2*A259-1)^$B$17)</f>
        <v>0.23132197111032346</v>
      </c>
      <c r="D259" s="1">
        <f>IF('01 Traffic inputs'!$B$16&lt;=2/3,4*$B$16*(1-2*A259)*(4*A259*(1-A259))^($B$16-1),-2*$B$17*SIGN(2*A259-1)*ABS(2*A259-1)^($B$17-1))</f>
        <v>2.8616835781800298</v>
      </c>
      <c r="E259" s="1">
        <f t="shared" si="51"/>
        <v>16.353895797173461</v>
      </c>
      <c r="F259" s="1">
        <f t="shared" si="52"/>
        <v>2.9473072890253457E-2</v>
      </c>
      <c r="G259" s="1">
        <f t="shared" si="53"/>
        <v>0.48199956286970308</v>
      </c>
      <c r="H259" s="1">
        <f>'01 Traffic inputs'!$B$8/F259</f>
        <v>35.286446169783041</v>
      </c>
      <c r="I259" s="1">
        <f>MATCH(H259,'02 Emission rates'!$A$7:$A$15,1)</f>
        <v>3</v>
      </c>
      <c r="J259" s="1">
        <f>INDEX('02 Emission rates'!$D$7:$D$15,I259)</f>
        <v>9725.5949630613486</v>
      </c>
      <c r="K259" s="1">
        <f>INDEX('02 Emission rates'!$E$7:$E$15,I259)</f>
        <v>9.2521191106683567</v>
      </c>
      <c r="L259" s="1">
        <f>INDEX('02 Emission rates'!$F$7:$F$15,I259)</f>
        <v>91.70580434039428</v>
      </c>
      <c r="M259" s="1">
        <f>INDEX('02 Emission rates'!$G$7:$G$15,I259)</f>
        <v>3.6129593672116069</v>
      </c>
      <c r="N259" s="1">
        <f t="shared" si="54"/>
        <v>4687.7325208433558</v>
      </c>
      <c r="O259" s="1">
        <f t="shared" si="55"/>
        <v>4.4595173669605739</v>
      </c>
      <c r="P259" s="1">
        <f t="shared" si="56"/>
        <v>44.202157604684565</v>
      </c>
      <c r="Q259" s="1">
        <f t="shared" si="57"/>
        <v>1.7414448356619936</v>
      </c>
      <c r="R259" s="1">
        <f t="shared" si="58"/>
        <v>1000.0834362472744</v>
      </c>
      <c r="S259" s="1">
        <f t="shared" si="59"/>
        <v>19.888089774173505</v>
      </c>
      <c r="T259" s="1">
        <f t="shared" si="60"/>
        <v>273767.05479774869</v>
      </c>
      <c r="U259" s="1">
        <f t="shared" si="61"/>
        <v>338.75040458069248</v>
      </c>
      <c r="V259" s="1">
        <f t="shared" si="62"/>
        <v>2003.6524482134919</v>
      </c>
      <c r="W259" s="1">
        <f t="shared" si="63"/>
        <v>84.838636843821675</v>
      </c>
      <c r="X259" s="1"/>
      <c r="Y259" s="1"/>
      <c r="Z259" s="1"/>
      <c r="AA259" s="1"/>
      <c r="AB259" s="1"/>
      <c r="AC259" s="1"/>
      <c r="AD259" s="1"/>
      <c r="AE259" s="1"/>
    </row>
    <row r="260" spans="1:31" ht="22.05" customHeight="1">
      <c r="A260" s="1">
        <f>'01 Traffic inputs'!B210</f>
        <v>0.20743121802352721</v>
      </c>
      <c r="B260" s="1">
        <f>'01 Traffic inputs'!C210</f>
        <v>3.3129013969727208E-3</v>
      </c>
      <c r="C260" s="1">
        <f>IF('01 Traffic inputs'!$B$16&lt;=2/3,(4*A260*(1-A260))^$B$16,1-ABS(2*A260-1)^$B$17)</f>
        <v>0.24085712933420256</v>
      </c>
      <c r="D260" s="1">
        <f>IF('01 Traffic inputs'!$B$16&lt;=2/3,4*$B$16*(1-2*A260)*(4*A260*(1-A260))^($B$16-1),-2*$B$17*SIGN(2*A260-1)*ABS(2*A260-1)^($B$17-1))</f>
        <v>2.9115445465408669</v>
      </c>
      <c r="E260" s="1">
        <f t="shared" si="51"/>
        <v>16.461629552269137</v>
      </c>
      <c r="F260" s="1">
        <f t="shared" si="52"/>
        <v>3.0019816476121959E-2</v>
      </c>
      <c r="G260" s="1">
        <f t="shared" si="53"/>
        <v>0.4941750980570252</v>
      </c>
      <c r="H260" s="1">
        <f>'01 Traffic inputs'!$B$8/F260</f>
        <v>34.643782743550283</v>
      </c>
      <c r="I260" s="1">
        <f>MATCH(H260,'02 Emission rates'!$A$7:$A$15,1)</f>
        <v>3</v>
      </c>
      <c r="J260" s="1">
        <f>INDEX('02 Emission rates'!$D$7:$D$15,I260)</f>
        <v>9725.5949630613486</v>
      </c>
      <c r="K260" s="1">
        <f>INDEX('02 Emission rates'!$E$7:$E$15,I260)</f>
        <v>9.2521191106683567</v>
      </c>
      <c r="L260" s="1">
        <f>INDEX('02 Emission rates'!$F$7:$F$15,I260)</f>
        <v>91.70580434039428</v>
      </c>
      <c r="M260" s="1">
        <f>INDEX('02 Emission rates'!$G$7:$G$15,I260)</f>
        <v>3.6129593672116069</v>
      </c>
      <c r="N260" s="1">
        <f t="shared" si="54"/>
        <v>4806.1468445337523</v>
      </c>
      <c r="O260" s="1">
        <f t="shared" si="55"/>
        <v>4.5721668687498118</v>
      </c>
      <c r="P260" s="1">
        <f t="shared" si="56"/>
        <v>45.318724852312712</v>
      </c>
      <c r="Q260" s="1">
        <f t="shared" si="57"/>
        <v>1.7854345495678436</v>
      </c>
      <c r="R260" s="1">
        <f t="shared" si="58"/>
        <v>1016.5450657995436</v>
      </c>
      <c r="S260" s="1">
        <f t="shared" si="59"/>
        <v>20.382264872230529</v>
      </c>
      <c r="T260" s="1">
        <f t="shared" si="60"/>
        <v>278573.20164228242</v>
      </c>
      <c r="U260" s="1">
        <f t="shared" si="61"/>
        <v>343.32257144944231</v>
      </c>
      <c r="V260" s="1">
        <f t="shared" si="62"/>
        <v>2048.9711730658046</v>
      </c>
      <c r="W260" s="1">
        <f t="shared" si="63"/>
        <v>86.624071393389514</v>
      </c>
      <c r="X260" s="1"/>
      <c r="Y260" s="1"/>
      <c r="Z260" s="1"/>
      <c r="AA260" s="1"/>
      <c r="AB260" s="1"/>
      <c r="AC260" s="1"/>
      <c r="AD260" s="1"/>
      <c r="AE260" s="1"/>
    </row>
    <row r="261" spans="1:31" ht="22.05" customHeight="1">
      <c r="A261" s="1">
        <f>'01 Traffic inputs'!B211</f>
        <v>0.21075384824300175</v>
      </c>
      <c r="B261" s="1">
        <f>'01 Traffic inputs'!C211</f>
        <v>3.3323220729256481E-3</v>
      </c>
      <c r="C261" s="1">
        <f>IF('01 Traffic inputs'!$B$16&lt;=2/3,(4*A261*(1-A261))^$B$16,1-ABS(2*A261-1)^$B$17)</f>
        <v>0.25061244891328915</v>
      </c>
      <c r="D261" s="1">
        <f>IF('01 Traffic inputs'!$B$16&lt;=2/3,4*$B$16*(1-2*A261)*(4*A261*(1-A261))^($B$16-1),-2*$B$17*SIGN(2*A261-1)*ABS(2*A261-1)^($B$17-1))</f>
        <v>2.9602560196858119</v>
      </c>
      <c r="E261" s="1">
        <f t="shared" si="51"/>
        <v>16.56814815519223</v>
      </c>
      <c r="F261" s="1">
        <f t="shared" si="52"/>
        <v>3.0579184058990787E-2</v>
      </c>
      <c r="G261" s="1">
        <f t="shared" si="53"/>
        <v>0.50664045195425189</v>
      </c>
      <c r="H261" s="1">
        <f>'01 Traffic inputs'!$B$8/F261</f>
        <v>34.010063773897301</v>
      </c>
      <c r="I261" s="1">
        <f>MATCH(H261,'02 Emission rates'!$A$7:$A$15,1)</f>
        <v>3</v>
      </c>
      <c r="J261" s="1">
        <f>INDEX('02 Emission rates'!$D$7:$D$15,I261)</f>
        <v>9725.5949630613486</v>
      </c>
      <c r="K261" s="1">
        <f>INDEX('02 Emission rates'!$E$7:$E$15,I261)</f>
        <v>9.2521191106683567</v>
      </c>
      <c r="L261" s="1">
        <f>INDEX('02 Emission rates'!$F$7:$F$15,I261)</f>
        <v>91.70580434039428</v>
      </c>
      <c r="M261" s="1">
        <f>INDEX('02 Emission rates'!$G$7:$G$15,I261)</f>
        <v>3.6129593672116069</v>
      </c>
      <c r="N261" s="1">
        <f t="shared" si="54"/>
        <v>4927.3798276093976</v>
      </c>
      <c r="O261" s="1">
        <f t="shared" si="55"/>
        <v>4.6874978077635872</v>
      </c>
      <c r="P261" s="1">
        <f t="shared" si="56"/>
        <v>46.461870157845553</v>
      </c>
      <c r="Q261" s="1">
        <f t="shared" si="57"/>
        <v>1.8304713666964365</v>
      </c>
      <c r="R261" s="1">
        <f t="shared" si="58"/>
        <v>1033.1132139547358</v>
      </c>
      <c r="S261" s="1">
        <f t="shared" si="59"/>
        <v>20.88890532418478</v>
      </c>
      <c r="T261" s="1">
        <f t="shared" si="60"/>
        <v>283500.58146989183</v>
      </c>
      <c r="U261" s="1">
        <f t="shared" si="61"/>
        <v>348.01006925720588</v>
      </c>
      <c r="V261" s="1">
        <f t="shared" si="62"/>
        <v>2095.4330432236502</v>
      </c>
      <c r="W261" s="1">
        <f t="shared" si="63"/>
        <v>88.454542760085957</v>
      </c>
      <c r="X261" s="1"/>
      <c r="Y261" s="1"/>
      <c r="Z261" s="1"/>
      <c r="AA261" s="1"/>
      <c r="AB261" s="1"/>
      <c r="AC261" s="1"/>
      <c r="AD261" s="1"/>
      <c r="AE261" s="1"/>
    </row>
    <row r="262" spans="1:31" ht="22.05" customHeight="1">
      <c r="A262" s="1">
        <f>'01 Traffic inputs'!B212</f>
        <v>0.21409578801593498</v>
      </c>
      <c r="B262" s="1">
        <f>'01 Traffic inputs'!C212</f>
        <v>3.3515202890434768E-3</v>
      </c>
      <c r="C262" s="1">
        <f>IF('01 Traffic inputs'!$B$16&lt;=2/3,(4*A262*(1-A262))^$B$16,1-ABS(2*A262-1)^$B$17)</f>
        <v>0.26058521329464168</v>
      </c>
      <c r="D262" s="1">
        <f>IF('01 Traffic inputs'!$B$16&lt;=2/3,4*$B$16*(1-2*A262)*(4*A262*(1-A262))^($B$16-1),-2*$B$17*SIGN(2*A262-1)*ABS(2*A262-1)^($B$17-1))</f>
        <v>3.0077352902812224</v>
      </c>
      <c r="E262" s="1">
        <f t="shared" si="51"/>
        <v>16.673421919817525</v>
      </c>
      <c r="F262" s="1">
        <f t="shared" si="52"/>
        <v>3.1151019872394221E-2</v>
      </c>
      <c r="G262" s="1">
        <f t="shared" si="53"/>
        <v>0.51939409756504917</v>
      </c>
      <c r="H262" s="1">
        <f>'01 Traffic inputs'!$B$8/F262</f>
        <v>33.385744809005757</v>
      </c>
      <c r="I262" s="1">
        <f>MATCH(H262,'02 Emission rates'!$A$7:$A$15,1)</f>
        <v>2</v>
      </c>
      <c r="J262" s="1">
        <f>INDEX('02 Emission rates'!$D$7:$D$15,I262)</f>
        <v>7854.4376436942921</v>
      </c>
      <c r="K262" s="1">
        <f>INDEX('02 Emission rates'!$E$7:$E$15,I262)</f>
        <v>6.0728066686336852</v>
      </c>
      <c r="L262" s="1">
        <f>INDEX('02 Emission rates'!$F$7:$F$15,I262)</f>
        <v>70.349021642583381</v>
      </c>
      <c r="M262" s="1">
        <f>INDEX('02 Emission rates'!$G$7:$G$15,I262)</f>
        <v>3.0627467972070308</v>
      </c>
      <c r="N262" s="1">
        <f t="shared" si="54"/>
        <v>4079.5485518275482</v>
      </c>
      <c r="O262" s="1">
        <f t="shared" si="55"/>
        <v>3.1541799393420056</v>
      </c>
      <c r="P262" s="1">
        <f t="shared" si="56"/>
        <v>36.538866610633711</v>
      </c>
      <c r="Q262" s="1">
        <f t="shared" si="57"/>
        <v>1.5907726088055905</v>
      </c>
      <c r="R262" s="1">
        <f t="shared" si="58"/>
        <v>1049.7866358745532</v>
      </c>
      <c r="S262" s="1">
        <f t="shared" si="59"/>
        <v>21.408299421749827</v>
      </c>
      <c r="T262" s="1">
        <f t="shared" si="60"/>
        <v>287580.13002171938</v>
      </c>
      <c r="U262" s="1">
        <f t="shared" si="61"/>
        <v>351.16424919654787</v>
      </c>
      <c r="V262" s="1">
        <f t="shared" si="62"/>
        <v>2131.9719098342839</v>
      </c>
      <c r="W262" s="1">
        <f t="shared" si="63"/>
        <v>90.045315368891551</v>
      </c>
      <c r="X262" s="1"/>
      <c r="Y262" s="1"/>
      <c r="Z262" s="1"/>
      <c r="AA262" s="1"/>
      <c r="AB262" s="1"/>
      <c r="AC262" s="1"/>
      <c r="AD262" s="1"/>
      <c r="AE262" s="1"/>
    </row>
    <row r="263" spans="1:31" ht="22.05" customHeight="1">
      <c r="A263" s="1">
        <f>'01 Traffic inputs'!B213</f>
        <v>0.21745681424043156</v>
      </c>
      <c r="B263" s="1">
        <f>'01 Traffic inputs'!C213</f>
        <v>3.3704947636879409E-3</v>
      </c>
      <c r="C263" s="1">
        <f>IF('01 Traffic inputs'!$B$16&lt;=2/3,(4*A263*(1-A263))^$B$16,1-ABS(2*A263-1)^$B$17)</f>
        <v>0.2707723234917746</v>
      </c>
      <c r="D263" s="1">
        <f>IF('01 Traffic inputs'!$B$16&lt;=2/3,4*$B$16*(1-2*A263)*(4*A263*(1-A263))^($B$16-1),-2*$B$17*SIGN(2*A263-1)*ABS(2*A263-1)^($B$17-1))</f>
        <v>3.0538999389128039</v>
      </c>
      <c r="E263" s="1">
        <f t="shared" si="51"/>
        <v>16.777420985699813</v>
      </c>
      <c r="F263" s="1">
        <f t="shared" si="52"/>
        <v>3.1735146221222879E-2</v>
      </c>
      <c r="G263" s="1">
        <f t="shared" si="53"/>
        <v>0.53243390819619685</v>
      </c>
      <c r="H263" s="1">
        <f>'01 Traffic inputs'!$B$8/F263</f>
        <v>32.771237061593261</v>
      </c>
      <c r="I263" s="1">
        <f>MATCH(H263,'02 Emission rates'!$A$7:$A$15,1)</f>
        <v>2</v>
      </c>
      <c r="J263" s="1">
        <f>INDEX('02 Emission rates'!$D$7:$D$15,I263)</f>
        <v>7854.4376436942921</v>
      </c>
      <c r="K263" s="1">
        <f>INDEX('02 Emission rates'!$E$7:$E$15,I263)</f>
        <v>6.0728066686336852</v>
      </c>
      <c r="L263" s="1">
        <f>INDEX('02 Emission rates'!$F$7:$F$15,I263)</f>
        <v>70.349021642583381</v>
      </c>
      <c r="M263" s="1">
        <f>INDEX('02 Emission rates'!$G$7:$G$15,I263)</f>
        <v>3.0627467972070308</v>
      </c>
      <c r="N263" s="1">
        <f t="shared" si="54"/>
        <v>4181.9689313154795</v>
      </c>
      <c r="O263" s="1">
        <f t="shared" si="55"/>
        <v>3.2333681883005596</v>
      </c>
      <c r="P263" s="1">
        <f t="shared" si="56"/>
        <v>37.456204530939502</v>
      </c>
      <c r="Q263" s="1">
        <f t="shared" si="57"/>
        <v>1.6307102470523243</v>
      </c>
      <c r="R263" s="1">
        <f t="shared" si="58"/>
        <v>1066.564056860253</v>
      </c>
      <c r="S263" s="1">
        <f t="shared" si="59"/>
        <v>21.940733329946024</v>
      </c>
      <c r="T263" s="1">
        <f t="shared" si="60"/>
        <v>291762.09895303485</v>
      </c>
      <c r="U263" s="1">
        <f t="shared" si="61"/>
        <v>354.39761738484844</v>
      </c>
      <c r="V263" s="1">
        <f t="shared" si="62"/>
        <v>2169.4281143652233</v>
      </c>
      <c r="W263" s="1">
        <f t="shared" si="63"/>
        <v>91.676025615943871</v>
      </c>
      <c r="X263" s="1"/>
      <c r="Y263" s="1"/>
      <c r="Z263" s="1"/>
      <c r="AA263" s="1"/>
      <c r="AB263" s="1"/>
      <c r="AC263" s="1"/>
      <c r="AD263" s="1"/>
      <c r="AE263" s="1"/>
    </row>
    <row r="264" spans="1:31" ht="22.05" customHeight="1">
      <c r="A264" s="1">
        <f>'01 Traffic inputs'!B214</f>
        <v>0.22083670254041887</v>
      </c>
      <c r="B264" s="1">
        <f>'01 Traffic inputs'!C214</f>
        <v>3.3892442301571846E-3</v>
      </c>
      <c r="C264" s="1">
        <f>IF('01 Traffic inputs'!$B$16&lt;=2/3,(4*A264*(1-A264))^$B$16,1-ABS(2*A264-1)^$B$17)</f>
        <v>0.28117029446345543</v>
      </c>
      <c r="D264" s="1">
        <f>IF('01 Traffic inputs'!$B$16&lt;=2/3,4*$B$16*(1-2*A264)*(4*A264*(1-A264))^($B$16-1),-2*$B$17*SIGN(2*A264-1)*ABS(2*A264-1)^($B$17-1))</f>
        <v>3.0986679766178988</v>
      </c>
      <c r="E264" s="1">
        <f t="shared" si="51"/>
        <v>16.880115362591916</v>
      </c>
      <c r="F264" s="1">
        <f t="shared" si="52"/>
        <v>3.2331363274084812E-2</v>
      </c>
      <c r="G264" s="1">
        <f t="shared" si="53"/>
        <v>0.54575714189641911</v>
      </c>
      <c r="H264" s="1">
        <f>'01 Traffic inputs'!$B$8/F264</f>
        <v>32.166908372639888</v>
      </c>
      <c r="I264" s="1">
        <f>MATCH(H264,'02 Emission rates'!$A$7:$A$15,1)</f>
        <v>2</v>
      </c>
      <c r="J264" s="1">
        <f>INDEX('02 Emission rates'!$D$7:$D$15,I264)</f>
        <v>7854.4376436942921</v>
      </c>
      <c r="K264" s="1">
        <f>INDEX('02 Emission rates'!$E$7:$E$15,I264)</f>
        <v>6.0728066686336852</v>
      </c>
      <c r="L264" s="1">
        <f>INDEX('02 Emission rates'!$F$7:$F$15,I264)</f>
        <v>70.349021642583381</v>
      </c>
      <c r="M264" s="1">
        <f>INDEX('02 Emission rates'!$G$7:$G$15,I264)</f>
        <v>3.0627467972070308</v>
      </c>
      <c r="N264" s="1">
        <f t="shared" si="54"/>
        <v>4286.6154396262418</v>
      </c>
      <c r="O264" s="1">
        <f t="shared" si="55"/>
        <v>3.3142776107630345</v>
      </c>
      <c r="P264" s="1">
        <f t="shared" si="56"/>
        <v>38.39348098686564</v>
      </c>
      <c r="Q264" s="1">
        <f t="shared" si="57"/>
        <v>1.6715159383961207</v>
      </c>
      <c r="R264" s="1">
        <f t="shared" si="58"/>
        <v>1083.4441722228448</v>
      </c>
      <c r="S264" s="1">
        <f t="shared" si="59"/>
        <v>22.486490471842444</v>
      </c>
      <c r="T264" s="1">
        <f t="shared" si="60"/>
        <v>296048.71439266106</v>
      </c>
      <c r="U264" s="1">
        <f t="shared" si="61"/>
        <v>357.71189499561149</v>
      </c>
      <c r="V264" s="1">
        <f t="shared" si="62"/>
        <v>2207.8215953520889</v>
      </c>
      <c r="W264" s="1">
        <f t="shared" si="63"/>
        <v>93.347541554339998</v>
      </c>
      <c r="X264" s="1"/>
      <c r="Y264" s="1"/>
      <c r="Z264" s="1"/>
      <c r="AA264" s="1"/>
      <c r="AB264" s="1"/>
      <c r="AC264" s="1"/>
      <c r="AD264" s="1"/>
      <c r="AE264" s="1"/>
    </row>
    <row r="265" spans="1:31" ht="22.05" customHeight="1">
      <c r="A265" s="1">
        <f>'01 Traffic inputs'!B215</f>
        <v>0.22423522728062589</v>
      </c>
      <c r="B265" s="1">
        <f>'01 Traffic inputs'!C215</f>
        <v>3.4077674367702653E-3</v>
      </c>
      <c r="C265" s="1">
        <f>IF('01 Traffic inputs'!$B$16&lt;=2/3,(4*A265*(1-A265))^$B$16,1-ABS(2*A265-1)^$B$17)</f>
        <v>0.29177525221708628</v>
      </c>
      <c r="D265" s="1">
        <f>IF('01 Traffic inputs'!$B$16&lt;=2/3,4*$B$16*(1-2*A265)*(4*A265*(1-A265))^($B$16-1),-2*$B$17*SIGN(2*A265-1)*ABS(2*A265-1)^($B$17-1))</f>
        <v>3.1419579882461428</v>
      </c>
      <c r="E265" s="1">
        <f t="shared" si="51"/>
        <v>16.981474976164183</v>
      </c>
      <c r="F265" s="1">
        <f t="shared" si="52"/>
        <v>3.2939448897214132E-2</v>
      </c>
      <c r="G265" s="1">
        <f t="shared" si="53"/>
        <v>0.55936042717668066</v>
      </c>
      <c r="H265" s="1">
        <f>'01 Traffic inputs'!$B$8/F265</f>
        <v>31.573084396320269</v>
      </c>
      <c r="I265" s="1">
        <f>MATCH(H265,'02 Emission rates'!$A$7:$A$15,1)</f>
        <v>2</v>
      </c>
      <c r="J265" s="1">
        <f>INDEX('02 Emission rates'!$D$7:$D$15,I265)</f>
        <v>7854.4376436942921</v>
      </c>
      <c r="K265" s="1">
        <f>INDEX('02 Emission rates'!$E$7:$E$15,I265)</f>
        <v>6.0728066686336852</v>
      </c>
      <c r="L265" s="1">
        <f>INDEX('02 Emission rates'!$F$7:$F$15,I265)</f>
        <v>70.349021642583381</v>
      </c>
      <c r="M265" s="1">
        <f>INDEX('02 Emission rates'!$G$7:$G$15,I265)</f>
        <v>3.0627467972070308</v>
      </c>
      <c r="N265" s="1">
        <f t="shared" si="54"/>
        <v>4393.4615956094403</v>
      </c>
      <c r="O265" s="1">
        <f t="shared" si="55"/>
        <v>3.3968877323283331</v>
      </c>
      <c r="P265" s="1">
        <f t="shared" si="56"/>
        <v>39.350458797456994</v>
      </c>
      <c r="Q265" s="1">
        <f t="shared" si="57"/>
        <v>1.7131793568197353</v>
      </c>
      <c r="R265" s="1">
        <f t="shared" si="58"/>
        <v>1100.4256471990091</v>
      </c>
      <c r="S265" s="1">
        <f t="shared" si="59"/>
        <v>23.045850899019126</v>
      </c>
      <c r="T265" s="1">
        <f t="shared" si="60"/>
        <v>300442.17598827049</v>
      </c>
      <c r="U265" s="1">
        <f t="shared" si="61"/>
        <v>361.1087827279398</v>
      </c>
      <c r="V265" s="1">
        <f t="shared" si="62"/>
        <v>2247.1720541495461</v>
      </c>
      <c r="W265" s="1">
        <f t="shared" si="63"/>
        <v>95.060720911159734</v>
      </c>
      <c r="X265" s="1"/>
      <c r="Y265" s="1"/>
      <c r="Z265" s="1"/>
      <c r="AA265" s="1"/>
      <c r="AB265" s="1"/>
      <c r="AC265" s="1"/>
      <c r="AD265" s="1"/>
      <c r="AE265" s="1"/>
    </row>
    <row r="266" spans="1:31" ht="22.05" customHeight="1">
      <c r="A266" s="1">
        <f>'01 Traffic inputs'!B216</f>
        <v>0.22765216158164658</v>
      </c>
      <c r="B266" s="1">
        <f>'01 Traffic inputs'!C216</f>
        <v>3.4260631469514484E-3</v>
      </c>
      <c r="C266" s="1">
        <f>IF('01 Traffic inputs'!$B$16&lt;=2/3,(4*A266*(1-A266))^$B$16,1-ABS(2*A266-1)^$B$17)</f>
        <v>0.30258293165540923</v>
      </c>
      <c r="D266" s="1">
        <f>IF('01 Traffic inputs'!$B$16&lt;=2/3,4*$B$16*(1-2*A266)*(4*A266*(1-A266))^($B$16-1),-2*$B$17*SIGN(2*A266-1)*ABS(2*A266-1)^($B$17-1))</f>
        <v>3.1836892763711235</v>
      </c>
      <c r="E266" s="1">
        <f t="shared" si="51"/>
        <v>17.081469714830185</v>
      </c>
      <c r="F266" s="1">
        <f t="shared" si="52"/>
        <v>3.355915853100163E-2</v>
      </c>
      <c r="G266" s="1">
        <f t="shared" si="53"/>
        <v>0.5732397501024894</v>
      </c>
      <c r="H266" s="1">
        <f>'01 Traffic inputs'!$B$8/F266</f>
        <v>30.990049975158893</v>
      </c>
      <c r="I266" s="1">
        <f>MATCH(H266,'02 Emission rates'!$A$7:$A$15,1)</f>
        <v>2</v>
      </c>
      <c r="J266" s="1">
        <f>INDEX('02 Emission rates'!$D$7:$D$15,I266)</f>
        <v>7854.4376436942921</v>
      </c>
      <c r="K266" s="1">
        <f>INDEX('02 Emission rates'!$E$7:$E$15,I266)</f>
        <v>6.0728066686336852</v>
      </c>
      <c r="L266" s="1">
        <f>INDEX('02 Emission rates'!$F$7:$F$15,I266)</f>
        <v>70.349021642583381</v>
      </c>
      <c r="M266" s="1">
        <f>INDEX('02 Emission rates'!$G$7:$G$15,I266)</f>
        <v>3.0627467972070308</v>
      </c>
      <c r="N266" s="1">
        <f t="shared" si="54"/>
        <v>4502.4758720669015</v>
      </c>
      <c r="O266" s="1">
        <f t="shared" si="55"/>
        <v>3.4811741771483047</v>
      </c>
      <c r="P266" s="1">
        <f t="shared" si="56"/>
        <v>40.326855586349119</v>
      </c>
      <c r="Q266" s="1">
        <f t="shared" si="57"/>
        <v>1.755688208658158</v>
      </c>
      <c r="R266" s="1">
        <f t="shared" si="58"/>
        <v>1117.5071169138394</v>
      </c>
      <c r="S266" s="1">
        <f t="shared" si="59"/>
        <v>23.619090649121613</v>
      </c>
      <c r="T266" s="1">
        <f t="shared" si="60"/>
        <v>304944.65186033741</v>
      </c>
      <c r="U266" s="1">
        <f t="shared" si="61"/>
        <v>364.58995690508812</v>
      </c>
      <c r="V266" s="1">
        <f t="shared" si="62"/>
        <v>2287.4989097358953</v>
      </c>
      <c r="W266" s="1">
        <f t="shared" si="63"/>
        <v>96.816409119817891</v>
      </c>
      <c r="X266" s="1"/>
      <c r="Y266" s="1"/>
      <c r="Z266" s="1"/>
      <c r="AA266" s="1"/>
      <c r="AB266" s="1"/>
      <c r="AC266" s="1"/>
      <c r="AD266" s="1"/>
      <c r="AE266" s="1"/>
    </row>
    <row r="267" spans="1:31" ht="22.05" customHeight="1">
      <c r="A267" s="1">
        <f>'01 Traffic inputs'!B217</f>
        <v>0.23108727733508555</v>
      </c>
      <c r="B267" s="1">
        <f>'01 Traffic inputs'!C217</f>
        <v>3.4441301393119401E-3</v>
      </c>
      <c r="C267" s="1">
        <f>IF('01 Traffic inputs'!$B$16&lt;=2/3,(4*A267*(1-A267))^$B$16,1-ABS(2*A267-1)^$B$17)</f>
        <v>0.31358867518364364</v>
      </c>
      <c r="D267" s="1">
        <f>IF('01 Traffic inputs'!$B$16&lt;=2/3,4*$B$16*(1-2*A267)*(4*A267*(1-A267))^($B$16-1),-2*$B$17*SIGN(2*A267-1)*ABS(2*A267-1)^($B$17-1))</f>
        <v>3.2237820054727595</v>
      </c>
      <c r="E267" s="1">
        <f t="shared" si="51"/>
        <v>17.180069477565123</v>
      </c>
      <c r="F267" s="1">
        <f t="shared" si="52"/>
        <v>3.4190225110128411E-2</v>
      </c>
      <c r="G267" s="1">
        <f t="shared" si="53"/>
        <v>0.58739044284559772</v>
      </c>
      <c r="H267" s="1">
        <f>'01 Traffic inputs'!$B$8/F267</f>
        <v>30.418050675306432</v>
      </c>
      <c r="I267" s="1">
        <f>MATCH(H267,'02 Emission rates'!$A$7:$A$15,1)</f>
        <v>2</v>
      </c>
      <c r="J267" s="1">
        <f>INDEX('02 Emission rates'!$D$7:$D$15,I267)</f>
        <v>7854.4376436942921</v>
      </c>
      <c r="K267" s="1">
        <f>INDEX('02 Emission rates'!$E$7:$E$15,I267)</f>
        <v>6.0728066686336852</v>
      </c>
      <c r="L267" s="1">
        <f>INDEX('02 Emission rates'!$F$7:$F$15,I267)</f>
        <v>70.349021642583381</v>
      </c>
      <c r="M267" s="1">
        <f>INDEX('02 Emission rates'!$G$7:$G$15,I267)</f>
        <v>3.0627467972070308</v>
      </c>
      <c r="N267" s="1">
        <f t="shared" si="54"/>
        <v>4613.6216058327236</v>
      </c>
      <c r="O267" s="1">
        <f t="shared" si="55"/>
        <v>3.5671085984044395</v>
      </c>
      <c r="P267" s="1">
        <f t="shared" si="56"/>
        <v>41.322342976391589</v>
      </c>
      <c r="Q267" s="1">
        <f t="shared" si="57"/>
        <v>1.7990281975353739</v>
      </c>
      <c r="R267" s="1">
        <f t="shared" si="58"/>
        <v>1134.6871863914046</v>
      </c>
      <c r="S267" s="1">
        <f t="shared" si="59"/>
        <v>24.206481091967213</v>
      </c>
      <c r="T267" s="1">
        <f t="shared" si="60"/>
        <v>309558.27346617013</v>
      </c>
      <c r="U267" s="1">
        <f t="shared" si="61"/>
        <v>368.15706550349256</v>
      </c>
      <c r="V267" s="1">
        <f t="shared" si="62"/>
        <v>2328.8212527122869</v>
      </c>
      <c r="W267" s="1">
        <f t="shared" si="63"/>
        <v>98.615437317353269</v>
      </c>
      <c r="X267" s="1"/>
      <c r="Y267" s="1"/>
      <c r="Z267" s="1"/>
      <c r="AA267" s="1"/>
      <c r="AB267" s="1"/>
      <c r="AC267" s="1"/>
      <c r="AD267" s="1"/>
      <c r="AE267" s="1"/>
    </row>
    <row r="268" spans="1:31" ht="22.05" customHeight="1">
      <c r="A268" s="1">
        <f>'01 Traffic inputs'!B218</f>
        <v>0.23454034521878625</v>
      </c>
      <c r="B268" s="1">
        <f>'01 Traffic inputs'!C218</f>
        <v>3.4619672077316828E-3</v>
      </c>
      <c r="C268" s="1">
        <f>IF('01 Traffic inputs'!$B$16&lt;=2/3,(4*A268*(1-A268))^$B$16,1-ABS(2*A268-1)^$B$17)</f>
        <v>0.32478743209250249</v>
      </c>
      <c r="D268" s="1">
        <f>IF('01 Traffic inputs'!$B$16&lt;=2/3,4*$B$16*(1-2*A268)*(4*A268*(1-A268))^($B$16-1),-2*$B$17*SIGN(2*A268-1)*ABS(2*A268-1)^($B$17-1))</f>
        <v>3.262157346107879</v>
      </c>
      <c r="E268" s="1">
        <f t="shared" si="51"/>
        <v>17.277244222624443</v>
      </c>
      <c r="F268" s="1">
        <f t="shared" si="52"/>
        <v>3.4832359028188167E-2</v>
      </c>
      <c r="G268" s="1">
        <f t="shared" si="53"/>
        <v>0.60180717378014437</v>
      </c>
      <c r="H268" s="1">
        <f>'01 Traffic inputs'!$B$8/F268</f>
        <v>29.857294453080197</v>
      </c>
      <c r="I268" s="1">
        <f>MATCH(H268,'02 Emission rates'!$A$7:$A$15,1)</f>
        <v>2</v>
      </c>
      <c r="J268" s="1">
        <f>INDEX('02 Emission rates'!$D$7:$D$15,I268)</f>
        <v>7854.4376436942921</v>
      </c>
      <c r="K268" s="1">
        <f>INDEX('02 Emission rates'!$E$7:$E$15,I268)</f>
        <v>6.0728066686336852</v>
      </c>
      <c r="L268" s="1">
        <f>INDEX('02 Emission rates'!$F$7:$F$15,I268)</f>
        <v>70.349021642583381</v>
      </c>
      <c r="M268" s="1">
        <f>INDEX('02 Emission rates'!$G$7:$G$15,I268)</f>
        <v>3.0627467972070308</v>
      </c>
      <c r="N268" s="1">
        <f t="shared" si="54"/>
        <v>4726.8569199840385</v>
      </c>
      <c r="O268" s="1">
        <f t="shared" si="55"/>
        <v>3.6546586181636518</v>
      </c>
      <c r="P268" s="1">
        <f t="shared" si="56"/>
        <v>42.336545892921315</v>
      </c>
      <c r="Q268" s="1">
        <f t="shared" si="57"/>
        <v>1.8431829940313522</v>
      </c>
      <c r="R268" s="1">
        <f t="shared" si="58"/>
        <v>1151.964430614029</v>
      </c>
      <c r="S268" s="1">
        <f t="shared" si="59"/>
        <v>24.808288265747358</v>
      </c>
      <c r="T268" s="1">
        <f t="shared" si="60"/>
        <v>314285.13038615417</v>
      </c>
      <c r="U268" s="1">
        <f t="shared" si="61"/>
        <v>371.8117241216562</v>
      </c>
      <c r="V268" s="1">
        <f t="shared" si="62"/>
        <v>2371.157798605208</v>
      </c>
      <c r="W268" s="1">
        <f t="shared" si="63"/>
        <v>100.45862031138462</v>
      </c>
      <c r="X268" s="1"/>
      <c r="Y268" s="1"/>
      <c r="Z268" s="1"/>
      <c r="AA268" s="1"/>
      <c r="AB268" s="1"/>
      <c r="AC268" s="1"/>
      <c r="AD268" s="1"/>
      <c r="AE268" s="1"/>
    </row>
    <row r="269" spans="1:31" ht="22.05" customHeight="1">
      <c r="A269" s="1">
        <f>'01 Traffic inputs'!B219</f>
        <v>0.2380111347121403</v>
      </c>
      <c r="B269" s="1">
        <f>'01 Traffic inputs'!C219</f>
        <v>3.4795731614401652E-3</v>
      </c>
      <c r="C269" s="1">
        <f>IF('01 Traffic inputs'!$B$16&lt;=2/3,(4*A269*(1-A269))^$B$16,1-ABS(2*A269-1)^$B$17)</f>
        <v>0.3361737587307817</v>
      </c>
      <c r="D269" s="1">
        <f>IF('01 Traffic inputs'!$B$16&lt;=2/3,4*$B$16*(1-2*A269)*(4*A269*(1-A269))^($B$16-1),-2*$B$17*SIGN(2*A269-1)*ABS(2*A269-1)^($B$17-1))</f>
        <v>3.2987376187847488</v>
      </c>
      <c r="E269" s="1">
        <f t="shared" si="51"/>
        <v>17.372964017048506</v>
      </c>
      <c r="F269" s="1">
        <f t="shared" si="52"/>
        <v>3.5485248147583422E-2</v>
      </c>
      <c r="G269" s="1">
        <f t="shared" si="53"/>
        <v>0.61648393920400391</v>
      </c>
      <c r="H269" s="1">
        <f>'01 Traffic inputs'!$B$8/F269</f>
        <v>29.307953425453089</v>
      </c>
      <c r="I269" s="1">
        <f>MATCH(H269,'02 Emission rates'!$A$7:$A$15,1)</f>
        <v>2</v>
      </c>
      <c r="J269" s="1">
        <f>INDEX('02 Emission rates'!$D$7:$D$15,I269)</f>
        <v>7854.4376436942921</v>
      </c>
      <c r="K269" s="1">
        <f>INDEX('02 Emission rates'!$E$7:$E$15,I269)</f>
        <v>6.0728066686336852</v>
      </c>
      <c r="L269" s="1">
        <f>INDEX('02 Emission rates'!$F$7:$F$15,I269)</f>
        <v>70.349021642583381</v>
      </c>
      <c r="M269" s="1">
        <f>INDEX('02 Emission rates'!$G$7:$G$15,I269)</f>
        <v>3.0627467972070308</v>
      </c>
      <c r="N269" s="1">
        <f t="shared" si="54"/>
        <v>4842.1346588168717</v>
      </c>
      <c r="O269" s="1">
        <f t="shared" si="55"/>
        <v>3.7437877771036381</v>
      </c>
      <c r="P269" s="1">
        <f t="shared" si="56"/>
        <v>43.369041981367531</v>
      </c>
      <c r="Q269" s="1">
        <f t="shared" si="57"/>
        <v>1.8881342103266368</v>
      </c>
      <c r="R269" s="1">
        <f t="shared" si="58"/>
        <v>1169.3373946310776</v>
      </c>
      <c r="S269" s="1">
        <f t="shared" si="59"/>
        <v>25.42477220495136</v>
      </c>
      <c r="T269" s="1">
        <f t="shared" si="60"/>
        <v>319127.26504497102</v>
      </c>
      <c r="U269" s="1">
        <f t="shared" si="61"/>
        <v>375.55551189875985</v>
      </c>
      <c r="V269" s="1">
        <f t="shared" si="62"/>
        <v>2414.5268405865754</v>
      </c>
      <c r="W269" s="1">
        <f t="shared" si="63"/>
        <v>102.34675452171126</v>
      </c>
      <c r="X269" s="1"/>
      <c r="Y269" s="1"/>
      <c r="Z269" s="1"/>
      <c r="AA269" s="1"/>
      <c r="AB269" s="1"/>
      <c r="AC269" s="1"/>
      <c r="AD269" s="1"/>
      <c r="AE269" s="1"/>
    </row>
    <row r="270" spans="1:31" ht="22.05" customHeight="1">
      <c r="A270" s="1">
        <f>'01 Traffic inputs'!B220</f>
        <v>0.24149941411147635</v>
      </c>
      <c r="B270" s="1">
        <f>'01 Traffic inputs'!C220</f>
        <v>3.496946825095347E-3</v>
      </c>
      <c r="C270" s="1">
        <f>IF('01 Traffic inputs'!$B$16&lt;=2/3,(4*A270*(1-A270))^$B$16,1-ABS(2*A270-1)^$B$17)</f>
        <v>0.34774181947943111</v>
      </c>
      <c r="D270" s="1">
        <f>IF('01 Traffic inputs'!$B$16&lt;=2/3,4*$B$16*(1-2*A270)*(4*A270*(1-A270))^($B$16-1),-2*$B$17*SIGN(2*A270-1)*ABS(2*A270-1)^($B$17-1))</f>
        <v>3.3334464372562249</v>
      </c>
      <c r="E270" s="1">
        <f t="shared" si="51"/>
        <v>17.467199086836491</v>
      </c>
      <c r="F270" s="1">
        <f t="shared" si="52"/>
        <v>3.6148557855378523E-2</v>
      </c>
      <c r="G270" s="1">
        <f t="shared" si="53"/>
        <v>0.63141405676192375</v>
      </c>
      <c r="H270" s="1">
        <f>'01 Traffic inputs'!$B$8/F270</f>
        <v>28.77016571894249</v>
      </c>
      <c r="I270" s="1">
        <f>MATCH(H270,'02 Emission rates'!$A$7:$A$15,1)</f>
        <v>2</v>
      </c>
      <c r="J270" s="1">
        <f>INDEX('02 Emission rates'!$D$7:$D$15,I270)</f>
        <v>7854.4376436942921</v>
      </c>
      <c r="K270" s="1">
        <f>INDEX('02 Emission rates'!$E$7:$E$15,I270)</f>
        <v>6.0728066686336852</v>
      </c>
      <c r="L270" s="1">
        <f>INDEX('02 Emission rates'!$F$7:$F$15,I270)</f>
        <v>70.349021642583381</v>
      </c>
      <c r="M270" s="1">
        <f>INDEX('02 Emission rates'!$G$7:$G$15,I270)</f>
        <v>3.0627467972070308</v>
      </c>
      <c r="N270" s="1">
        <f t="shared" si="54"/>
        <v>4959.4023361885784</v>
      </c>
      <c r="O270" s="1">
        <f t="shared" si="55"/>
        <v>3.8344554945728588</v>
      </c>
      <c r="P270" s="1">
        <f t="shared" si="56"/>
        <v>44.419361144575944</v>
      </c>
      <c r="Q270" s="1">
        <f t="shared" si="57"/>
        <v>1.9338613800590803</v>
      </c>
      <c r="R270" s="1">
        <f t="shared" si="58"/>
        <v>1186.804593717914</v>
      </c>
      <c r="S270" s="1">
        <f t="shared" si="59"/>
        <v>26.056186261713282</v>
      </c>
      <c r="T270" s="1">
        <f t="shared" si="60"/>
        <v>324086.66738115961</v>
      </c>
      <c r="U270" s="1">
        <f t="shared" si="61"/>
        <v>379.38996739333271</v>
      </c>
      <c r="V270" s="1">
        <f t="shared" si="62"/>
        <v>2458.9462017311512</v>
      </c>
      <c r="W270" s="1">
        <f t="shared" si="63"/>
        <v>104.28061590177035</v>
      </c>
      <c r="X270" s="1"/>
      <c r="Y270" s="1"/>
      <c r="Z270" s="1"/>
      <c r="AA270" s="1"/>
      <c r="AB270" s="1"/>
      <c r="AC270" s="1"/>
      <c r="AD270" s="1"/>
      <c r="AE270" s="1"/>
    </row>
    <row r="271" spans="1:31" ht="22.05" customHeight="1">
      <c r="A271" s="1">
        <f>'01 Traffic inputs'!B221</f>
        <v>0.24500495054552857</v>
      </c>
      <c r="B271" s="1">
        <f>'01 Traffic inputs'!C221</f>
        <v>3.5140870388629302E-3</v>
      </c>
      <c r="C271" s="1">
        <f>IF('01 Traffic inputs'!$B$16&lt;=2/3,(4*A271*(1-A271))^$B$16,1-ABS(2*A271-1)^$B$17)</f>
        <v>0.3594853885371696</v>
      </c>
      <c r="D271" s="1">
        <f>IF('01 Traffic inputs'!$B$16&lt;=2/3,4*$B$16*(1-2*A271)*(4*A271*(1-A271))^($B$16-1),-2*$B$17*SIGN(2*A271-1)*ABS(2*A271-1)^($B$17-1))</f>
        <v>3.3662088509456778</v>
      </c>
      <c r="E271" s="1">
        <f t="shared" si="51"/>
        <v>17.559919867685423</v>
      </c>
      <c r="F271" s="1">
        <f t="shared" si="52"/>
        <v>3.6821931165686349E-2</v>
      </c>
      <c r="G271" s="1">
        <f t="shared" si="53"/>
        <v>0.64659016064288077</v>
      </c>
      <c r="H271" s="1">
        <f>'01 Traffic inputs'!$B$8/F271</f>
        <v>28.244037373280857</v>
      </c>
      <c r="I271" s="1">
        <f>MATCH(H271,'02 Emission rates'!$A$7:$A$15,1)</f>
        <v>2</v>
      </c>
      <c r="J271" s="1">
        <f>INDEX('02 Emission rates'!$D$7:$D$15,I271)</f>
        <v>7854.4376436942921</v>
      </c>
      <c r="K271" s="1">
        <f>INDEX('02 Emission rates'!$E$7:$E$15,I271)</f>
        <v>6.0728066686336852</v>
      </c>
      <c r="L271" s="1">
        <f>INDEX('02 Emission rates'!$F$7:$F$15,I271)</f>
        <v>70.349021642583381</v>
      </c>
      <c r="M271" s="1">
        <f>INDEX('02 Emission rates'!$G$7:$G$15,I271)</f>
        <v>3.0627467972070308</v>
      </c>
      <c r="N271" s="1">
        <f t="shared" si="54"/>
        <v>5078.6020977957824</v>
      </c>
      <c r="O271" s="1">
        <f t="shared" si="55"/>
        <v>3.9266170394250119</v>
      </c>
      <c r="P271" s="1">
        <f t="shared" si="56"/>
        <v>45.486985204947487</v>
      </c>
      <c r="Q271" s="1">
        <f t="shared" si="57"/>
        <v>1.9803419436145626</v>
      </c>
      <c r="R271" s="1">
        <f t="shared" si="58"/>
        <v>1204.3645135855995</v>
      </c>
      <c r="S271" s="1">
        <f t="shared" si="59"/>
        <v>26.702776422356163</v>
      </c>
      <c r="T271" s="1">
        <f t="shared" si="60"/>
        <v>329165.26947895542</v>
      </c>
      <c r="U271" s="1">
        <f t="shared" si="61"/>
        <v>383.31658443275774</v>
      </c>
      <c r="V271" s="1">
        <f t="shared" si="62"/>
        <v>2504.4331869360985</v>
      </c>
      <c r="W271" s="1">
        <f t="shared" si="63"/>
        <v>106.26095784538491</v>
      </c>
      <c r="X271" s="1"/>
      <c r="Y271" s="1"/>
      <c r="Z271" s="1"/>
      <c r="AA271" s="1"/>
      <c r="AB271" s="1"/>
      <c r="AC271" s="1"/>
      <c r="AD271" s="1"/>
      <c r="AE271" s="1"/>
    </row>
    <row r="272" spans="1:31" ht="22.05" customHeight="1">
      <c r="A272" s="1">
        <f>'01 Traffic inputs'!B222</f>
        <v>0.24852750999098222</v>
      </c>
      <c r="B272" s="1">
        <f>'01 Traffic inputs'!C222</f>
        <v>3.5309926584928117E-3</v>
      </c>
      <c r="C272" s="1">
        <f>IF('01 Traffic inputs'!$B$16&lt;=2/3,(4*A272*(1-A272))^$B$16,1-ABS(2*A272-1)^$B$17)</f>
        <v>0.37139785252581753</v>
      </c>
      <c r="D272" s="1">
        <f>IF('01 Traffic inputs'!$B$16&lt;=2/3,4*$B$16*(1-2*A272)*(4*A272*(1-A272))^($B$16-1),-2*$B$17*SIGN(2*A272-1)*ABS(2*A272-1)^($B$17-1))</f>
        <v>3.3969514862199834</v>
      </c>
      <c r="E272" s="1">
        <f t="shared" si="51"/>
        <v>17.6510970561608</v>
      </c>
      <c r="F272" s="1">
        <f t="shared" si="52"/>
        <v>3.750498886905744E-2</v>
      </c>
      <c r="G272" s="1">
        <f t="shared" si="53"/>
        <v>0.66200419861796334</v>
      </c>
      <c r="H272" s="1">
        <f>'01 Traffic inputs'!$B$8/F272</f>
        <v>27.729644278285512</v>
      </c>
      <c r="I272" s="1">
        <f>MATCH(H272,'02 Emission rates'!$A$7:$A$15,1)</f>
        <v>2</v>
      </c>
      <c r="J272" s="1">
        <f>INDEX('02 Emission rates'!$D$7:$D$15,I272)</f>
        <v>7854.4376436942921</v>
      </c>
      <c r="K272" s="1">
        <f>INDEX('02 Emission rates'!$E$7:$E$15,I272)</f>
        <v>6.0728066686336852</v>
      </c>
      <c r="L272" s="1">
        <f>INDEX('02 Emission rates'!$F$7:$F$15,I272)</f>
        <v>70.349021642583381</v>
      </c>
      <c r="M272" s="1">
        <f>INDEX('02 Emission rates'!$G$7:$G$15,I272)</f>
        <v>3.0627467972070308</v>
      </c>
      <c r="N272" s="1">
        <f t="shared" si="54"/>
        <v>5199.6706979086039</v>
      </c>
      <c r="O272" s="1">
        <f t="shared" si="55"/>
        <v>4.0202235120306664</v>
      </c>
      <c r="P272" s="1">
        <f t="shared" si="56"/>
        <v>46.571347696056172</v>
      </c>
      <c r="Q272" s="1">
        <f t="shared" si="57"/>
        <v>2.0275512390547741</v>
      </c>
      <c r="R272" s="1">
        <f t="shared" si="58"/>
        <v>1222.0156106417603</v>
      </c>
      <c r="S272" s="1">
        <f t="shared" si="59"/>
        <v>27.364780620974127</v>
      </c>
      <c r="T272" s="1">
        <f t="shared" si="60"/>
        <v>334364.94017686404</v>
      </c>
      <c r="U272" s="1">
        <f t="shared" si="61"/>
        <v>387.3368079447884</v>
      </c>
      <c r="V272" s="1">
        <f t="shared" si="62"/>
        <v>2551.0045346321549</v>
      </c>
      <c r="W272" s="1">
        <f t="shared" si="63"/>
        <v>108.28850908443968</v>
      </c>
      <c r="X272" s="1"/>
      <c r="Y272" s="1"/>
      <c r="Z272" s="1"/>
      <c r="AA272" s="1"/>
      <c r="AB272" s="1"/>
      <c r="AC272" s="1"/>
      <c r="AD272" s="1"/>
      <c r="AE272" s="1"/>
    </row>
    <row r="273" spans="1:31" ht="22.05" customHeight="1">
      <c r="A273" s="1">
        <f>'01 Traffic inputs'!B223</f>
        <v>0.25206685728809708</v>
      </c>
      <c r="B273" s="1">
        <f>'01 Traffic inputs'!C223</f>
        <v>3.5476625553962624E-3</v>
      </c>
      <c r="C273" s="1">
        <f>IF('01 Traffic inputs'!$B$16&lt;=2/3,(4*A273*(1-A273))^$B$16,1-ABS(2*A273-1)^$B$17)</f>
        <v>0.38347221392159542</v>
      </c>
      <c r="D273" s="1">
        <f>IF('01 Traffic inputs'!$B$16&lt;=2/3,4*$B$16*(1-2*A273)*(4*A273*(1-A273))^($B$16-1),-2*$B$17*SIGN(2*A273-1)*ABS(2*A273-1)^($B$17-1))</f>
        <v>3.425602686224571</v>
      </c>
      <c r="E273" s="1">
        <f t="shared" ref="E273:E336" si="64">$B$7*B273*(1+$B$11/$B$9*D273)</f>
        <v>17.740701661196244</v>
      </c>
      <c r="F273" s="1">
        <f t="shared" ref="F273:F336" si="65">$B$10+$B$11*C273</f>
        <v>3.8197329729229776E-2</v>
      </c>
      <c r="G273" s="1">
        <f t="shared" ref="G273:G336" si="66">E273*F273</f>
        <v>0.67764743098060731</v>
      </c>
      <c r="H273" s="1">
        <f>'01 Traffic inputs'!$B$8/F273</f>
        <v>27.227034124434628</v>
      </c>
      <c r="I273" s="1">
        <f>MATCH(H273,'02 Emission rates'!$A$7:$A$15,1)</f>
        <v>2</v>
      </c>
      <c r="J273" s="1">
        <f>INDEX('02 Emission rates'!$D$7:$D$15,I273)</f>
        <v>7854.4376436942921</v>
      </c>
      <c r="K273" s="1">
        <f>INDEX('02 Emission rates'!$E$7:$E$15,I273)</f>
        <v>6.0728066686336852</v>
      </c>
      <c r="L273" s="1">
        <f>INDEX('02 Emission rates'!$F$7:$F$15,I273)</f>
        <v>70.349021642583381</v>
      </c>
      <c r="M273" s="1">
        <f>INDEX('02 Emission rates'!$G$7:$G$15,I273)</f>
        <v>3.0627467972070308</v>
      </c>
      <c r="N273" s="1">
        <f t="shared" ref="N273:N336" si="67">G273*J273</f>
        <v>5322.5394910468121</v>
      </c>
      <c r="O273" s="1">
        <f t="shared" ref="O273:O336" si="68">G273*K273</f>
        <v>4.1152218378415171</v>
      </c>
      <c r="P273" s="1">
        <f t="shared" ref="P273:P336" si="69">G273*L273</f>
        <v>47.671833788095775</v>
      </c>
      <c r="Q273" s="1">
        <f t="shared" ref="Q273:Q336" si="70">G273*M273</f>
        <v>2.0754624988714276</v>
      </c>
      <c r="R273" s="1">
        <f t="shared" ref="R273:R336" si="71">R272+E273</f>
        <v>1239.7563123029565</v>
      </c>
      <c r="S273" s="1">
        <f t="shared" ref="S273:S336" si="72">S272+G273</f>
        <v>28.042428051954733</v>
      </c>
      <c r="T273" s="1">
        <f t="shared" ref="T273:T336" si="73">T272+N273</f>
        <v>339687.47966791084</v>
      </c>
      <c r="U273" s="1">
        <f t="shared" ref="U273:U336" si="74">U272+O273</f>
        <v>391.45202978262989</v>
      </c>
      <c r="V273" s="1">
        <f t="shared" ref="V273:V336" si="75">V272+P273</f>
        <v>2598.6763684202506</v>
      </c>
      <c r="W273" s="1">
        <f t="shared" ref="W273:W336" si="76">W272+Q273</f>
        <v>110.36397158331111</v>
      </c>
      <c r="X273" s="1"/>
      <c r="Y273" s="1"/>
      <c r="Z273" s="1"/>
      <c r="AA273" s="1"/>
      <c r="AB273" s="1"/>
      <c r="AC273" s="1"/>
      <c r="AD273" s="1"/>
      <c r="AE273" s="1"/>
    </row>
    <row r="274" spans="1:31" ht="22.05" customHeight="1">
      <c r="A274" s="1">
        <f>'01 Traffic inputs'!B224</f>
        <v>0.25562275615640606</v>
      </c>
      <c r="B274" s="1">
        <f>'01 Traffic inputs'!C224</f>
        <v>3.5640956167209805E-3</v>
      </c>
      <c r="C274" s="1">
        <f>IF('01 Traffic inputs'!$B$16&lt;=2/3,(4*A274*(1-A274))^$B$16,1-ABS(2*A274-1)^$B$17)</f>
        <v>0.3957010953166667</v>
      </c>
      <c r="D274" s="1">
        <f>IF('01 Traffic inputs'!$B$16&lt;=2/3,4*$B$16*(1-2*A274)*(4*A274*(1-A274))^($B$16-1),-2*$B$17*SIGN(2*A274-1)*ABS(2*A274-1)^($B$17-1))</f>
        <v>3.452092648996846</v>
      </c>
      <c r="E274" s="1">
        <f t="shared" si="64"/>
        <v>17.828705055785704</v>
      </c>
      <c r="F274" s="1">
        <f t="shared" si="65"/>
        <v>3.8898530727484629E-2</v>
      </c>
      <c r="G274" s="1">
        <f t="shared" si="66"/>
        <v>0.6935104314437408</v>
      </c>
      <c r="H274" s="1">
        <f>'01 Traffic inputs'!$B$8/F274</f>
        <v>26.73622834975577</v>
      </c>
      <c r="I274" s="1">
        <f>MATCH(H274,'02 Emission rates'!$A$7:$A$15,1)</f>
        <v>2</v>
      </c>
      <c r="J274" s="1">
        <f>INDEX('02 Emission rates'!$D$7:$D$15,I274)</f>
        <v>7854.4376436942921</v>
      </c>
      <c r="K274" s="1">
        <f>INDEX('02 Emission rates'!$E$7:$E$15,I274)</f>
        <v>6.0728066686336852</v>
      </c>
      <c r="L274" s="1">
        <f>INDEX('02 Emission rates'!$F$7:$F$15,I274)</f>
        <v>70.349021642583381</v>
      </c>
      <c r="M274" s="1">
        <f>INDEX('02 Emission rates'!$G$7:$G$15,I274)</f>
        <v>3.0627467972070308</v>
      </c>
      <c r="N274" s="1">
        <f t="shared" si="67"/>
        <v>5447.1344390263876</v>
      </c>
      <c r="O274" s="1">
        <f t="shared" si="68"/>
        <v>4.2115547728385732</v>
      </c>
      <c r="P274" s="1">
        <f t="shared" si="69"/>
        <v>48.78778035099306</v>
      </c>
      <c r="Q274" s="1">
        <f t="shared" si="70"/>
        <v>2.1240468527339833</v>
      </c>
      <c r="R274" s="1">
        <f t="shared" si="71"/>
        <v>1257.5850173587423</v>
      </c>
      <c r="S274" s="1">
        <f t="shared" si="72"/>
        <v>28.735938483398474</v>
      </c>
      <c r="T274" s="1">
        <f t="shared" si="73"/>
        <v>345134.61410693725</v>
      </c>
      <c r="U274" s="1">
        <f t="shared" si="74"/>
        <v>395.66358455546845</v>
      </c>
      <c r="V274" s="1">
        <f t="shared" si="75"/>
        <v>2647.4641487712438</v>
      </c>
      <c r="W274" s="1">
        <f t="shared" si="76"/>
        <v>112.4880184360451</v>
      </c>
      <c r="X274" s="1"/>
      <c r="Y274" s="1"/>
      <c r="Z274" s="1"/>
      <c r="AA274" s="1"/>
      <c r="AB274" s="1"/>
      <c r="AC274" s="1"/>
      <c r="AD274" s="1"/>
      <c r="AE274" s="1"/>
    </row>
    <row r="275" spans="1:31" ht="22.05" customHeight="1">
      <c r="A275" s="1">
        <f>'01 Traffic inputs'!B225</f>
        <v>0.25919496921048896</v>
      </c>
      <c r="B275" s="1">
        <f>'01 Traffic inputs'!C225</f>
        <v>3.5802907454252084E-3</v>
      </c>
      <c r="C275" s="1">
        <f>IF('01 Traffic inputs'!$B$16&lt;=2/3,(4*A275*(1-A275))^$B$16,1-ABS(2*A275-1)^$B$17)</f>
        <v>0.40807674451321507</v>
      </c>
      <c r="D275" s="1">
        <f>IF('01 Traffic inputs'!$B$16&lt;=2/3,4*$B$16*(1-2*A275)*(4*A275*(1-A275))^($B$16-1),-2*$B$17*SIGN(2*A275-1)*ABS(2*A275-1)^($B$17-1))</f>
        <v>3.4763535635762435</v>
      </c>
      <c r="E275" s="1">
        <f t="shared" si="64"/>
        <v>17.915079028750309</v>
      </c>
      <c r="F275" s="1">
        <f t="shared" si="65"/>
        <v>3.9608147354739595E-2</v>
      </c>
      <c r="G275" s="1">
        <f t="shared" si="66"/>
        <v>0.70958309004254738</v>
      </c>
      <c r="H275" s="1">
        <f>'01 Traffic inputs'!$B$8/F275</f>
        <v>26.257224067703632</v>
      </c>
      <c r="I275" s="1">
        <f>MATCH(H275,'02 Emission rates'!$A$7:$A$15,1)</f>
        <v>2</v>
      </c>
      <c r="J275" s="1">
        <f>INDEX('02 Emission rates'!$D$7:$D$15,I275)</f>
        <v>7854.4376436942921</v>
      </c>
      <c r="K275" s="1">
        <f>INDEX('02 Emission rates'!$E$7:$E$15,I275)</f>
        <v>6.0728066686336852</v>
      </c>
      <c r="L275" s="1">
        <f>INDEX('02 Emission rates'!$F$7:$F$15,I275)</f>
        <v>70.349021642583381</v>
      </c>
      <c r="M275" s="1">
        <f>INDEX('02 Emission rates'!$G$7:$G$15,I275)</f>
        <v>3.0627467972070308</v>
      </c>
      <c r="N275" s="1">
        <f t="shared" si="67"/>
        <v>5573.3761337591004</v>
      </c>
      <c r="O275" s="1">
        <f t="shared" si="68"/>
        <v>4.3091609211600783</v>
      </c>
      <c r="P275" s="1">
        <f t="shared" si="69"/>
        <v>49.918476158614361</v>
      </c>
      <c r="Q275" s="1">
        <f t="shared" si="70"/>
        <v>2.1732733363800802</v>
      </c>
      <c r="R275" s="1">
        <f t="shared" si="71"/>
        <v>1275.5000963874927</v>
      </c>
      <c r="S275" s="1">
        <f t="shared" si="72"/>
        <v>29.44552157344102</v>
      </c>
      <c r="T275" s="1">
        <f t="shared" si="73"/>
        <v>350707.99024069635</v>
      </c>
      <c r="U275" s="1">
        <f t="shared" si="74"/>
        <v>399.97274547662852</v>
      </c>
      <c r="V275" s="1">
        <f t="shared" si="75"/>
        <v>2697.3826249298581</v>
      </c>
      <c r="W275" s="1">
        <f t="shared" si="76"/>
        <v>114.66129177242517</v>
      </c>
      <c r="X275" s="1"/>
      <c r="Y275" s="1"/>
      <c r="Z275" s="1"/>
      <c r="AA275" s="1"/>
      <c r="AB275" s="1"/>
      <c r="AC275" s="1"/>
      <c r="AD275" s="1"/>
      <c r="AE275" s="1"/>
    </row>
    <row r="276" spans="1:31" ht="22.05" customHeight="1">
      <c r="A276" s="1">
        <f>'01 Traffic inputs'!B226</f>
        <v>0.2627832579758197</v>
      </c>
      <c r="B276" s="1">
        <f>'01 Traffic inputs'!C226</f>
        <v>3.5962468603513067E-3</v>
      </c>
      <c r="C276" s="1">
        <f>IF('01 Traffic inputs'!$B$16&lt;=2/3,(4*A276*(1-A276))^$B$16,1-ABS(2*A276-1)^$B$17)</f>
        <v>0.42059104045031948</v>
      </c>
      <c r="D276" s="1">
        <f>IF('01 Traffic inputs'!$B$16&lt;=2/3,4*$B$16*(1-2*A276)*(4*A276*(1-A276))^($B$16-1),-2*$B$17*SIGN(2*A276-1)*ABS(2*A276-1)^($B$17-1))</f>
        <v>3.498319743831686</v>
      </c>
      <c r="E276" s="1">
        <f t="shared" si="64"/>
        <v>17.999795836456435</v>
      </c>
      <c r="F276" s="1">
        <f t="shared" si="65"/>
        <v>4.0325713951394199E-2</v>
      </c>
      <c r="G276" s="1">
        <f t="shared" si="66"/>
        <v>0.72585461808443852</v>
      </c>
      <c r="H276" s="1">
        <f>'01 Traffic inputs'!$B$8/F276</f>
        <v>25.789995962714112</v>
      </c>
      <c r="I276" s="1">
        <f>MATCH(H276,'02 Emission rates'!$A$7:$A$15,1)</f>
        <v>2</v>
      </c>
      <c r="J276" s="1">
        <f>INDEX('02 Emission rates'!$D$7:$D$15,I276)</f>
        <v>7854.4376436942921</v>
      </c>
      <c r="K276" s="1">
        <f>INDEX('02 Emission rates'!$E$7:$E$15,I276)</f>
        <v>6.0728066686336852</v>
      </c>
      <c r="L276" s="1">
        <f>INDEX('02 Emission rates'!$F$7:$F$15,I276)</f>
        <v>70.349021642583381</v>
      </c>
      <c r="M276" s="1">
        <f>INDEX('02 Emission rates'!$G$7:$G$15,I276)</f>
        <v>3.0627467972070308</v>
      </c>
      <c r="N276" s="1">
        <f t="shared" si="67"/>
        <v>5701.1798361317578</v>
      </c>
      <c r="O276" s="1">
        <f t="shared" si="68"/>
        <v>4.4079747651617351</v>
      </c>
      <c r="P276" s="1">
        <f t="shared" si="69"/>
        <v>51.063162236991261</v>
      </c>
      <c r="Q276" s="1">
        <f t="shared" si="70"/>
        <v>2.2231089067760466</v>
      </c>
      <c r="R276" s="1">
        <f t="shared" si="71"/>
        <v>1293.4998922239492</v>
      </c>
      <c r="S276" s="1">
        <f t="shared" si="72"/>
        <v>30.171376191525457</v>
      </c>
      <c r="T276" s="1">
        <f t="shared" si="73"/>
        <v>356409.1700768281</v>
      </c>
      <c r="U276" s="1">
        <f t="shared" si="74"/>
        <v>404.38072024179024</v>
      </c>
      <c r="V276" s="1">
        <f t="shared" si="75"/>
        <v>2748.4457871668492</v>
      </c>
      <c r="W276" s="1">
        <f t="shared" si="76"/>
        <v>116.88440067920122</v>
      </c>
      <c r="X276" s="1"/>
      <c r="Y276" s="1"/>
      <c r="Z276" s="1"/>
      <c r="AA276" s="1"/>
      <c r="AB276" s="1"/>
      <c r="AC276" s="1"/>
      <c r="AD276" s="1"/>
      <c r="AE276" s="1"/>
    </row>
    <row r="277" spans="1:31" ht="22.05" customHeight="1">
      <c r="A277" s="1">
        <f>'01 Traffic inputs'!B227</f>
        <v>0.26638738290468678</v>
      </c>
      <c r="B277" s="1">
        <f>'01 Traffic inputs'!C227</f>
        <v>3.6119628962976769E-3</v>
      </c>
      <c r="C277" s="1">
        <f>IF('01 Traffic inputs'!$B$16&lt;=2/3,(4*A277*(1-A277))^$B$16,1-ABS(2*A277-1)^$B$17)</f>
        <v>0.43323549996186356</v>
      </c>
      <c r="D277" s="1">
        <f>IF('01 Traffic inputs'!$B$16&lt;=2/3,4*$B$16*(1-2*A277)*(4*A277*(1-A277))^($B$16-1),-2*$B$17*SIGN(2*A277-1)*ABS(2*A277-1)^($B$17-1))</f>
        <v>3.5179277597304002</v>
      </c>
      <c r="E277" s="1">
        <f t="shared" si="64"/>
        <v>18.082828254353259</v>
      </c>
      <c r="F277" s="1">
        <f t="shared" si="65"/>
        <v>4.1050744094826709E-2</v>
      </c>
      <c r="G277" s="1">
        <f t="shared" si="66"/>
        <v>0.74231355518015762</v>
      </c>
      <c r="H277" s="1">
        <f>'01 Traffic inputs'!$B$8/F277</f>
        <v>25.334498142046666</v>
      </c>
      <c r="I277" s="1">
        <f>MATCH(H277,'02 Emission rates'!$A$7:$A$15,1)</f>
        <v>2</v>
      </c>
      <c r="J277" s="1">
        <f>INDEX('02 Emission rates'!$D$7:$D$15,I277)</f>
        <v>7854.4376436942921</v>
      </c>
      <c r="K277" s="1">
        <f>INDEX('02 Emission rates'!$E$7:$E$15,I277)</f>
        <v>6.0728066686336852</v>
      </c>
      <c r="L277" s="1">
        <f>INDEX('02 Emission rates'!$F$7:$F$15,I277)</f>
        <v>70.349021642583381</v>
      </c>
      <c r="M277" s="1">
        <f>INDEX('02 Emission rates'!$G$7:$G$15,I277)</f>
        <v>3.0627467972070308</v>
      </c>
      <c r="N277" s="1">
        <f t="shared" si="67"/>
        <v>5830.4555312315697</v>
      </c>
      <c r="O277" s="1">
        <f t="shared" si="68"/>
        <v>4.5079267081152405</v>
      </c>
      <c r="P277" s="1">
        <f t="shared" si="69"/>
        <v>52.221032358951923</v>
      </c>
      <c r="Q277" s="1">
        <f t="shared" si="70"/>
        <v>2.2735184636513921</v>
      </c>
      <c r="R277" s="1">
        <f t="shared" si="71"/>
        <v>1311.5827204783025</v>
      </c>
      <c r="S277" s="1">
        <f t="shared" si="72"/>
        <v>30.913689746705614</v>
      </c>
      <c r="T277" s="1">
        <f t="shared" si="73"/>
        <v>362239.62560805969</v>
      </c>
      <c r="U277" s="1">
        <f t="shared" si="74"/>
        <v>408.88864694990548</v>
      </c>
      <c r="V277" s="1">
        <f t="shared" si="75"/>
        <v>2800.6668195258012</v>
      </c>
      <c r="W277" s="1">
        <f t="shared" si="76"/>
        <v>119.15791914285262</v>
      </c>
      <c r="X277" s="1"/>
      <c r="Y277" s="1"/>
      <c r="Z277" s="1"/>
      <c r="AA277" s="1"/>
      <c r="AB277" s="1"/>
      <c r="AC277" s="1"/>
      <c r="AD277" s="1"/>
      <c r="AE277" s="1"/>
    </row>
    <row r="278" spans="1:31" ht="22.05" customHeight="1">
      <c r="A278" s="1">
        <f>'01 Traffic inputs'!B228</f>
        <v>0.27000710339218481</v>
      </c>
      <c r="B278" s="1">
        <f>'01 Traffic inputs'!C228</f>
        <v>3.6274378040900513E-3</v>
      </c>
      <c r="C278" s="1">
        <f>IF('01 Traffic inputs'!$B$16&lt;=2/3,(4*A278*(1-A278))^$B$16,1-ABS(2*A278-1)^$B$17)</f>
        <v>0.44600128536164296</v>
      </c>
      <c r="D278" s="1">
        <f>IF('01 Traffic inputs'!$B$16&lt;=2/3,4*$B$16*(1-2*A278)*(4*A278*(1-A278))^($B$16-1),-2*$B$17*SIGN(2*A278-1)*ABS(2*A278-1)^($B$17-1))</f>
        <v>3.5351165657756805</v>
      </c>
      <c r="E278" s="1">
        <f t="shared" si="64"/>
        <v>18.164149628207635</v>
      </c>
      <c r="F278" s="1">
        <f t="shared" si="65"/>
        <v>4.1782731034322271E-2</v>
      </c>
      <c r="G278" s="1">
        <f t="shared" si="66"/>
        <v>0.75894777838258454</v>
      </c>
      <c r="H278" s="1">
        <f>'01 Traffic inputs'!$B$8/F278</f>
        <v>24.890665934347766</v>
      </c>
      <c r="I278" s="1">
        <f>MATCH(H278,'02 Emission rates'!$A$7:$A$15,1)</f>
        <v>1</v>
      </c>
      <c r="J278" s="1">
        <f>INDEX('02 Emission rates'!$D$7:$D$15,I278)</f>
        <v>6931.8463213424902</v>
      </c>
      <c r="K278" s="1">
        <f>INDEX('02 Emission rates'!$E$7:$E$15,I278)</f>
        <v>4.0758788464844926</v>
      </c>
      <c r="L278" s="1">
        <f>INDEX('02 Emission rates'!$F$7:$F$15,I278)</f>
        <v>62.680628166186985</v>
      </c>
      <c r="M278" s="1">
        <f>INDEX('02 Emission rates'!$G$7:$G$15,I278)</f>
        <v>2.7514068118353263</v>
      </c>
      <c r="N278" s="1">
        <f t="shared" si="67"/>
        <v>5260.9093656723744</v>
      </c>
      <c r="O278" s="1">
        <f t="shared" si="68"/>
        <v>3.0933791954959768</v>
      </c>
      <c r="P278" s="1">
        <f t="shared" si="69"/>
        <v>47.571323494352463</v>
      </c>
      <c r="Q278" s="1">
        <f t="shared" si="70"/>
        <v>2.0881740872691306</v>
      </c>
      <c r="R278" s="1">
        <f t="shared" si="71"/>
        <v>1329.7468701065102</v>
      </c>
      <c r="S278" s="1">
        <f t="shared" si="72"/>
        <v>31.672637525088199</v>
      </c>
      <c r="T278" s="1">
        <f t="shared" si="73"/>
        <v>367500.53497373208</v>
      </c>
      <c r="U278" s="1">
        <f t="shared" si="74"/>
        <v>411.98202614540145</v>
      </c>
      <c r="V278" s="1">
        <f t="shared" si="75"/>
        <v>2848.2381430201535</v>
      </c>
      <c r="W278" s="1">
        <f t="shared" si="76"/>
        <v>121.24609323012174</v>
      </c>
      <c r="X278" s="1"/>
      <c r="Y278" s="1"/>
      <c r="Z278" s="1"/>
      <c r="AA278" s="1"/>
      <c r="AB278" s="1"/>
      <c r="AC278" s="1"/>
      <c r="AD278" s="1"/>
      <c r="AE278" s="1"/>
    </row>
    <row r="279" spans="1:31" ht="22.05" customHeight="1">
      <c r="A279" s="1">
        <f>'01 Traffic inputs'!B229</f>
        <v>0.27364217779227684</v>
      </c>
      <c r="B279" s="1">
        <f>'01 Traffic inputs'!C229</f>
        <v>3.6426705506513151E-3</v>
      </c>
      <c r="C279" s="1">
        <f>IF('01 Traffic inputs'!$B$16&lt;=2/3,(4*A279*(1-A279))^$B$16,1-ABS(2*A279-1)^$B$17)</f>
        <v>0.45887921284979577</v>
      </c>
      <c r="D279" s="1">
        <f>IF('01 Traffic inputs'!$B$16&lt;=2/3,4*$B$16*(1-2*A279)*(4*A279*(1-A279))^($B$16-1),-2*$B$17*SIGN(2*A279-1)*ABS(2*A279-1)^($B$17-1))</f>
        <v>3.5498276263456257</v>
      </c>
      <c r="E279" s="1">
        <f t="shared" si="64"/>
        <v>18.243733924904983</v>
      </c>
      <c r="F279" s="1">
        <f t="shared" si="65"/>
        <v>4.2521148173095547E-2</v>
      </c>
      <c r="G279" s="1">
        <f t="shared" si="66"/>
        <v>0.77574451345141482</v>
      </c>
      <c r="H279" s="1">
        <f>'01 Traffic inputs'!$B$8/F279</f>
        <v>24.458417627068236</v>
      </c>
      <c r="I279" s="1">
        <f>MATCH(H279,'02 Emission rates'!$A$7:$A$15,1)</f>
        <v>1</v>
      </c>
      <c r="J279" s="1">
        <f>INDEX('02 Emission rates'!$D$7:$D$15,I279)</f>
        <v>6931.8463213424902</v>
      </c>
      <c r="K279" s="1">
        <f>INDEX('02 Emission rates'!$E$7:$E$15,I279)</f>
        <v>4.0758788464844926</v>
      </c>
      <c r="L279" s="1">
        <f>INDEX('02 Emission rates'!$F$7:$F$15,I279)</f>
        <v>62.680628166186985</v>
      </c>
      <c r="M279" s="1">
        <f>INDEX('02 Emission rates'!$G$7:$G$15,I279)</f>
        <v>2.7514068118353263</v>
      </c>
      <c r="N279" s="1">
        <f t="shared" si="67"/>
        <v>5377.3417518698097</v>
      </c>
      <c r="O279" s="1">
        <f t="shared" si="68"/>
        <v>3.1618406526530265</v>
      </c>
      <c r="P279" s="1">
        <f t="shared" si="69"/>
        <v>48.624153399607771</v>
      </c>
      <c r="Q279" s="1">
        <f t="shared" si="70"/>
        <v>2.1343887385541036</v>
      </c>
      <c r="R279" s="1">
        <f t="shared" si="71"/>
        <v>1347.9906040314152</v>
      </c>
      <c r="S279" s="1">
        <f t="shared" si="72"/>
        <v>32.448382038539613</v>
      </c>
      <c r="T279" s="1">
        <f t="shared" si="73"/>
        <v>372877.87672560191</v>
      </c>
      <c r="U279" s="1">
        <f t="shared" si="74"/>
        <v>415.14386679805449</v>
      </c>
      <c r="V279" s="1">
        <f t="shared" si="75"/>
        <v>2896.8622964197612</v>
      </c>
      <c r="W279" s="1">
        <f t="shared" si="76"/>
        <v>123.38048196867585</v>
      </c>
      <c r="X279" s="1"/>
      <c r="Y279" s="1"/>
      <c r="Z279" s="1"/>
      <c r="AA279" s="1"/>
      <c r="AB279" s="1"/>
      <c r="AC279" s="1"/>
      <c r="AD279" s="1"/>
      <c r="AE279" s="1"/>
    </row>
    <row r="280" spans="1:31" ht="22.05" customHeight="1">
      <c r="A280" s="1">
        <f>'01 Traffic inputs'!B230</f>
        <v>0.27729236343392633</v>
      </c>
      <c r="B280" s="1">
        <f>'01 Traffic inputs'!C230</f>
        <v>3.6576601190707013E-3</v>
      </c>
      <c r="C280" s="1">
        <f>IF('01 Traffic inputs'!$B$16&lt;=2/3,(4*A280*(1-A280))^$B$16,1-ABS(2*A280-1)^$B$17)</f>
        <v>0.47185976173259769</v>
      </c>
      <c r="D280" s="1">
        <f>IF('01 Traffic inputs'!$B$16&lt;=2/3,4*$B$16*(1-2*A280)*(4*A280*(1-A280))^($B$16-1),-2*$B$17*SIGN(2*A280-1)*ABS(2*A280-1)^($B$17-1))</f>
        <v>3.5620050376696737</v>
      </c>
      <c r="E280" s="1">
        <f t="shared" si="64"/>
        <v>18.321555782692698</v>
      </c>
      <c r="F280" s="1">
        <f t="shared" si="65"/>
        <v>4.3265449596951451E-2</v>
      </c>
      <c r="G280" s="1">
        <f t="shared" si="66"/>
        <v>0.79269034825382534</v>
      </c>
      <c r="H280" s="1">
        <f>'01 Traffic inputs'!$B$8/F280</f>
        <v>24.037656136440575</v>
      </c>
      <c r="I280" s="1">
        <f>MATCH(H280,'02 Emission rates'!$A$7:$A$15,1)</f>
        <v>1</v>
      </c>
      <c r="J280" s="1">
        <f>INDEX('02 Emission rates'!$D$7:$D$15,I280)</f>
        <v>6931.8463213424902</v>
      </c>
      <c r="K280" s="1">
        <f>INDEX('02 Emission rates'!$E$7:$E$15,I280)</f>
        <v>4.0758788464844926</v>
      </c>
      <c r="L280" s="1">
        <f>INDEX('02 Emission rates'!$F$7:$F$15,I280)</f>
        <v>62.680628166186985</v>
      </c>
      <c r="M280" s="1">
        <f>INDEX('02 Emission rates'!$G$7:$G$15,I280)</f>
        <v>2.7514068118353263</v>
      </c>
      <c r="N280" s="1">
        <f t="shared" si="67"/>
        <v>5494.8076745069766</v>
      </c>
      <c r="O280" s="1">
        <f t="shared" si="68"/>
        <v>3.2309098222601924</v>
      </c>
      <c r="P280" s="1">
        <f t="shared" si="69"/>
        <v>49.686328969823293</v>
      </c>
      <c r="Q280" s="1">
        <f t="shared" si="70"/>
        <v>2.1810136238616922</v>
      </c>
      <c r="R280" s="1">
        <f t="shared" si="71"/>
        <v>1366.3121598141079</v>
      </c>
      <c r="S280" s="1">
        <f t="shared" si="72"/>
        <v>33.241072386793441</v>
      </c>
      <c r="T280" s="1">
        <f t="shared" si="73"/>
        <v>378372.68440010888</v>
      </c>
      <c r="U280" s="1">
        <f t="shared" si="74"/>
        <v>418.37477662031466</v>
      </c>
      <c r="V280" s="1">
        <f t="shared" si="75"/>
        <v>2946.5486253895842</v>
      </c>
      <c r="W280" s="1">
        <f t="shared" si="76"/>
        <v>125.56149559253754</v>
      </c>
      <c r="X280" s="1"/>
      <c r="Y280" s="1"/>
      <c r="Z280" s="1"/>
      <c r="AA280" s="1"/>
      <c r="AB280" s="1"/>
      <c r="AC280" s="1"/>
      <c r="AD280" s="1"/>
      <c r="AE280" s="1"/>
    </row>
    <row r="281" spans="1:31" ht="22.05" customHeight="1">
      <c r="A281" s="1">
        <f>'01 Traffic inputs'!B231</f>
        <v>0.28095741663729751</v>
      </c>
      <c r="B281" s="1">
        <f>'01 Traffic inputs'!C231</f>
        <v>3.6724055086715594E-3</v>
      </c>
      <c r="C281" s="1">
        <f>IF('01 Traffic inputs'!$B$16&lt;=2/3,(4*A281*(1-A281))^$B$16,1-ABS(2*A281-1)^$B$17)</f>
        <v>0.48493308444561251</v>
      </c>
      <c r="D281" s="1">
        <f>IF('01 Traffic inputs'!$B$16&lt;=2/3,4*$B$16*(1-2*A281)*(4*A281*(1-A281))^($B$16-1),-2*$B$17*SIGN(2*A281-1)*ABS(2*A281-1)^($B$17-1))</f>
        <v>3.5715956461852736</v>
      </c>
      <c r="E281" s="1">
        <f t="shared" si="64"/>
        <v>18.397590560735267</v>
      </c>
      <c r="F281" s="1">
        <f t="shared" si="65"/>
        <v>4.4015070649010099E-2</v>
      </c>
      <c r="G281" s="1">
        <f t="shared" si="66"/>
        <v>0.80977124830232416</v>
      </c>
      <c r="H281" s="1">
        <f>'01 Traffic inputs'!$B$8/F281</f>
        <v>23.628270605159418</v>
      </c>
      <c r="I281" s="1">
        <f>MATCH(H281,'02 Emission rates'!$A$7:$A$15,1)</f>
        <v>1</v>
      </c>
      <c r="J281" s="1">
        <f>INDEX('02 Emission rates'!$D$7:$D$15,I281)</f>
        <v>6931.8463213424902</v>
      </c>
      <c r="K281" s="1">
        <f>INDEX('02 Emission rates'!$E$7:$E$15,I281)</f>
        <v>4.0758788464844926</v>
      </c>
      <c r="L281" s="1">
        <f>INDEX('02 Emission rates'!$F$7:$F$15,I281)</f>
        <v>62.680628166186985</v>
      </c>
      <c r="M281" s="1">
        <f>INDEX('02 Emission rates'!$G$7:$G$15,I281)</f>
        <v>2.7514068118353263</v>
      </c>
      <c r="N281" s="1">
        <f t="shared" si="67"/>
        <v>5613.2098486733821</v>
      </c>
      <c r="O281" s="1">
        <f t="shared" si="68"/>
        <v>3.3005295014467846</v>
      </c>
      <c r="P281" s="1">
        <f t="shared" si="69"/>
        <v>50.756970514507053</v>
      </c>
      <c r="Q281" s="1">
        <f t="shared" si="70"/>
        <v>2.2280101286074103</v>
      </c>
      <c r="R281" s="1">
        <f t="shared" si="71"/>
        <v>1384.7097503748432</v>
      </c>
      <c r="S281" s="1">
        <f t="shared" si="72"/>
        <v>34.050843635095767</v>
      </c>
      <c r="T281" s="1">
        <f t="shared" si="73"/>
        <v>383985.89424878225</v>
      </c>
      <c r="U281" s="1">
        <f t="shared" si="74"/>
        <v>421.67530612176142</v>
      </c>
      <c r="V281" s="1">
        <f t="shared" si="75"/>
        <v>2997.3055959040912</v>
      </c>
      <c r="W281" s="1">
        <f t="shared" si="76"/>
        <v>127.78950572114495</v>
      </c>
      <c r="X281" s="1"/>
      <c r="Y281" s="1"/>
      <c r="Z281" s="1"/>
      <c r="AA281" s="1"/>
      <c r="AB281" s="1"/>
      <c r="AC281" s="1"/>
      <c r="AD281" s="1"/>
      <c r="AE281" s="1"/>
    </row>
    <row r="282" spans="1:31" ht="22.05" customHeight="1">
      <c r="A282" s="1">
        <f>'01 Traffic inputs'!B232</f>
        <v>0.2846370927300228</v>
      </c>
      <c r="B282" s="1">
        <f>'01 Traffic inputs'!C232</f>
        <v>3.6869057350781618E-3</v>
      </c>
      <c r="C282" s="1">
        <f>IF('01 Traffic inputs'!$B$16&lt;=2/3,(4*A282*(1-A282))^$B$16,1-ABS(2*A282-1)^$B$17)</f>
        <v>0.49808901736812461</v>
      </c>
      <c r="D282" s="1">
        <f>IF('01 Traffic inputs'!$B$16&lt;=2/3,4*$B$16*(1-2*A282)*(4*A282*(1-A282))^($B$16-1),-2*$B$17*SIGN(2*A282-1)*ABS(2*A282-1)^($B$17-1))</f>
        <v>3.5785491630230477</v>
      </c>
      <c r="E282" s="1">
        <f t="shared" si="64"/>
        <v>18.471814387856803</v>
      </c>
      <c r="F282" s="1">
        <f t="shared" si="65"/>
        <v>4.4769428549803647E-2</v>
      </c>
      <c r="G282" s="1">
        <f t="shared" si="66"/>
        <v>0.82697257442239014</v>
      </c>
      <c r="H282" s="1">
        <f>'01 Traffic inputs'!$B$8/F282</f>
        <v>23.230137924210375</v>
      </c>
      <c r="I282" s="1">
        <f>MATCH(H282,'02 Emission rates'!$A$7:$A$15,1)</f>
        <v>1</v>
      </c>
      <c r="J282" s="1">
        <f>INDEX('02 Emission rates'!$D$7:$D$15,I282)</f>
        <v>6931.8463213424902</v>
      </c>
      <c r="K282" s="1">
        <f>INDEX('02 Emission rates'!$E$7:$E$15,I282)</f>
        <v>4.0758788464844926</v>
      </c>
      <c r="L282" s="1">
        <f>INDEX('02 Emission rates'!$F$7:$F$15,I282)</f>
        <v>62.680628166186985</v>
      </c>
      <c r="M282" s="1">
        <f>INDEX('02 Emission rates'!$G$7:$G$15,I282)</f>
        <v>2.7514068118353263</v>
      </c>
      <c r="N282" s="1">
        <f t="shared" si="67"/>
        <v>5732.4467978609737</v>
      </c>
      <c r="O282" s="1">
        <f t="shared" si="68"/>
        <v>3.3706400227110427</v>
      </c>
      <c r="P282" s="1">
        <f t="shared" si="69"/>
        <v>51.835160441004227</v>
      </c>
      <c r="Q282" s="1">
        <f t="shared" si="70"/>
        <v>2.2753379744667606</v>
      </c>
      <c r="R282" s="1">
        <f t="shared" si="71"/>
        <v>1403.1815647627</v>
      </c>
      <c r="S282" s="1">
        <f t="shared" si="72"/>
        <v>34.877816209518159</v>
      </c>
      <c r="T282" s="1">
        <f t="shared" si="73"/>
        <v>389718.34104664321</v>
      </c>
      <c r="U282" s="1">
        <f t="shared" si="74"/>
        <v>425.04594614447245</v>
      </c>
      <c r="V282" s="1">
        <f t="shared" si="75"/>
        <v>3049.1407563450953</v>
      </c>
      <c r="W282" s="1">
        <f t="shared" si="76"/>
        <v>130.0648436956117</v>
      </c>
      <c r="X282" s="1"/>
      <c r="Y282" s="1"/>
      <c r="Z282" s="1"/>
      <c r="AA282" s="1"/>
      <c r="AB282" s="1"/>
      <c r="AC282" s="1"/>
      <c r="AD282" s="1"/>
      <c r="AE282" s="1"/>
    </row>
    <row r="283" spans="1:31" ht="22.05" customHeight="1">
      <c r="A283" s="1">
        <f>'01 Traffic inputs'!B233</f>
        <v>0.28833114606353677</v>
      </c>
      <c r="B283" s="1">
        <f>'01 Traffic inputs'!C233</f>
        <v>3.7011598302814628E-3</v>
      </c>
      <c r="C283" s="1">
        <f>IF('01 Traffic inputs'!$B$16&lt;=2/3,(4*A283*(1-A283))^$B$16,1-ABS(2*A283-1)^$B$17)</f>
        <v>0.51131709241475587</v>
      </c>
      <c r="D283" s="1">
        <f>IF('01 Traffic inputs'!$B$16&lt;=2/3,4*$B$16*(1-2*A283)*(4*A283*(1-A283))^($B$16-1),-2*$B$17*SIGN(2*A283-1)*ABS(2*A283-1)^($B$17-1))</f>
        <v>3.582818274375402</v>
      </c>
      <c r="E283" s="1">
        <f t="shared" si="64"/>
        <v>18.544204210345324</v>
      </c>
      <c r="F283" s="1">
        <f t="shared" si="65"/>
        <v>4.5527923061936718E-2</v>
      </c>
      <c r="G283" s="1">
        <f t="shared" si="66"/>
        <v>0.84427910253344485</v>
      </c>
      <c r="H283" s="1">
        <f>'01 Traffic inputs'!$B$8/F283</f>
        <v>22.84312417645743</v>
      </c>
      <c r="I283" s="1">
        <f>MATCH(H283,'02 Emission rates'!$A$7:$A$15,1)</f>
        <v>1</v>
      </c>
      <c r="J283" s="1">
        <f>INDEX('02 Emission rates'!$D$7:$D$15,I283)</f>
        <v>6931.8463213424902</v>
      </c>
      <c r="K283" s="1">
        <f>INDEX('02 Emission rates'!$E$7:$E$15,I283)</f>
        <v>4.0758788464844926</v>
      </c>
      <c r="L283" s="1">
        <f>INDEX('02 Emission rates'!$F$7:$F$15,I283)</f>
        <v>62.680628166186985</v>
      </c>
      <c r="M283" s="1">
        <f>INDEX('02 Emission rates'!$G$7:$G$15,I283)</f>
        <v>2.7514068118353263</v>
      </c>
      <c r="N283" s="1">
        <f t="shared" si="67"/>
        <v>5852.4129910827987</v>
      </c>
      <c r="O283" s="1">
        <f t="shared" si="68"/>
        <v>3.4411793345449797</v>
      </c>
      <c r="P283" s="1">
        <f t="shared" si="69"/>
        <v>52.919944494380914</v>
      </c>
      <c r="Q283" s="1">
        <f t="shared" si="70"/>
        <v>2.3229552738007362</v>
      </c>
      <c r="R283" s="1">
        <f t="shared" si="71"/>
        <v>1421.7257689730452</v>
      </c>
      <c r="S283" s="1">
        <f t="shared" si="72"/>
        <v>35.7220953120516</v>
      </c>
      <c r="T283" s="1">
        <f t="shared" si="73"/>
        <v>395570.75403772603</v>
      </c>
      <c r="U283" s="1">
        <f t="shared" si="74"/>
        <v>428.48712547901744</v>
      </c>
      <c r="V283" s="1">
        <f t="shared" si="75"/>
        <v>3102.0607008394763</v>
      </c>
      <c r="W283" s="1">
        <f t="shared" si="76"/>
        <v>132.38779896941244</v>
      </c>
      <c r="X283" s="1"/>
      <c r="Y283" s="1"/>
      <c r="Z283" s="1"/>
      <c r="AA283" s="1"/>
      <c r="AB283" s="1"/>
      <c r="AC283" s="1"/>
      <c r="AD283" s="1"/>
      <c r="AE283" s="1"/>
    </row>
    <row r="284" spans="1:31" ht="22.05" customHeight="1">
      <c r="A284" s="1">
        <f>'01 Traffic inputs'!B234</f>
        <v>0.2920393300294753</v>
      </c>
      <c r="B284" s="1">
        <f>'01 Traffic inputs'!C234</f>
        <v>3.7151668427036484E-3</v>
      </c>
      <c r="C284" s="1">
        <f>IF('01 Traffic inputs'!$B$16&lt;=2/3,(4*A284*(1-A284))^$B$16,1-ABS(2*A284-1)^$B$17)</f>
        <v>0.52460654938812867</v>
      </c>
      <c r="D284" s="1">
        <f>IF('01 Traffic inputs'!$B$16&lt;=2/3,4*$B$16*(1-2*A284)*(4*A284*(1-A284))^($B$16-1),-2*$B$17*SIGN(2*A284-1)*ABS(2*A284-1)^($B$17-1))</f>
        <v>3.5843587475106022</v>
      </c>
      <c r="E284" s="1">
        <f t="shared" si="64"/>
        <v>18.614737838694001</v>
      </c>
      <c r="F284" s="1">
        <f t="shared" si="65"/>
        <v>4.6289937198385013E-2</v>
      </c>
      <c r="G284" s="1">
        <f t="shared" si="66"/>
        <v>0.86167504551754648</v>
      </c>
      <c r="H284" s="1">
        <f>'01 Traffic inputs'!$B$8/F284</f>
        <v>22.467086000633081</v>
      </c>
      <c r="I284" s="1">
        <f>MATCH(H284,'02 Emission rates'!$A$7:$A$15,1)</f>
        <v>1</v>
      </c>
      <c r="J284" s="1">
        <f>INDEX('02 Emission rates'!$D$7:$D$15,I284)</f>
        <v>6931.8463213424902</v>
      </c>
      <c r="K284" s="1">
        <f>INDEX('02 Emission rates'!$E$7:$E$15,I284)</f>
        <v>4.0758788464844926</v>
      </c>
      <c r="L284" s="1">
        <f>INDEX('02 Emission rates'!$F$7:$F$15,I284)</f>
        <v>62.680628166186985</v>
      </c>
      <c r="M284" s="1">
        <f>INDEX('02 Emission rates'!$G$7:$G$15,I284)</f>
        <v>2.7514068118353263</v>
      </c>
      <c r="N284" s="1">
        <f t="shared" si="67"/>
        <v>5972.9989944634272</v>
      </c>
      <c r="O284" s="1">
        <f t="shared" si="68"/>
        <v>3.5120830905685301</v>
      </c>
      <c r="P284" s="1">
        <f t="shared" si="69"/>
        <v>54.010333128167574</v>
      </c>
      <c r="Q284" s="1">
        <f t="shared" si="70"/>
        <v>2.3708185898254923</v>
      </c>
      <c r="R284" s="1">
        <f t="shared" si="71"/>
        <v>1440.3405068117393</v>
      </c>
      <c r="S284" s="1">
        <f t="shared" si="72"/>
        <v>36.583770357569144</v>
      </c>
      <c r="T284" s="1">
        <f t="shared" si="73"/>
        <v>401543.75303218944</v>
      </c>
      <c r="U284" s="1">
        <f t="shared" si="74"/>
        <v>431.99920856958596</v>
      </c>
      <c r="V284" s="1">
        <f t="shared" si="75"/>
        <v>3156.0710339676439</v>
      </c>
      <c r="W284" s="1">
        <f t="shared" si="76"/>
        <v>134.75861755923793</v>
      </c>
      <c r="X284" s="1"/>
      <c r="Y284" s="1"/>
      <c r="Z284" s="1"/>
      <c r="AA284" s="1"/>
      <c r="AB284" s="1"/>
      <c r="AC284" s="1"/>
      <c r="AD284" s="1"/>
      <c r="AE284" s="1"/>
    </row>
    <row r="285" spans="1:31" ht="22.05" customHeight="1">
      <c r="A285" s="1">
        <f>'01 Traffic inputs'!B235</f>
        <v>0.29576139707613858</v>
      </c>
      <c r="B285" s="1">
        <f>'01 Traffic inputs'!C235</f>
        <v>3.7289258372617119E-3</v>
      </c>
      <c r="C285" s="1">
        <f>IF('01 Traffic inputs'!$B$16&lt;=2/3,(4*A285*(1-A285))^$B$16,1-ABS(2*A285-1)^$B$17)</f>
        <v>0.53794634907445893</v>
      </c>
      <c r="D285" s="1">
        <f>IF('01 Traffic inputs'!$B$16&lt;=2/3,4*$B$16*(1-2*A285)*(4*A285*(1-A285))^($B$16-1),-2*$B$17*SIGN(2*A285-1)*ABS(2*A285-1)^($B$17-1))</f>
        <v>3.5831295322020464</v>
      </c>
      <c r="E285" s="1">
        <f t="shared" si="64"/>
        <v>18.683393993158145</v>
      </c>
      <c r="F285" s="1">
        <f t="shared" si="65"/>
        <v>4.7054837973393299E-2</v>
      </c>
      <c r="G285" s="1">
        <f t="shared" si="66"/>
        <v>0.87914407714112608</v>
      </c>
      <c r="H285" s="1">
        <f>'01 Traffic inputs'!$B$8/F285</f>
        <v>22.101871875280462</v>
      </c>
      <c r="I285" s="1">
        <f>MATCH(H285,'02 Emission rates'!$A$7:$A$15,1)</f>
        <v>1</v>
      </c>
      <c r="J285" s="1">
        <f>INDEX('02 Emission rates'!$D$7:$D$15,I285)</f>
        <v>6931.8463213424902</v>
      </c>
      <c r="K285" s="1">
        <f>INDEX('02 Emission rates'!$E$7:$E$15,I285)</f>
        <v>4.0758788464844926</v>
      </c>
      <c r="L285" s="1">
        <f>INDEX('02 Emission rates'!$F$7:$F$15,I285)</f>
        <v>62.680628166186985</v>
      </c>
      <c r="M285" s="1">
        <f>INDEX('02 Emission rates'!$G$7:$G$15,I285)</f>
        <v>2.7514068118353263</v>
      </c>
      <c r="N285" s="1">
        <f t="shared" si="67"/>
        <v>6094.0916370607529</v>
      </c>
      <c r="O285" s="1">
        <f t="shared" si="68"/>
        <v>3.5832847470316467</v>
      </c>
      <c r="P285" s="1">
        <f t="shared" si="69"/>
        <v>55.105303003788528</v>
      </c>
      <c r="Q285" s="1">
        <f t="shared" si="70"/>
        <v>2.4188830024307757</v>
      </c>
      <c r="R285" s="1">
        <f t="shared" si="71"/>
        <v>1459.0239008048975</v>
      </c>
      <c r="S285" s="1">
        <f t="shared" si="72"/>
        <v>37.462914434710271</v>
      </c>
      <c r="T285" s="1">
        <f t="shared" si="73"/>
        <v>407637.84466925019</v>
      </c>
      <c r="U285" s="1">
        <f t="shared" si="74"/>
        <v>435.58249331661762</v>
      </c>
      <c r="V285" s="1">
        <f t="shared" si="75"/>
        <v>3211.1763369714322</v>
      </c>
      <c r="W285" s="1">
        <f t="shared" si="76"/>
        <v>137.17750056166872</v>
      </c>
      <c r="X285" s="1"/>
      <c r="Y285" s="1"/>
      <c r="Z285" s="1"/>
      <c r="AA285" s="1"/>
      <c r="AB285" s="1"/>
      <c r="AC285" s="1"/>
      <c r="AD285" s="1"/>
      <c r="AE285" s="1"/>
    </row>
    <row r="286" spans="1:31" ht="22.05" customHeight="1">
      <c r="A286" s="1">
        <f>'01 Traffic inputs'!B236</f>
        <v>0.29949709872501734</v>
      </c>
      <c r="B286" s="1">
        <f>'01 Traffic inputs'!C236</f>
        <v>3.7424358954299282E-3</v>
      </c>
      <c r="C286" s="1">
        <f>IF('01 Traffic inputs'!$B$16&lt;=2/3,(4*A286*(1-A286))^$B$16,1-ABS(2*A286-1)^$B$17)</f>
        <v>0.55132518706198563</v>
      </c>
      <c r="D286" s="1">
        <f>IF('01 Traffic inputs'!$B$16&lt;=2/3,4*$B$16*(1-2*A286)*(4*A286*(1-A286))^($B$16-1),-2*$B$17*SIGN(2*A286-1)*ABS(2*A286-1)^($B$17-1))</f>
        <v>3.579092857350525</v>
      </c>
      <c r="E286" s="1">
        <f t="shared" si="64"/>
        <v>18.750152348007251</v>
      </c>
      <c r="F286" s="1">
        <f t="shared" si="65"/>
        <v>4.7821977194820744E-2</v>
      </c>
      <c r="G286" s="1">
        <f t="shared" si="66"/>
        <v>0.89666935798581737</v>
      </c>
      <c r="H286" s="1">
        <f>'01 Traffic inputs'!$B$8/F286</f>
        <v>21.747323322981622</v>
      </c>
      <c r="I286" s="1">
        <f>MATCH(H286,'02 Emission rates'!$A$7:$A$15,1)</f>
        <v>1</v>
      </c>
      <c r="J286" s="1">
        <f>INDEX('02 Emission rates'!$D$7:$D$15,I286)</f>
        <v>6931.8463213424902</v>
      </c>
      <c r="K286" s="1">
        <f>INDEX('02 Emission rates'!$E$7:$E$15,I286)</f>
        <v>4.0758788464844926</v>
      </c>
      <c r="L286" s="1">
        <f>INDEX('02 Emission rates'!$F$7:$F$15,I286)</f>
        <v>62.680628166186985</v>
      </c>
      <c r="M286" s="1">
        <f>INDEX('02 Emission rates'!$G$7:$G$15,I286)</f>
        <v>2.7514068118353263</v>
      </c>
      <c r="N286" s="1">
        <f t="shared" si="67"/>
        <v>6215.5741906145204</v>
      </c>
      <c r="O286" s="1">
        <f t="shared" si="68"/>
        <v>3.654715668505224</v>
      </c>
      <c r="P286" s="1">
        <f t="shared" si="69"/>
        <v>56.203798615922622</v>
      </c>
      <c r="Q286" s="1">
        <f t="shared" si="70"/>
        <v>2.4671021795261865</v>
      </c>
      <c r="R286" s="1">
        <f t="shared" si="71"/>
        <v>1477.7740531529048</v>
      </c>
      <c r="S286" s="1">
        <f t="shared" si="72"/>
        <v>38.359583792696085</v>
      </c>
      <c r="T286" s="1">
        <f t="shared" si="73"/>
        <v>413853.4188598647</v>
      </c>
      <c r="U286" s="1">
        <f t="shared" si="74"/>
        <v>439.23720898512283</v>
      </c>
      <c r="V286" s="1">
        <f t="shared" si="75"/>
        <v>3267.3801355873547</v>
      </c>
      <c r="W286" s="1">
        <f t="shared" si="76"/>
        <v>139.64460274119492</v>
      </c>
      <c r="X286" s="1"/>
      <c r="Y286" s="1"/>
      <c r="Z286" s="1"/>
      <c r="AA286" s="1"/>
      <c r="AB286" s="1"/>
      <c r="AC286" s="1"/>
      <c r="AD286" s="1"/>
      <c r="AE286" s="1"/>
    </row>
    <row r="287" spans="1:31" ht="22.05" customHeight="1">
      <c r="A287" s="1">
        <f>'01 Traffic inputs'!B237</f>
        <v>0.3032461855873807</v>
      </c>
      <c r="B287" s="1">
        <f>'01 Traffic inputs'!C237</f>
        <v>3.7556961153010901E-3</v>
      </c>
      <c r="C287" s="1">
        <f>IF('01 Traffic inputs'!$B$16&lt;=2/3,(4*A287*(1-A287))^$B$16,1-ABS(2*A287-1)^$B$17)</f>
        <v>0.56473150826022511</v>
      </c>
      <c r="D287" s="1">
        <f>IF('01 Traffic inputs'!$B$16&lt;=2/3,4*$B$16*(1-2*A287)*(4*A287*(1-A287))^($B$16-1),-2*$B$17*SIGN(2*A287-1)*ABS(2*A287-1)^($B$17-1))</f>
        <v>3.5722143225859901</v>
      </c>
      <c r="E287" s="1">
        <f t="shared" si="64"/>
        <v>18.814993574353572</v>
      </c>
      <c r="F287" s="1">
        <f t="shared" si="65"/>
        <v>4.8590692296671303E-2</v>
      </c>
      <c r="G287" s="1">
        <f t="shared" si="66"/>
        <v>0.91423356333526218</v>
      </c>
      <c r="H287" s="1">
        <f>'01 Traffic inputs'!$B$8/F287</f>
        <v>21.403276035877049</v>
      </c>
      <c r="I287" s="1">
        <f>MATCH(H287,'02 Emission rates'!$A$7:$A$15,1)</f>
        <v>1</v>
      </c>
      <c r="J287" s="1">
        <f>INDEX('02 Emission rates'!$D$7:$D$15,I287)</f>
        <v>6931.8463213424902</v>
      </c>
      <c r="K287" s="1">
        <f>INDEX('02 Emission rates'!$E$7:$E$15,I287)</f>
        <v>4.0758788464844926</v>
      </c>
      <c r="L287" s="1">
        <f>INDEX('02 Emission rates'!$F$7:$F$15,I287)</f>
        <v>62.680628166186985</v>
      </c>
      <c r="M287" s="1">
        <f>INDEX('02 Emission rates'!$G$7:$G$15,I287)</f>
        <v>2.7514068118353263</v>
      </c>
      <c r="N287" s="1">
        <f t="shared" si="67"/>
        <v>6337.3265628533736</v>
      </c>
      <c r="O287" s="1">
        <f t="shared" si="68"/>
        <v>3.7263052415443356</v>
      </c>
      <c r="P287" s="1">
        <f t="shared" si="69"/>
        <v>57.304734040465725</v>
      </c>
      <c r="Q287" s="1">
        <f t="shared" si="70"/>
        <v>2.5154284537691236</v>
      </c>
      <c r="R287" s="1">
        <f t="shared" si="71"/>
        <v>1496.5890467272584</v>
      </c>
      <c r="S287" s="1">
        <f t="shared" si="72"/>
        <v>39.273817356031344</v>
      </c>
      <c r="T287" s="1">
        <f t="shared" si="73"/>
        <v>420190.74542271806</v>
      </c>
      <c r="U287" s="1">
        <f t="shared" si="74"/>
        <v>442.96351422666714</v>
      </c>
      <c r="V287" s="1">
        <f t="shared" si="75"/>
        <v>3324.6848696278203</v>
      </c>
      <c r="W287" s="1">
        <f t="shared" si="76"/>
        <v>142.16003119496403</v>
      </c>
      <c r="X287" s="1"/>
      <c r="Y287" s="1"/>
      <c r="Z287" s="1"/>
      <c r="AA287" s="1"/>
      <c r="AB287" s="1"/>
      <c r="AC287" s="1"/>
      <c r="AD287" s="1"/>
      <c r="AE287" s="1"/>
    </row>
    <row r="288" spans="1:31" ht="22.05" customHeight="1">
      <c r="A288" s="1">
        <f>'01 Traffic inputs'!B238</f>
        <v>0.30700840738092494</v>
      </c>
      <c r="B288" s="1">
        <f>'01 Traffic inputs'!C238</f>
        <v>3.7687056116467448E-3</v>
      </c>
      <c r="C288" s="1">
        <f>IF('01 Traffic inputs'!$B$16&lt;=2/3,(4*A288*(1-A288))^$B$16,1-ABS(2*A288-1)^$B$17)</f>
        <v>0.57815352209614068</v>
      </c>
      <c r="D288" s="1">
        <f>IF('01 Traffic inputs'!$B$16&lt;=2/3,4*$B$16*(1-2*A288)*(4*A288*(1-A288))^($B$16-1),-2*$B$17*SIGN(2*A288-1)*ABS(2*A288-1)^($B$17-1))</f>
        <v>3.5624629846443656</v>
      </c>
      <c r="E288" s="1">
        <f t="shared" si="64"/>
        <v>18.877899381443296</v>
      </c>
      <c r="F288" s="1">
        <f t="shared" si="65"/>
        <v>4.9360307210438277E-2</v>
      </c>
      <c r="G288" s="1">
        <f t="shared" si="66"/>
        <v>0.93181891295578378</v>
      </c>
      <c r="H288" s="1">
        <f>'01 Traffic inputs'!$B$8/F288</f>
        <v>21.069560924047298</v>
      </c>
      <c r="I288" s="1">
        <f>MATCH(H288,'02 Emission rates'!$A$7:$A$15,1)</f>
        <v>1</v>
      </c>
      <c r="J288" s="1">
        <f>INDEX('02 Emission rates'!$D$7:$D$15,I288)</f>
        <v>6931.8463213424902</v>
      </c>
      <c r="K288" s="1">
        <f>INDEX('02 Emission rates'!$E$7:$E$15,I288)</f>
        <v>4.0758788464844926</v>
      </c>
      <c r="L288" s="1">
        <f>INDEX('02 Emission rates'!$F$7:$F$15,I288)</f>
        <v>62.680628166186985</v>
      </c>
      <c r="M288" s="1">
        <f>INDEX('02 Emission rates'!$G$7:$G$15,I288)</f>
        <v>2.7514068118353263</v>
      </c>
      <c r="N288" s="1">
        <f t="shared" si="67"/>
        <v>6459.225503929908</v>
      </c>
      <c r="O288" s="1">
        <f t="shared" si="68"/>
        <v>3.7979809960706539</v>
      </c>
      <c r="P288" s="1">
        <f t="shared" si="69"/>
        <v>58.406994801202039</v>
      </c>
      <c r="Q288" s="1">
        <f t="shared" si="70"/>
        <v>2.5638129045035325</v>
      </c>
      <c r="R288" s="1">
        <f t="shared" si="71"/>
        <v>1515.4669461087017</v>
      </c>
      <c r="S288" s="1">
        <f t="shared" si="72"/>
        <v>40.205636268987128</v>
      </c>
      <c r="T288" s="1">
        <f t="shared" si="73"/>
        <v>426649.97092664795</v>
      </c>
      <c r="U288" s="1">
        <f t="shared" si="74"/>
        <v>446.76149522273778</v>
      </c>
      <c r="V288" s="1">
        <f t="shared" si="75"/>
        <v>3383.0918644290223</v>
      </c>
      <c r="W288" s="1">
        <f t="shared" si="76"/>
        <v>144.72384409946756</v>
      </c>
      <c r="X288" s="1"/>
      <c r="Y288" s="1"/>
      <c r="Z288" s="1"/>
      <c r="AA288" s="1"/>
      <c r="AB288" s="1"/>
      <c r="AC288" s="1"/>
      <c r="AD288" s="1"/>
      <c r="AE288" s="1"/>
    </row>
    <row r="289" spans="1:31" ht="22.05" customHeight="1">
      <c r="A289" s="1">
        <f>'01 Traffic inputs'!B239</f>
        <v>0.3107835129464821</v>
      </c>
      <c r="B289" s="1">
        <f>'01 Traffic inputs'!C239</f>
        <v>3.7814635159762319E-3</v>
      </c>
      <c r="C289" s="1">
        <f>IF('01 Traffic inputs'!$B$16&lt;=2/3,(4*A289*(1-A289))^$B$16,1-ABS(2*A289-1)^$B$17)</f>
        <v>0.59157921836149308</v>
      </c>
      <c r="D289" s="1">
        <f>IF('01 Traffic inputs'!$B$16&lt;=2/3,4*$B$16*(1-2*A289)*(4*A289*(1-A289))^($B$16-1),-2*$B$17*SIGN(2*A289-1)*ABS(2*A289-1)^($B$17-1))</f>
        <v>3.5498114383246002</v>
      </c>
      <c r="E289" s="1">
        <f t="shared" si="64"/>
        <v>18.938852556297459</v>
      </c>
      <c r="F289" s="1">
        <f t="shared" si="65"/>
        <v>5.0130133273787431E-2</v>
      </c>
      <c r="G289" s="1">
        <f t="shared" si="66"/>
        <v>0.94940720269980139</v>
      </c>
      <c r="H289" s="1">
        <f>'01 Traffic inputs'!$B$8/F289</f>
        <v>20.746005088796096</v>
      </c>
      <c r="I289" s="1">
        <f>MATCH(H289,'02 Emission rates'!$A$7:$A$15,1)</f>
        <v>1</v>
      </c>
      <c r="J289" s="1">
        <f>INDEX('02 Emission rates'!$D$7:$D$15,I289)</f>
        <v>6931.8463213424902</v>
      </c>
      <c r="K289" s="1">
        <f>INDEX('02 Emission rates'!$E$7:$E$15,I289)</f>
        <v>4.0758788464844926</v>
      </c>
      <c r="L289" s="1">
        <f>INDEX('02 Emission rates'!$F$7:$F$15,I289)</f>
        <v>62.680628166186985</v>
      </c>
      <c r="M289" s="1">
        <f>INDEX('02 Emission rates'!$G$7:$G$15,I289)</f>
        <v>2.7514068118353263</v>
      </c>
      <c r="N289" s="1">
        <f t="shared" si="67"/>
        <v>6581.1448254906818</v>
      </c>
      <c r="O289" s="1">
        <f t="shared" si="68"/>
        <v>3.8696687341841352</v>
      </c>
      <c r="P289" s="1">
        <f t="shared" si="69"/>
        <v>59.509439850725968</v>
      </c>
      <c r="Q289" s="1">
        <f t="shared" si="70"/>
        <v>2.6122054447137559</v>
      </c>
      <c r="R289" s="1">
        <f t="shared" si="71"/>
        <v>1534.4057986649991</v>
      </c>
      <c r="S289" s="1">
        <f t="shared" si="72"/>
        <v>41.15504347168693</v>
      </c>
      <c r="T289" s="1">
        <f t="shared" si="73"/>
        <v>433231.1157521386</v>
      </c>
      <c r="U289" s="1">
        <f t="shared" si="74"/>
        <v>450.63116395692191</v>
      </c>
      <c r="V289" s="1">
        <f t="shared" si="75"/>
        <v>3442.6013042797481</v>
      </c>
      <c r="W289" s="1">
        <f t="shared" si="76"/>
        <v>147.33604954418132</v>
      </c>
      <c r="X289" s="1"/>
      <c r="Y289" s="1"/>
      <c r="Z289" s="1"/>
      <c r="AA289" s="1"/>
      <c r="AB289" s="1"/>
      <c r="AC289" s="1"/>
      <c r="AD289" s="1"/>
      <c r="AE289" s="1"/>
    </row>
    <row r="290" spans="1:31" ht="22.05" customHeight="1">
      <c r="A290" s="1">
        <f>'01 Traffic inputs'!B240</f>
        <v>0.31457125026478644</v>
      </c>
      <c r="B290" s="1">
        <f>'01 Traffic inputs'!C240</f>
        <v>3.793968976594841E-3</v>
      </c>
      <c r="C290" s="1">
        <f>IF('01 Traffic inputs'!$B$16&lt;=2/3,(4*A290*(1-A290))^$B$16,1-ABS(2*A290-1)^$B$17)</f>
        <v>0.60499638368382902</v>
      </c>
      <c r="D290" s="1">
        <f>IF('01 Traffic inputs'!$B$16&lt;=2/3,4*$B$16*(1-2*A290)*(4*A290*(1-A290))^($B$16-1),-2*$B$17*SIGN(2*A290-1)*ABS(2*A290-1)^($B$17-1))</f>
        <v>3.5342358918410794</v>
      </c>
      <c r="E290" s="1">
        <f t="shared" si="64"/>
        <v>18.997837001595482</v>
      </c>
      <c r="F290" s="1">
        <f t="shared" si="65"/>
        <v>5.0899470174999357E-2</v>
      </c>
      <c r="G290" s="1">
        <f t="shared" si="66"/>
        <v>0.96697983785220842</v>
      </c>
      <c r="H290" s="1">
        <f>'01 Traffic inputs'!$B$8/F290</f>
        <v>20.432432723255427</v>
      </c>
      <c r="I290" s="1">
        <f>MATCH(H290,'02 Emission rates'!$A$7:$A$15,1)</f>
        <v>1</v>
      </c>
      <c r="J290" s="1">
        <f>INDEX('02 Emission rates'!$D$7:$D$15,I290)</f>
        <v>6931.8463213424902</v>
      </c>
      <c r="K290" s="1">
        <f>INDEX('02 Emission rates'!$E$7:$E$15,I290)</f>
        <v>4.0758788464844926</v>
      </c>
      <c r="L290" s="1">
        <f>INDEX('02 Emission rates'!$F$7:$F$15,I290)</f>
        <v>62.680628166186985</v>
      </c>
      <c r="M290" s="1">
        <f>INDEX('02 Emission rates'!$G$7:$G$15,I290)</f>
        <v>2.7514068118353263</v>
      </c>
      <c r="N290" s="1">
        <f t="shared" si="67"/>
        <v>6702.9556318281884</v>
      </c>
      <c r="O290" s="1">
        <f t="shared" si="68"/>
        <v>3.9412926660788208</v>
      </c>
      <c r="P290" s="1">
        <f t="shared" si="69"/>
        <v>60.610903660614056</v>
      </c>
      <c r="Q290" s="1">
        <f t="shared" si="70"/>
        <v>2.6605549127739856</v>
      </c>
      <c r="R290" s="1">
        <f t="shared" si="71"/>
        <v>1553.4036356665945</v>
      </c>
      <c r="S290" s="1">
        <f t="shared" si="72"/>
        <v>42.122023309539138</v>
      </c>
      <c r="T290" s="1">
        <f t="shared" si="73"/>
        <v>439934.07138396677</v>
      </c>
      <c r="U290" s="1">
        <f t="shared" si="74"/>
        <v>454.57245662300073</v>
      </c>
      <c r="V290" s="1">
        <f t="shared" si="75"/>
        <v>3503.2122079403621</v>
      </c>
      <c r="W290" s="1">
        <f t="shared" si="76"/>
        <v>149.99660445695531</v>
      </c>
      <c r="X290" s="1"/>
      <c r="Y290" s="1"/>
      <c r="Z290" s="1"/>
      <c r="AA290" s="1"/>
      <c r="AB290" s="1"/>
      <c r="AC290" s="1"/>
      <c r="AD290" s="1"/>
      <c r="AE290" s="1"/>
    </row>
    <row r="291" spans="1:31" ht="22.05" customHeight="1">
      <c r="A291" s="1">
        <f>'01 Traffic inputs'!B241</f>
        <v>0.31837136647329944</v>
      </c>
      <c r="B291" s="1">
        <f>'01 Traffic inputs'!C241</f>
        <v>3.8062211586604592E-3</v>
      </c>
      <c r="C291" s="1">
        <f>IF('01 Traffic inputs'!$B$16&lt;=2/3,(4*A291*(1-A291))^$B$16,1-ABS(2*A291-1)^$B$17)</f>
        <v>0.61839261859185868</v>
      </c>
      <c r="D291" s="1">
        <f>IF('01 Traffic inputs'!$B$16&lt;=2/3,4*$B$16*(1-2*A291)*(4*A291*(1-A291))^($B$16-1),-2*$B$17*SIGN(2*A291-1)*ABS(2*A291-1)^($B$17-1))</f>
        <v>3.5157162363969801</v>
      </c>
      <c r="E291" s="1">
        <f t="shared" si="64"/>
        <v>19.054837771693276</v>
      </c>
      <c r="F291" s="1">
        <f t="shared" si="65"/>
        <v>5.1667606931493922E-2</v>
      </c>
      <c r="G291" s="1">
        <f t="shared" si="66"/>
        <v>0.98451786813123165</v>
      </c>
      <c r="H291" s="1">
        <f>'01 Traffic inputs'!$B$8/F291</f>
        <v>20.128665943033834</v>
      </c>
      <c r="I291" s="1">
        <f>MATCH(H291,'02 Emission rates'!$A$7:$A$15,1)</f>
        <v>1</v>
      </c>
      <c r="J291" s="1">
        <f>INDEX('02 Emission rates'!$D$7:$D$15,I291)</f>
        <v>6931.8463213424902</v>
      </c>
      <c r="K291" s="1">
        <f>INDEX('02 Emission rates'!$E$7:$E$15,I291)</f>
        <v>4.0758788464844926</v>
      </c>
      <c r="L291" s="1">
        <f>INDEX('02 Emission rates'!$F$7:$F$15,I291)</f>
        <v>62.680628166186985</v>
      </c>
      <c r="M291" s="1">
        <f>INDEX('02 Emission rates'!$G$7:$G$15,I291)</f>
        <v>2.7514068118353263</v>
      </c>
      <c r="N291" s="1">
        <f t="shared" si="67"/>
        <v>6824.526562501429</v>
      </c>
      <c r="O291" s="1">
        <f t="shared" si="68"/>
        <v>4.0127755527020961</v>
      </c>
      <c r="P291" s="1">
        <f t="shared" si="69"/>
        <v>61.710198415300844</v>
      </c>
      <c r="Q291" s="1">
        <f t="shared" si="70"/>
        <v>2.7088091687498643</v>
      </c>
      <c r="R291" s="1">
        <f t="shared" si="71"/>
        <v>1572.4584734382877</v>
      </c>
      <c r="S291" s="1">
        <f t="shared" si="72"/>
        <v>43.106541177670373</v>
      </c>
      <c r="T291" s="1">
        <f t="shared" si="73"/>
        <v>446758.59794646822</v>
      </c>
      <c r="U291" s="1">
        <f t="shared" si="74"/>
        <v>458.58523217570286</v>
      </c>
      <c r="V291" s="1">
        <f t="shared" si="75"/>
        <v>3564.922406355663</v>
      </c>
      <c r="W291" s="1">
        <f t="shared" si="76"/>
        <v>152.70541362570518</v>
      </c>
      <c r="X291" s="1"/>
      <c r="Y291" s="1"/>
      <c r="Z291" s="1"/>
      <c r="AA291" s="1"/>
      <c r="AB291" s="1"/>
      <c r="AC291" s="1"/>
      <c r="AD291" s="1"/>
      <c r="AE291" s="1"/>
    </row>
    <row r="292" spans="1:31" ht="22.05" customHeight="1">
      <c r="A292" s="1">
        <f>'01 Traffic inputs'!B242</f>
        <v>0.32218360788308986</v>
      </c>
      <c r="B292" s="1">
        <f>'01 Traffic inputs'!C242</f>
        <v>3.8182192442394181E-3</v>
      </c>
      <c r="C292" s="1">
        <f>IF('01 Traffic inputs'!$B$16&lt;=2/3,(4*A292*(1-A292))^$B$16,1-ABS(2*A292-1)^$B$17)</f>
        <v>0.63175535514428438</v>
      </c>
      <c r="D292" s="1">
        <f>IF('01 Traffic inputs'!$B$16&lt;=2/3,4*$B$16*(1-2*A292)*(4*A292*(1-A292))^($B$16-1),-2*$B$17*SIGN(2*A292-1)*ABS(2*A292-1)^($B$17-1))</f>
        <v>3.4942361098149699</v>
      </c>
      <c r="E292" s="1">
        <f t="shared" si="64"/>
        <v>19.109841106678648</v>
      </c>
      <c r="F292" s="1">
        <f t="shared" si="65"/>
        <v>5.2433822900662931E-2</v>
      </c>
      <c r="G292" s="1">
        <f t="shared" si="66"/>
        <v>1.0020020242473968</v>
      </c>
      <c r="H292" s="1">
        <f>'01 Traffic inputs'!$B$8/F292</f>
        <v>19.834525549859755</v>
      </c>
      <c r="I292" s="1">
        <f>MATCH(H292,'02 Emission rates'!$A$7:$A$15,1)</f>
        <v>1</v>
      </c>
      <c r="J292" s="1">
        <f>INDEX('02 Emission rates'!$D$7:$D$15,I292)</f>
        <v>6931.8463213424902</v>
      </c>
      <c r="K292" s="1">
        <f>INDEX('02 Emission rates'!$E$7:$E$15,I292)</f>
        <v>4.0758788464844926</v>
      </c>
      <c r="L292" s="1">
        <f>INDEX('02 Emission rates'!$F$7:$F$15,I292)</f>
        <v>62.680628166186985</v>
      </c>
      <c r="M292" s="1">
        <f>INDEX('02 Emission rates'!$G$7:$G$15,I292)</f>
        <v>2.7514068118353263</v>
      </c>
      <c r="N292" s="1">
        <f t="shared" si="67"/>
        <v>6945.724045757046</v>
      </c>
      <c r="O292" s="1">
        <f t="shared" si="68"/>
        <v>4.0840388547646063</v>
      </c>
      <c r="P292" s="1">
        <f t="shared" si="69"/>
        <v>62.806116303617756</v>
      </c>
      <c r="Q292" s="1">
        <f t="shared" si="70"/>
        <v>2.7569151949870734</v>
      </c>
      <c r="R292" s="1">
        <f t="shared" si="71"/>
        <v>1591.5683145449664</v>
      </c>
      <c r="S292" s="1">
        <f t="shared" si="72"/>
        <v>44.108543201917769</v>
      </c>
      <c r="T292" s="1">
        <f t="shared" si="73"/>
        <v>453704.32199222525</v>
      </c>
      <c r="U292" s="1">
        <f t="shared" si="74"/>
        <v>462.66927103046748</v>
      </c>
      <c r="V292" s="1">
        <f t="shared" si="75"/>
        <v>3627.7285226592808</v>
      </c>
      <c r="W292" s="1">
        <f t="shared" si="76"/>
        <v>155.46232882069225</v>
      </c>
      <c r="X292" s="1"/>
      <c r="Y292" s="1"/>
      <c r="Z292" s="1"/>
      <c r="AA292" s="1"/>
      <c r="AB292" s="1"/>
      <c r="AC292" s="1"/>
      <c r="AD292" s="1"/>
      <c r="AE292" s="1"/>
    </row>
    <row r="293" spans="1:31" ht="22.05" customHeight="1">
      <c r="A293" s="1">
        <f>'01 Traffic inputs'!B243</f>
        <v>0.32600771999576994</v>
      </c>
      <c r="B293" s="1">
        <f>'01 Traffic inputs'!C243</f>
        <v>3.8299624323610538E-3</v>
      </c>
      <c r="C293" s="1">
        <f>IF('01 Traffic inputs'!$B$16&lt;=2/3,(4*A293*(1-A293))^$B$16,1-ABS(2*A293-1)^$B$17)</f>
        <v>0.64507187508955521</v>
      </c>
      <c r="D293" s="1">
        <f>IF('01 Traffic inputs'!$B$16&lt;=2/3,4*$B$16*(1-2*A293)*(4*A293*(1-A293))^($B$16-1),-2*$B$17*SIGN(2*A293-1)*ABS(2*A293-1)^($B$17-1))</f>
        <v>3.4697829540727843</v>
      </c>
      <c r="E293" s="1">
        <f t="shared" si="64"/>
        <v>19.162834464364821</v>
      </c>
      <c r="F293" s="1">
        <f t="shared" si="65"/>
        <v>5.3197388821145886E-2</v>
      </c>
      <c r="G293" s="1">
        <f t="shared" si="66"/>
        <v>1.0194127559160702</v>
      </c>
      <c r="H293" s="1">
        <f>'01 Traffic inputs'!$B$8/F293</f>
        <v>19.549831731339076</v>
      </c>
      <c r="I293" s="1">
        <f>MATCH(H293,'02 Emission rates'!$A$7:$A$15,1)</f>
        <v>1</v>
      </c>
      <c r="J293" s="1">
        <f>INDEX('02 Emission rates'!$D$7:$D$15,I293)</f>
        <v>6931.8463213424902</v>
      </c>
      <c r="K293" s="1">
        <f>INDEX('02 Emission rates'!$E$7:$E$15,I293)</f>
        <v>4.0758788464844926</v>
      </c>
      <c r="L293" s="1">
        <f>INDEX('02 Emission rates'!$F$7:$F$15,I293)</f>
        <v>62.680628166186985</v>
      </c>
      <c r="M293" s="1">
        <f>INDEX('02 Emission rates'!$G$7:$G$15,I293)</f>
        <v>2.7514068118353263</v>
      </c>
      <c r="N293" s="1">
        <f t="shared" si="67"/>
        <v>7066.4125620264213</v>
      </c>
      <c r="O293" s="1">
        <f t="shared" si="68"/>
        <v>4.1550028876747698</v>
      </c>
      <c r="P293" s="1">
        <f t="shared" si="69"/>
        <v>63.897431901443127</v>
      </c>
      <c r="Q293" s="1">
        <f t="shared" si="70"/>
        <v>2.8048192006992982</v>
      </c>
      <c r="R293" s="1">
        <f t="shared" si="71"/>
        <v>1610.7311490093311</v>
      </c>
      <c r="S293" s="1">
        <f t="shared" si="72"/>
        <v>45.127955957833841</v>
      </c>
      <c r="T293" s="1">
        <f t="shared" si="73"/>
        <v>460770.73455425166</v>
      </c>
      <c r="U293" s="1">
        <f t="shared" si="74"/>
        <v>466.82427391814224</v>
      </c>
      <c r="V293" s="1">
        <f t="shared" si="75"/>
        <v>3691.625954560724</v>
      </c>
      <c r="W293" s="1">
        <f t="shared" si="76"/>
        <v>158.26714802139153</v>
      </c>
      <c r="X293" s="1"/>
      <c r="Y293" s="1"/>
      <c r="Z293" s="1"/>
      <c r="AA293" s="1"/>
      <c r="AB293" s="1"/>
      <c r="AC293" s="1"/>
      <c r="AD293" s="1"/>
      <c r="AE293" s="1"/>
    </row>
    <row r="294" spans="1:31" ht="22.05" customHeight="1">
      <c r="A294" s="1">
        <f>'01 Traffic inputs'!B244</f>
        <v>0.32984344752048511</v>
      </c>
      <c r="B294" s="1">
        <f>'01 Traffic inputs'!C244</f>
        <v>3.8414499390713158E-3</v>
      </c>
      <c r="C294" s="1">
        <f>IF('01 Traffic inputs'!$B$16&lt;=2/3,(4*A294*(1-A294))^$B$16,1-ABS(2*A294-1)^$B$17)</f>
        <v>0.65832932852248749</v>
      </c>
      <c r="D294" s="1">
        <f>IF('01 Traffic inputs'!$B$16&lt;=2/3,4*$B$16*(1-2*A294)*(4*A294*(1-A294))^($B$16-1),-2*$B$17*SIGN(2*A294-1)*ABS(2*A294-1)^($B$17-1))</f>
        <v>3.4423480666028432</v>
      </c>
      <c r="E294" s="1">
        <f t="shared" si="64"/>
        <v>19.2138065501318</v>
      </c>
      <c r="F294" s="1">
        <f t="shared" si="65"/>
        <v>5.3957567882595932E-2</v>
      </c>
      <c r="G294" s="1">
        <f t="shared" si="66"/>
        <v>1.0367302712118029</v>
      </c>
      <c r="H294" s="1">
        <f>'01 Traffic inputs'!$B$8/F294</f>
        <v>19.274404700058277</v>
      </c>
      <c r="I294" s="1">
        <f>MATCH(H294,'02 Emission rates'!$A$7:$A$15,1)</f>
        <v>1</v>
      </c>
      <c r="J294" s="1">
        <f>INDEX('02 Emission rates'!$D$7:$D$15,I294)</f>
        <v>6931.8463213424902</v>
      </c>
      <c r="K294" s="1">
        <f>INDEX('02 Emission rates'!$E$7:$E$15,I294)</f>
        <v>4.0758788464844926</v>
      </c>
      <c r="L294" s="1">
        <f>INDEX('02 Emission rates'!$F$7:$F$15,I294)</f>
        <v>62.680628166186985</v>
      </c>
      <c r="M294" s="1">
        <f>INDEX('02 Emission rates'!$G$7:$G$15,I294)</f>
        <v>2.7514068118353263</v>
      </c>
      <c r="N294" s="1">
        <f t="shared" si="67"/>
        <v>7186.4549167239384</v>
      </c>
      <c r="O294" s="1">
        <f t="shared" si="68"/>
        <v>4.2255869819423184</v>
      </c>
      <c r="P294" s="1">
        <f t="shared" si="69"/>
        <v>64.982904638457214</v>
      </c>
      <c r="Q294" s="1">
        <f t="shared" si="70"/>
        <v>2.85246673024804</v>
      </c>
      <c r="R294" s="1">
        <f t="shared" si="71"/>
        <v>1629.9449555594629</v>
      </c>
      <c r="S294" s="1">
        <f t="shared" si="72"/>
        <v>46.164686229045643</v>
      </c>
      <c r="T294" s="1">
        <f t="shared" si="73"/>
        <v>467957.1894709756</v>
      </c>
      <c r="U294" s="1">
        <f t="shared" si="74"/>
        <v>471.04986090008458</v>
      </c>
      <c r="V294" s="1">
        <f t="shared" si="75"/>
        <v>3756.6088591991811</v>
      </c>
      <c r="W294" s="1">
        <f t="shared" si="76"/>
        <v>161.11961475163957</v>
      </c>
      <c r="X294" s="1"/>
      <c r="Y294" s="1"/>
      <c r="Z294" s="1"/>
      <c r="AA294" s="1"/>
      <c r="AB294" s="1"/>
      <c r="AC294" s="1"/>
      <c r="AD294" s="1"/>
      <c r="AE294" s="1"/>
    </row>
    <row r="295" spans="1:31" ht="22.05" customHeight="1">
      <c r="A295" s="1">
        <f>'01 Traffic inputs'!B245</f>
        <v>0.33369053439095669</v>
      </c>
      <c r="B295" s="1">
        <f>'01 Traffic inputs'!C245</f>
        <v>3.8526809974847934E-3</v>
      </c>
      <c r="C295" s="1">
        <f>IF('01 Traffic inputs'!$B$16&lt;=2/3,(4*A295*(1-A295))^$B$16,1-ABS(2*A295-1)^$B$17)</f>
        <v>0.67151475300224039</v>
      </c>
      <c r="D295" s="1">
        <f>IF('01 Traffic inputs'!$B$16&lt;=2/3,4*$B$16*(1-2*A295)*(4*A295*(1-A295))^($B$16-1),-2*$B$17*SIGN(2*A295-1)*ABS(2*A295-1)^($B$17-1))</f>
        <v>3.4119266452268207</v>
      </c>
      <c r="E295" s="1">
        <f t="shared" si="64"/>
        <v>19.262747344525131</v>
      </c>
      <c r="F295" s="1">
        <f t="shared" si="65"/>
        <v>5.4713616821899812E-2</v>
      </c>
      <c r="G295" s="1">
        <f t="shared" si="66"/>
        <v>1.0539345771454161</v>
      </c>
      <c r="H295" s="1">
        <f>'01 Traffic inputs'!$B$8/F295</f>
        <v>19.008065275329184</v>
      </c>
      <c r="I295" s="1">
        <f>MATCH(H295,'02 Emission rates'!$A$7:$A$15,1)</f>
        <v>1</v>
      </c>
      <c r="J295" s="1">
        <f>INDEX('02 Emission rates'!$D$7:$D$15,I295)</f>
        <v>6931.8463213424902</v>
      </c>
      <c r="K295" s="1">
        <f>INDEX('02 Emission rates'!$E$7:$E$15,I295)</f>
        <v>4.0758788464844926</v>
      </c>
      <c r="L295" s="1">
        <f>INDEX('02 Emission rates'!$F$7:$F$15,I295)</f>
        <v>62.680628166186985</v>
      </c>
      <c r="M295" s="1">
        <f>INDEX('02 Emission rates'!$G$7:$G$15,I295)</f>
        <v>2.7514068118353263</v>
      </c>
      <c r="N295" s="1">
        <f t="shared" si="67"/>
        <v>7305.7125215211054</v>
      </c>
      <c r="O295" s="1">
        <f t="shared" si="68"/>
        <v>4.2957096485655795</v>
      </c>
      <c r="P295" s="1">
        <f t="shared" si="69"/>
        <v>66.061281341539342</v>
      </c>
      <c r="Q295" s="1">
        <f t="shared" si="70"/>
        <v>2.8998027747866821</v>
      </c>
      <c r="R295" s="1">
        <f t="shared" si="71"/>
        <v>1649.2077029039881</v>
      </c>
      <c r="S295" s="1">
        <f t="shared" si="72"/>
        <v>47.218620806191062</v>
      </c>
      <c r="T295" s="1">
        <f t="shared" si="73"/>
        <v>475262.90199249669</v>
      </c>
      <c r="U295" s="1">
        <f t="shared" si="74"/>
        <v>475.34557054865019</v>
      </c>
      <c r="V295" s="1">
        <f t="shared" si="75"/>
        <v>3822.6701405407202</v>
      </c>
      <c r="W295" s="1">
        <f t="shared" si="76"/>
        <v>164.01941752642625</v>
      </c>
      <c r="X295" s="1"/>
      <c r="Y295" s="1"/>
      <c r="Z295" s="1"/>
      <c r="AA295" s="1"/>
      <c r="AB295" s="1"/>
      <c r="AC295" s="1"/>
      <c r="AD295" s="1"/>
      <c r="AE295" s="1"/>
    </row>
    <row r="296" spans="1:31" ht="22.05" customHeight="1">
      <c r="A296" s="1">
        <f>'01 Traffic inputs'!B246</f>
        <v>0.3375487237825765</v>
      </c>
      <c r="B296" s="1">
        <f>'01 Traffic inputs'!C246</f>
        <v>3.863654857836274E-3</v>
      </c>
      <c r="C296" s="1">
        <f>IF('01 Traffic inputs'!$B$16&lt;=2/3,(4*A296*(1-A296))^$B$16,1-ABS(2*A296-1)^$B$17)</f>
        <v>0.68461509309476387</v>
      </c>
      <c r="D296" s="1">
        <f>IF('01 Traffic inputs'!$B$16&lt;=2/3,4*$B$16*(1-2*A296)*(4*A296*(1-A296))^($B$16-1),-2*$B$17*SIGN(2*A296-1)*ABS(2*A296-1)^($B$17-1))</f>
        <v>3.3785178266083395</v>
      </c>
      <c r="E296" s="1">
        <f t="shared" si="64"/>
        <v>19.309648128535681</v>
      </c>
      <c r="F296" s="1">
        <f t="shared" si="65"/>
        <v>5.5464787043736925E-2</v>
      </c>
      <c r="G296" s="1">
        <f t="shared" si="66"/>
        <v>1.0710055213387248</v>
      </c>
      <c r="H296" s="1">
        <f>'01 Traffic inputs'!$B$8/F296</f>
        <v>18.750635410894578</v>
      </c>
      <c r="I296" s="1">
        <f>MATCH(H296,'02 Emission rates'!$A$7:$A$15,1)</f>
        <v>1</v>
      </c>
      <c r="J296" s="1">
        <f>INDEX('02 Emission rates'!$D$7:$D$15,I296)</f>
        <v>6931.8463213424902</v>
      </c>
      <c r="K296" s="1">
        <f>INDEX('02 Emission rates'!$E$7:$E$15,I296)</f>
        <v>4.0758788464844926</v>
      </c>
      <c r="L296" s="1">
        <f>INDEX('02 Emission rates'!$F$7:$F$15,I296)</f>
        <v>62.680628166186985</v>
      </c>
      <c r="M296" s="1">
        <f>INDEX('02 Emission rates'!$G$7:$G$15,I296)</f>
        <v>2.7514068118353263</v>
      </c>
      <c r="N296" s="1">
        <f t="shared" si="67"/>
        <v>7424.0456832293357</v>
      </c>
      <c r="O296" s="1">
        <f t="shared" si="68"/>
        <v>4.3652887488926044</v>
      </c>
      <c r="P296" s="1">
        <f t="shared" si="69"/>
        <v>67.131298846965848</v>
      </c>
      <c r="Q296" s="1">
        <f t="shared" si="70"/>
        <v>2.9467718869246124</v>
      </c>
      <c r="R296" s="1">
        <f t="shared" si="71"/>
        <v>1668.5173510325237</v>
      </c>
      <c r="S296" s="1">
        <f t="shared" si="72"/>
        <v>48.289626327529788</v>
      </c>
      <c r="T296" s="1">
        <f t="shared" si="73"/>
        <v>482686.94767572603</v>
      </c>
      <c r="U296" s="1">
        <f t="shared" si="74"/>
        <v>479.71085929754281</v>
      </c>
      <c r="V296" s="1">
        <f t="shared" si="75"/>
        <v>3889.8014393876861</v>
      </c>
      <c r="W296" s="1">
        <f t="shared" si="76"/>
        <v>166.96618941335086</v>
      </c>
      <c r="X296" s="1"/>
      <c r="Y296" s="1"/>
      <c r="Z296" s="1"/>
      <c r="AA296" s="1"/>
      <c r="AB296" s="1"/>
      <c r="AC296" s="1"/>
      <c r="AD296" s="1"/>
      <c r="AE296" s="1"/>
    </row>
    <row r="297" spans="1:31" ht="22.05" customHeight="1">
      <c r="A297" s="1">
        <f>'01 Traffic inputs'!B247</f>
        <v>0.34141775812955211</v>
      </c>
      <c r="B297" s="1">
        <f>'01 Traffic inputs'!C247</f>
        <v>3.874370787530512E-3</v>
      </c>
      <c r="C297" s="1">
        <f>IF('01 Traffic inputs'!$B$16&lt;=2/3,(4*A297*(1-A297))^$B$16,1-ABS(2*A297-1)^$B$17)</f>
        <v>0.69761722030155171</v>
      </c>
      <c r="D297" s="1">
        <f>IF('01 Traffic inputs'!$B$16&lt;=2/3,4*$B$16*(1-2*A297)*(4*A297*(1-A297))^($B$16-1),-2*$B$17*SIGN(2*A297-1)*ABS(2*A297-1)^($B$17-1))</f>
        <v>3.3421247181193352</v>
      </c>
      <c r="E297" s="1">
        <f t="shared" si="64"/>
        <v>19.354501506476858</v>
      </c>
      <c r="F297" s="1">
        <f t="shared" si="65"/>
        <v>5.6210325763289042E-2</v>
      </c>
      <c r="G297" s="1">
        <f t="shared" si="66"/>
        <v>1.0879228346651326</v>
      </c>
      <c r="H297" s="1">
        <f>'01 Traffic inputs'!$B$8/F297</f>
        <v>18.501938671902241</v>
      </c>
      <c r="I297" s="1">
        <f>MATCH(H297,'02 Emission rates'!$A$7:$A$15,1)</f>
        <v>1</v>
      </c>
      <c r="J297" s="1">
        <f>INDEX('02 Emission rates'!$D$7:$D$15,I297)</f>
        <v>6931.8463213424902</v>
      </c>
      <c r="K297" s="1">
        <f>INDEX('02 Emission rates'!$E$7:$E$15,I297)</f>
        <v>4.0758788464844926</v>
      </c>
      <c r="L297" s="1">
        <f>INDEX('02 Emission rates'!$F$7:$F$15,I297)</f>
        <v>62.680628166186985</v>
      </c>
      <c r="M297" s="1">
        <f>INDEX('02 Emission rates'!$G$7:$G$15,I297)</f>
        <v>2.7514068118353263</v>
      </c>
      <c r="N297" s="1">
        <f t="shared" si="67"/>
        <v>7541.3138993779939</v>
      </c>
      <c r="O297" s="1">
        <f t="shared" si="68"/>
        <v>4.4342416684190598</v>
      </c>
      <c r="P297" s="1">
        <f t="shared" si="69"/>
        <v>68.191686673149292</v>
      </c>
      <c r="Q297" s="1">
        <f t="shared" si="70"/>
        <v>2.9933182980488433</v>
      </c>
      <c r="R297" s="1">
        <f t="shared" si="71"/>
        <v>1687.8718525390007</v>
      </c>
      <c r="S297" s="1">
        <f t="shared" si="72"/>
        <v>49.377549162194924</v>
      </c>
      <c r="T297" s="1">
        <f t="shared" si="73"/>
        <v>490228.26157510403</v>
      </c>
      <c r="U297" s="1">
        <f t="shared" si="74"/>
        <v>484.14510096596189</v>
      </c>
      <c r="V297" s="1">
        <f t="shared" si="75"/>
        <v>3957.9931260608355</v>
      </c>
      <c r="W297" s="1">
        <f t="shared" si="76"/>
        <v>169.95950771139971</v>
      </c>
      <c r="X297" s="1"/>
      <c r="Y297" s="1"/>
      <c r="Z297" s="1"/>
      <c r="AA297" s="1"/>
      <c r="AB297" s="1"/>
      <c r="AC297" s="1"/>
      <c r="AD297" s="1"/>
      <c r="AE297" s="1"/>
    </row>
    <row r="298" spans="1:31" ht="22.05" customHeight="1">
      <c r="A298" s="1">
        <f>'01 Traffic inputs'!B248</f>
        <v>0.34529737914210112</v>
      </c>
      <c r="B298" s="1">
        <f>'01 Traffic inputs'!C248</f>
        <v>3.8848280711912871E-3</v>
      </c>
      <c r="C298" s="1">
        <f>IF('01 Traffic inputs'!$B$16&lt;=2/3,(4*A298*(1-A298))^$B$16,1-ABS(2*A298-1)^$B$17)</f>
        <v>0.71050795333531946</v>
      </c>
      <c r="D298" s="1">
        <f>IF('01 Traffic inputs'!$B$16&lt;=2/3,4*$B$16*(1-2*A298)*(4*A298*(1-A298))^($B$16-1),-2*$B$17*SIGN(2*A298-1)*ABS(2*A298-1)^($B$17-1))</f>
        <v>3.3027544230283499</v>
      </c>
      <c r="E298" s="1">
        <f t="shared" si="64"/>
        <v>19.39730142639371</v>
      </c>
      <c r="F298" s="1">
        <f t="shared" si="65"/>
        <v>5.6949477168842591E-2</v>
      </c>
      <c r="G298" s="1">
        <f t="shared" si="66"/>
        <v>1.1046661747195665</v>
      </c>
      <c r="H298" s="1">
        <f>'01 Traffic inputs'!$B$8/F298</f>
        <v>18.261800664414366</v>
      </c>
      <c r="I298" s="1">
        <f>MATCH(H298,'02 Emission rates'!$A$7:$A$15,1)</f>
        <v>1</v>
      </c>
      <c r="J298" s="1">
        <f>INDEX('02 Emission rates'!$D$7:$D$15,I298)</f>
        <v>6931.8463213424902</v>
      </c>
      <c r="K298" s="1">
        <f>INDEX('02 Emission rates'!$E$7:$E$15,I298)</f>
        <v>4.0758788464844926</v>
      </c>
      <c r="L298" s="1">
        <f>INDEX('02 Emission rates'!$F$7:$F$15,I298)</f>
        <v>62.680628166186985</v>
      </c>
      <c r="M298" s="1">
        <f>INDEX('02 Emission rates'!$G$7:$G$15,I298)</f>
        <v>2.7514068118353263</v>
      </c>
      <c r="N298" s="1">
        <f t="shared" si="67"/>
        <v>7657.376159541308</v>
      </c>
      <c r="O298" s="1">
        <f t="shared" si="68"/>
        <v>4.5024854939664234</v>
      </c>
      <c r="P298" s="1">
        <f t="shared" si="69"/>
        <v>69.24116974536129</v>
      </c>
      <c r="Q298" s="1">
        <f t="shared" si="70"/>
        <v>3.0393860379274882</v>
      </c>
      <c r="R298" s="1">
        <f t="shared" si="71"/>
        <v>1707.2691539653943</v>
      </c>
      <c r="S298" s="1">
        <f t="shared" si="72"/>
        <v>50.482215336914493</v>
      </c>
      <c r="T298" s="1">
        <f t="shared" si="73"/>
        <v>497885.63773464534</v>
      </c>
      <c r="U298" s="1">
        <f t="shared" si="74"/>
        <v>488.64758645992833</v>
      </c>
      <c r="V298" s="1">
        <f t="shared" si="75"/>
        <v>4027.2342958061968</v>
      </c>
      <c r="W298" s="1">
        <f t="shared" si="76"/>
        <v>172.99889374932721</v>
      </c>
      <c r="X298" s="1"/>
      <c r="Y298" s="1"/>
      <c r="Z298" s="1"/>
      <c r="AA298" s="1"/>
      <c r="AB298" s="1"/>
      <c r="AC298" s="1"/>
      <c r="AD298" s="1"/>
      <c r="AE298" s="1"/>
    </row>
    <row r="299" spans="1:31" ht="22.05" customHeight="1">
      <c r="A299" s="1">
        <f>'01 Traffic inputs'!B249</f>
        <v>0.34918732782369455</v>
      </c>
      <c r="B299" s="1">
        <f>'01 Traffic inputs'!C249</f>
        <v>3.8950260107091707E-3</v>
      </c>
      <c r="C299" s="1">
        <f>IF('01 Traffic inputs'!$B$16&lt;=2/3,(4*A299*(1-A299))^$B$16,1-ABS(2*A299-1)^$B$17)</f>
        <v>0.7232740787021501</v>
      </c>
      <c r="D299" s="1">
        <f>IF('01 Traffic inputs'!$B$16&lt;=2/3,4*$B$16*(1-2*A299)*(4*A299*(1-A299))^($B$16-1),-2*$B$17*SIGN(2*A299-1)*ABS(2*A299-1)^($B$17-1))</f>
        <v>3.2604180589319283</v>
      </c>
      <c r="E299" s="1">
        <f t="shared" si="64"/>
        <v>19.438043197935468</v>
      </c>
      <c r="F299" s="1">
        <f t="shared" si="65"/>
        <v>5.7681483601963776E-2</v>
      </c>
      <c r="G299" s="1">
        <f t="shared" si="66"/>
        <v>1.1212151699759783</v>
      </c>
      <c r="H299" s="1">
        <f>'01 Traffic inputs'!$B$8/F299</f>
        <v>18.030049420653484</v>
      </c>
      <c r="I299" s="1">
        <f>MATCH(H299,'02 Emission rates'!$A$7:$A$15,1)</f>
        <v>1</v>
      </c>
      <c r="J299" s="1">
        <f>INDEX('02 Emission rates'!$D$7:$D$15,I299)</f>
        <v>6931.8463213424902</v>
      </c>
      <c r="K299" s="1">
        <f>INDEX('02 Emission rates'!$E$7:$E$15,I299)</f>
        <v>4.0758788464844926</v>
      </c>
      <c r="L299" s="1">
        <f>INDEX('02 Emission rates'!$F$7:$F$15,I299)</f>
        <v>62.680628166186985</v>
      </c>
      <c r="M299" s="1">
        <f>INDEX('02 Emission rates'!$G$7:$G$15,I299)</f>
        <v>2.7514068118353263</v>
      </c>
      <c r="N299" s="1">
        <f t="shared" si="67"/>
        <v>7772.0912514313795</v>
      </c>
      <c r="O299" s="1">
        <f t="shared" si="68"/>
        <v>4.5699371936626045</v>
      </c>
      <c r="P299" s="1">
        <f t="shared" si="69"/>
        <v>70.278471163552425</v>
      </c>
      <c r="Q299" s="1">
        <f t="shared" si="70"/>
        <v>3.0849190562050097</v>
      </c>
      <c r="R299" s="1">
        <f t="shared" si="71"/>
        <v>1726.7071971633297</v>
      </c>
      <c r="S299" s="1">
        <f t="shared" si="72"/>
        <v>51.603430506890469</v>
      </c>
      <c r="T299" s="1">
        <f t="shared" si="73"/>
        <v>505657.72898607672</v>
      </c>
      <c r="U299" s="1">
        <f t="shared" si="74"/>
        <v>493.21752365359094</v>
      </c>
      <c r="V299" s="1">
        <f t="shared" si="75"/>
        <v>4097.5127669697495</v>
      </c>
      <c r="W299" s="1">
        <f t="shared" si="76"/>
        <v>176.0838128055322</v>
      </c>
      <c r="X299" s="1"/>
      <c r="Y299" s="1"/>
      <c r="Z299" s="1"/>
      <c r="AA299" s="1"/>
      <c r="AB299" s="1"/>
      <c r="AC299" s="1"/>
      <c r="AD299" s="1"/>
      <c r="AE299" s="1"/>
    </row>
    <row r="300" spans="1:31" ht="22.05" customHeight="1">
      <c r="A300" s="1">
        <f>'01 Traffic inputs'!B250</f>
        <v>0.35308734448834678</v>
      </c>
      <c r="B300" s="1">
        <f>'01 Traffic inputs'!C250</f>
        <v>3.9049639252880046E-3</v>
      </c>
      <c r="C300" s="1">
        <f>IF('01 Traffic inputs'!$B$16&lt;=2/3,(4*A300*(1-A300))^$B$16,1-ABS(2*A300-1)^$B$17)</f>
        <v>0.73590237154860394</v>
      </c>
      <c r="D300" s="1">
        <f>IF('01 Traffic inputs'!$B$16&lt;=2/3,4*$B$16*(1-2*A300)*(4*A300*(1-A300))^($B$16-1),-2*$B$17*SIGN(2*A300-1)*ABS(2*A300-1)^($B$17-1))</f>
        <v>3.2151307693633773</v>
      </c>
      <c r="E300" s="1">
        <f t="shared" si="64"/>
        <v>19.476723507632233</v>
      </c>
      <c r="F300" s="1">
        <f t="shared" si="65"/>
        <v>5.8405586752866598E-2</v>
      </c>
      <c r="G300" s="1">
        <f t="shared" si="66"/>
        <v>1.1375494644866107</v>
      </c>
      <c r="H300" s="1">
        <f>'01 Traffic inputs'!$B$8/F300</f>
        <v>17.806515743101858</v>
      </c>
      <c r="I300" s="1">
        <f>MATCH(H300,'02 Emission rates'!$A$7:$A$15,1)</f>
        <v>1</v>
      </c>
      <c r="J300" s="1">
        <f>INDEX('02 Emission rates'!$D$7:$D$15,I300)</f>
        <v>6931.8463213424902</v>
      </c>
      <c r="K300" s="1">
        <f>INDEX('02 Emission rates'!$E$7:$E$15,I300)</f>
        <v>4.0758788464844926</v>
      </c>
      <c r="L300" s="1">
        <f>INDEX('02 Emission rates'!$F$7:$F$15,I300)</f>
        <v>62.680628166186985</v>
      </c>
      <c r="M300" s="1">
        <f>INDEX('02 Emission rates'!$G$7:$G$15,I300)</f>
        <v>2.7514068118353263</v>
      </c>
      <c r="N300" s="1">
        <f t="shared" si="67"/>
        <v>7885.3180707466317</v>
      </c>
      <c r="O300" s="1">
        <f t="shared" si="68"/>
        <v>4.6365137991307392</v>
      </c>
      <c r="P300" s="1">
        <f t="shared" si="69"/>
        <v>71.302315004130364</v>
      </c>
      <c r="Q300" s="1">
        <f t="shared" si="70"/>
        <v>3.1298613453880884</v>
      </c>
      <c r="R300" s="1">
        <f t="shared" si="71"/>
        <v>1746.1839206709619</v>
      </c>
      <c r="S300" s="1">
        <f t="shared" si="72"/>
        <v>52.740979971377079</v>
      </c>
      <c r="T300" s="1">
        <f t="shared" si="73"/>
        <v>513543.04705682333</v>
      </c>
      <c r="U300" s="1">
        <f t="shared" si="74"/>
        <v>497.85403745272168</v>
      </c>
      <c r="V300" s="1">
        <f t="shared" si="75"/>
        <v>4168.8150819738794</v>
      </c>
      <c r="W300" s="1">
        <f t="shared" si="76"/>
        <v>179.2136741509203</v>
      </c>
      <c r="X300" s="1"/>
      <c r="Y300" s="1"/>
      <c r="Z300" s="1"/>
      <c r="AA300" s="1"/>
      <c r="AB300" s="1"/>
      <c r="AC300" s="1"/>
      <c r="AD300" s="1"/>
      <c r="AE300" s="1"/>
    </row>
    <row r="301" spans="1:31" ht="22.05" customHeight="1">
      <c r="A301" s="1">
        <f>'01 Traffic inputs'!B251</f>
        <v>0.35699716877795162</v>
      </c>
      <c r="B301" s="1">
        <f>'01 Traffic inputs'!C251</f>
        <v>3.9146411514904746E-3</v>
      </c>
      <c r="C301" s="1">
        <f>IF('01 Traffic inputs'!$B$16&lt;=2/3,(4*A301*(1-A301))^$B$16,1-ABS(2*A301-1)^$B$17)</f>
        <v>0.74837961673140418</v>
      </c>
      <c r="D301" s="1">
        <f>IF('01 Traffic inputs'!$B$16&lt;=2/3,4*$B$16*(1-2*A301)*(4*A301*(1-A301))^($B$16-1),-2*$B$17*SIGN(2*A301-1)*ABS(2*A301-1)^($B$17-1))</f>
        <v>3.1669117285264567</v>
      </c>
      <c r="E301" s="1">
        <f t="shared" si="64"/>
        <v>19.513340431524576</v>
      </c>
      <c r="F301" s="1">
        <f t="shared" si="65"/>
        <v>5.9121028868543354E-2</v>
      </c>
      <c r="G301" s="1">
        <f t="shared" si="66"/>
        <v>1.1536487629738787</v>
      </c>
      <c r="H301" s="1">
        <f>'01 Traffic inputs'!$B$8/F301</f>
        <v>17.591033510470169</v>
      </c>
      <c r="I301" s="1">
        <f>MATCH(H301,'02 Emission rates'!$A$7:$A$15,1)</f>
        <v>1</v>
      </c>
      <c r="J301" s="1">
        <f>INDEX('02 Emission rates'!$D$7:$D$15,I301)</f>
        <v>6931.8463213424902</v>
      </c>
      <c r="K301" s="1">
        <f>INDEX('02 Emission rates'!$E$7:$E$15,I301)</f>
        <v>4.0758788464844926</v>
      </c>
      <c r="L301" s="1">
        <f>INDEX('02 Emission rates'!$F$7:$F$15,I301)</f>
        <v>62.680628166186985</v>
      </c>
      <c r="M301" s="1">
        <f>INDEX('02 Emission rates'!$G$7:$G$15,I301)</f>
        <v>2.7514068118353263</v>
      </c>
      <c r="N301" s="1">
        <f t="shared" si="67"/>
        <v>7996.9159337417959</v>
      </c>
      <c r="O301" s="1">
        <f t="shared" si="68"/>
        <v>4.7021325892782349</v>
      </c>
      <c r="P301" s="1">
        <f t="shared" si="69"/>
        <v>72.31142914634728</v>
      </c>
      <c r="Q301" s="1">
        <f t="shared" si="70"/>
        <v>3.1741570649117277</v>
      </c>
      <c r="R301" s="1">
        <f t="shared" si="71"/>
        <v>1765.6972611024864</v>
      </c>
      <c r="S301" s="1">
        <f t="shared" si="72"/>
        <v>53.89462873435096</v>
      </c>
      <c r="T301" s="1">
        <f t="shared" si="73"/>
        <v>521539.96299056511</v>
      </c>
      <c r="U301" s="1">
        <f t="shared" si="74"/>
        <v>502.55617004199991</v>
      </c>
      <c r="V301" s="1">
        <f t="shared" si="75"/>
        <v>4241.1265111202265</v>
      </c>
      <c r="W301" s="1">
        <f t="shared" si="76"/>
        <v>182.38783121583202</v>
      </c>
      <c r="X301" s="1"/>
      <c r="Y301" s="1"/>
      <c r="Z301" s="1"/>
      <c r="AA301" s="1"/>
      <c r="AB301" s="1"/>
      <c r="AC301" s="1"/>
      <c r="AD301" s="1"/>
      <c r="AE301" s="1"/>
    </row>
    <row r="302" spans="1:31" ht="22.05" customHeight="1">
      <c r="A302" s="1">
        <f>'01 Traffic inputs'!B252</f>
        <v>0.36091653967966353</v>
      </c>
      <c r="B302" s="1">
        <f>'01 Traffic inputs'!C252</f>
        <v>3.9240570432823411E-3</v>
      </c>
      <c r="C302" s="1">
        <f>IF('01 Traffic inputs'!$B$16&lt;=2/3,(4*A302*(1-A302))^$B$16,1-ABS(2*A302-1)^$B$17)</f>
        <v>0.76069263006648358</v>
      </c>
      <c r="D302" s="1">
        <f>IF('01 Traffic inputs'!$B$16&lt;=2/3,4*$B$16*(1-2*A302)*(4*A302*(1-A302))^($B$16-1),-2*$B$17*SIGN(2*A302-1)*ABS(2*A302-1)^($B$17-1))</f>
        <v>3.1157841391149392</v>
      </c>
      <c r="E302" s="1">
        <f t="shared" si="64"/>
        <v>19.547893445096864</v>
      </c>
      <c r="F302" s="1">
        <f t="shared" si="65"/>
        <v>5.9827053971179704E-2</v>
      </c>
      <c r="G302" s="1">
        <f t="shared" si="66"/>
        <v>1.1694928761626802</v>
      </c>
      <c r="H302" s="1">
        <f>'01 Traffic inputs'!$B$8/F302</f>
        <v>17.383439948438983</v>
      </c>
      <c r="I302" s="1">
        <f>MATCH(H302,'02 Emission rates'!$A$7:$A$15,1)</f>
        <v>1</v>
      </c>
      <c r="J302" s="1">
        <f>INDEX('02 Emission rates'!$D$7:$D$15,I302)</f>
        <v>6931.8463213424902</v>
      </c>
      <c r="K302" s="1">
        <f>INDEX('02 Emission rates'!$E$7:$E$15,I302)</f>
        <v>4.0758788464844926</v>
      </c>
      <c r="L302" s="1">
        <f>INDEX('02 Emission rates'!$F$7:$F$15,I302)</f>
        <v>62.680628166186985</v>
      </c>
      <c r="M302" s="1">
        <f>INDEX('02 Emission rates'!$G$7:$G$15,I302)</f>
        <v>2.7514068118353263</v>
      </c>
      <c r="N302" s="1">
        <f t="shared" si="67"/>
        <v>8106.7448914645229</v>
      </c>
      <c r="O302" s="1">
        <f t="shared" si="68"/>
        <v>4.7667112750657763</v>
      </c>
      <c r="P302" s="1">
        <f t="shared" si="69"/>
        <v>73.304548113757519</v>
      </c>
      <c r="Q302" s="1">
        <f t="shared" si="70"/>
        <v>3.2177506658668857</v>
      </c>
      <c r="R302" s="1">
        <f t="shared" si="71"/>
        <v>1785.2451545475833</v>
      </c>
      <c r="S302" s="1">
        <f t="shared" si="72"/>
        <v>55.064121610513638</v>
      </c>
      <c r="T302" s="1">
        <f t="shared" si="73"/>
        <v>529646.70788202959</v>
      </c>
      <c r="U302" s="1">
        <f t="shared" si="74"/>
        <v>507.32288131706571</v>
      </c>
      <c r="V302" s="1">
        <f t="shared" si="75"/>
        <v>4314.4310592339843</v>
      </c>
      <c r="W302" s="1">
        <f t="shared" si="76"/>
        <v>185.6055818816989</v>
      </c>
      <c r="X302" s="1"/>
      <c r="Y302" s="1"/>
      <c r="Z302" s="1"/>
      <c r="AA302" s="1"/>
      <c r="AB302" s="1"/>
      <c r="AC302" s="1"/>
      <c r="AD302" s="1"/>
      <c r="AE302" s="1"/>
    </row>
    <row r="303" spans="1:31" ht="22.05" customHeight="1">
      <c r="A303" s="1">
        <f>'01 Traffic inputs'!B253</f>
        <v>0.36484519554332234</v>
      </c>
      <c r="B303" s="1">
        <f>'01 Traffic inputs'!C253</f>
        <v>3.933210972075594E-3</v>
      </c>
      <c r="C303" s="1">
        <f>IF('01 Traffic inputs'!$B$16&lt;=2/3,(4*A303*(1-A303))^$B$16,1-ABS(2*A303-1)^$B$17)</f>
        <v>0.77282827971348389</v>
      </c>
      <c r="D303" s="1">
        <f>IF('01 Traffic inputs'!$B$16&lt;=2/3,4*$B$16*(1-2*A303)*(4*A303*(1-A303))^($B$16-1),-2*$B$17*SIGN(2*A303-1)*ABS(2*A303-1)^($B$17-1))</f>
        <v>3.0617752231925781</v>
      </c>
      <c r="E303" s="1">
        <f t="shared" si="64"/>
        <v>19.580383430475543</v>
      </c>
      <c r="F303" s="1">
        <f t="shared" si="65"/>
        <v>6.052290908433644E-2</v>
      </c>
      <c r="G303" s="1">
        <f t="shared" si="66"/>
        <v>1.185061766199119</v>
      </c>
      <c r="H303" s="1">
        <f>'01 Traffic inputs'!$B$8/F303</f>
        <v>17.183575867954708</v>
      </c>
      <c r="I303" s="1">
        <f>MATCH(H303,'02 Emission rates'!$A$7:$A$15,1)</f>
        <v>1</v>
      </c>
      <c r="J303" s="1">
        <f>INDEX('02 Emission rates'!$D$7:$D$15,I303)</f>
        <v>6931.8463213424902</v>
      </c>
      <c r="K303" s="1">
        <f>INDEX('02 Emission rates'!$E$7:$E$15,I303)</f>
        <v>4.0758788464844926</v>
      </c>
      <c r="L303" s="1">
        <f>INDEX('02 Emission rates'!$F$7:$F$15,I303)</f>
        <v>62.680628166186985</v>
      </c>
      <c r="M303" s="1">
        <f>INDEX('02 Emission rates'!$G$7:$G$15,I303)</f>
        <v>2.7514068118353263</v>
      </c>
      <c r="N303" s="1">
        <f t="shared" si="67"/>
        <v>8214.6660445909965</v>
      </c>
      <c r="O303" s="1">
        <f t="shared" si="68"/>
        <v>4.8301681846285405</v>
      </c>
      <c r="P303" s="1">
        <f t="shared" si="69"/>
        <v>74.280415921091787</v>
      </c>
      <c r="Q303" s="1">
        <f t="shared" si="70"/>
        <v>3.260587015965859</v>
      </c>
      <c r="R303" s="1">
        <f t="shared" si="71"/>
        <v>1804.8255379780589</v>
      </c>
      <c r="S303" s="1">
        <f t="shared" si="72"/>
        <v>56.249183376712757</v>
      </c>
      <c r="T303" s="1">
        <f t="shared" si="73"/>
        <v>537861.37392662058</v>
      </c>
      <c r="U303" s="1">
        <f t="shared" si="74"/>
        <v>512.15304950169423</v>
      </c>
      <c r="V303" s="1">
        <f t="shared" si="75"/>
        <v>4388.7114751550762</v>
      </c>
      <c r="W303" s="1">
        <f t="shared" si="76"/>
        <v>188.86616889766475</v>
      </c>
      <c r="X303" s="1"/>
      <c r="Y303" s="1"/>
      <c r="Z303" s="1"/>
      <c r="AA303" s="1"/>
      <c r="AB303" s="1"/>
      <c r="AC303" s="1"/>
      <c r="AD303" s="1"/>
      <c r="AE303" s="1"/>
    </row>
    <row r="304" spans="1:31" ht="22.05" customHeight="1">
      <c r="A304" s="1">
        <f>'01 Traffic inputs'!B254</f>
        <v>0.36878287409892041</v>
      </c>
      <c r="B304" s="1">
        <f>'01 Traffic inputs'!C254</f>
        <v>3.9421023267703975E-3</v>
      </c>
      <c r="C304" s="1">
        <f>IF('01 Traffic inputs'!$B$16&lt;=2/3,(4*A304*(1-A304))^$B$16,1-ABS(2*A304-1)^$B$17)</f>
        <v>0.78477350765117793</v>
      </c>
      <c r="D304" s="1">
        <f>IF('01 Traffic inputs'!$B$16&lt;=2/3,4*$B$16*(1-2*A304)*(4*A304*(1-A304))^($B$16-1),-2*$B$17*SIGN(2*A304-1)*ABS(2*A304-1)^($B$17-1))</f>
        <v>3.0049162061215409</v>
      </c>
      <c r="E304" s="1">
        <f t="shared" si="64"/>
        <v>19.610812680857741</v>
      </c>
      <c r="F304" s="1">
        <f t="shared" si="65"/>
        <v>6.1207845464344886E-2</v>
      </c>
      <c r="G304" s="1">
        <f t="shared" si="66"/>
        <v>1.2003355920001557</v>
      </c>
      <c r="H304" s="1">
        <f>'01 Traffic inputs'!$B$8/F304</f>
        <v>16.991285873734057</v>
      </c>
      <c r="I304" s="1">
        <f>MATCH(H304,'02 Emission rates'!$A$7:$A$15,1)</f>
        <v>1</v>
      </c>
      <c r="J304" s="1">
        <f>INDEX('02 Emission rates'!$D$7:$D$15,I304)</f>
        <v>6931.8463213424902</v>
      </c>
      <c r="K304" s="1">
        <f>INDEX('02 Emission rates'!$E$7:$E$15,I304)</f>
        <v>4.0758788464844926</v>
      </c>
      <c r="L304" s="1">
        <f>INDEX('02 Emission rates'!$F$7:$F$15,I304)</f>
        <v>62.680628166186985</v>
      </c>
      <c r="M304" s="1">
        <f>INDEX('02 Emission rates'!$G$7:$G$15,I304)</f>
        <v>2.7514068118353263</v>
      </c>
      <c r="N304" s="1">
        <f t="shared" si="67"/>
        <v>8320.5418577827404</v>
      </c>
      <c r="O304" s="1">
        <f t="shared" si="68"/>
        <v>4.8924224481158749</v>
      </c>
      <c r="P304" s="1">
        <f t="shared" si="69"/>
        <v>75.237788916801691</v>
      </c>
      <c r="Q304" s="1">
        <f t="shared" si="70"/>
        <v>3.3026115243176175</v>
      </c>
      <c r="R304" s="1">
        <f t="shared" si="71"/>
        <v>1824.4363506589166</v>
      </c>
      <c r="S304" s="1">
        <f t="shared" si="72"/>
        <v>57.449518968712916</v>
      </c>
      <c r="T304" s="1">
        <f t="shared" si="73"/>
        <v>546181.91578440333</v>
      </c>
      <c r="U304" s="1">
        <f t="shared" si="74"/>
        <v>517.04547194981012</v>
      </c>
      <c r="V304" s="1">
        <f t="shared" si="75"/>
        <v>4463.9492640718781</v>
      </c>
      <c r="W304" s="1">
        <f t="shared" si="76"/>
        <v>192.16878042198238</v>
      </c>
      <c r="X304" s="1"/>
      <c r="Y304" s="1"/>
      <c r="Z304" s="1"/>
      <c r="AA304" s="1"/>
      <c r="AB304" s="1"/>
      <c r="AC304" s="1"/>
      <c r="AD304" s="1"/>
      <c r="AE304" s="1"/>
    </row>
    <row r="305" spans="1:31" ht="22.05" customHeight="1">
      <c r="A305" s="1">
        <f>'01 Traffic inputs'!B255</f>
        <v>0.37272931247411134</v>
      </c>
      <c r="B305" s="1">
        <f>'01 Traffic inputs'!C255</f>
        <v>3.9507305137958405E-3</v>
      </c>
      <c r="C305" s="1">
        <f>IF('01 Traffic inputs'!$B$16&lt;=2/3,(4*A305*(1-A305))^$B$16,1-ABS(2*A305-1)^$B$17)</f>
        <v>0.79651535119882722</v>
      </c>
      <c r="D305" s="1">
        <f>IF('01 Traffic inputs'!$B$16&lt;=2/3,4*$B$16*(1-2*A305)*(4*A305*(1-A305))^($B$16-1),-2*$B$17*SIGN(2*A305-1)*ABS(2*A305-1)^($B$17-1))</f>
        <v>2.9452422935411566</v>
      </c>
      <c r="E305" s="1">
        <f t="shared" si="64"/>
        <v>19.639184902143572</v>
      </c>
      <c r="F305" s="1">
        <f t="shared" si="65"/>
        <v>6.1881119834336099E-2</v>
      </c>
      <c r="G305" s="1">
        <f t="shared" si="66"/>
        <v>1.2152947543782306</v>
      </c>
      <c r="H305" s="1">
        <f>'01 Traffic inputs'!$B$8/F305</f>
        <v>16.806418545498811</v>
      </c>
      <c r="I305" s="1">
        <f>MATCH(H305,'02 Emission rates'!$A$7:$A$15,1)</f>
        <v>1</v>
      </c>
      <c r="J305" s="1">
        <f>INDEX('02 Emission rates'!$D$7:$D$15,I305)</f>
        <v>6931.8463213424902</v>
      </c>
      <c r="K305" s="1">
        <f>INDEX('02 Emission rates'!$E$7:$E$15,I305)</f>
        <v>4.0758788464844926</v>
      </c>
      <c r="L305" s="1">
        <f>INDEX('02 Emission rates'!$F$7:$F$15,I305)</f>
        <v>62.680628166186985</v>
      </c>
      <c r="M305" s="1">
        <f>INDEX('02 Emission rates'!$G$7:$G$15,I305)</f>
        <v>2.7514068118353263</v>
      </c>
      <c r="N305" s="1">
        <f t="shared" si="67"/>
        <v>8424.2364724835625</v>
      </c>
      <c r="O305" s="1">
        <f t="shared" si="68"/>
        <v>4.9533941816137972</v>
      </c>
      <c r="P305" s="1">
        <f t="shared" si="69"/>
        <v>76.175438611499416</v>
      </c>
      <c r="Q305" s="1">
        <f t="shared" si="70"/>
        <v>3.3437702655840034</v>
      </c>
      <c r="R305" s="1">
        <f t="shared" si="71"/>
        <v>1844.0755355610602</v>
      </c>
      <c r="S305" s="1">
        <f t="shared" si="72"/>
        <v>58.664813723091143</v>
      </c>
      <c r="T305" s="1">
        <f t="shared" si="73"/>
        <v>554606.15225688694</v>
      </c>
      <c r="U305" s="1">
        <f t="shared" si="74"/>
        <v>521.99886613142394</v>
      </c>
      <c r="V305" s="1">
        <f t="shared" si="75"/>
        <v>4540.1247026833771</v>
      </c>
      <c r="W305" s="1">
        <f t="shared" si="76"/>
        <v>195.51255068756637</v>
      </c>
      <c r="X305" s="1"/>
      <c r="Y305" s="1"/>
      <c r="Z305" s="1"/>
      <c r="AA305" s="1"/>
      <c r="AB305" s="1"/>
      <c r="AC305" s="1"/>
      <c r="AD305" s="1"/>
      <c r="AE305" s="1"/>
    </row>
    <row r="306" spans="1:31" ht="22.05" customHeight="1">
      <c r="A306" s="1">
        <f>'01 Traffic inputs'!B256</f>
        <v>0.37668424721175914</v>
      </c>
      <c r="B306" s="1">
        <f>'01 Traffic inputs'!C256</f>
        <v>3.959094957149723E-3</v>
      </c>
      <c r="C306" s="1">
        <f>IF('01 Traffic inputs'!$B$16&lt;=2/3,(4*A306*(1-A306))^$B$16,1-ABS(2*A306-1)^$B$17)</f>
        <v>0.80804096453806851</v>
      </c>
      <c r="D306" s="1">
        <f>IF('01 Traffic inputs'!$B$16&lt;=2/3,4*$B$16*(1-2*A306)*(4*A306*(1-A306))^($B$16-1),-2*$B$17*SIGN(2*A306-1)*ABS(2*A306-1)^($B$17-1))</f>
        <v>2.8827926414123883</v>
      </c>
      <c r="E306" s="1">
        <f t="shared" si="64"/>
        <v>19.665505211753043</v>
      </c>
      <c r="F306" s="1">
        <f t="shared" si="65"/>
        <v>6.2541995618300497E-2</v>
      </c>
      <c r="G306" s="1">
        <f t="shared" si="66"/>
        <v>1.2299199407851245</v>
      </c>
      <c r="H306" s="1">
        <f>'01 Traffic inputs'!$B$8/F306</f>
        <v>16.628826594329279</v>
      </c>
      <c r="I306" s="1">
        <f>MATCH(H306,'02 Emission rates'!$A$7:$A$15,1)</f>
        <v>1</v>
      </c>
      <c r="J306" s="1">
        <f>INDEX('02 Emission rates'!$D$7:$D$15,I306)</f>
        <v>6931.8463213424902</v>
      </c>
      <c r="K306" s="1">
        <f>INDEX('02 Emission rates'!$E$7:$E$15,I306)</f>
        <v>4.0758788464844926</v>
      </c>
      <c r="L306" s="1">
        <f>INDEX('02 Emission rates'!$F$7:$F$15,I306)</f>
        <v>62.680628166186985</v>
      </c>
      <c r="M306" s="1">
        <f>INDEX('02 Emission rates'!$G$7:$G$15,I306)</f>
        <v>2.7514068118353263</v>
      </c>
      <c r="N306" s="1">
        <f t="shared" si="67"/>
        <v>8525.6160170771382</v>
      </c>
      <c r="O306" s="1">
        <f t="shared" si="68"/>
        <v>5.0130046695155484</v>
      </c>
      <c r="P306" s="1">
        <f t="shared" si="69"/>
        <v>77.0921544825311</v>
      </c>
      <c r="Q306" s="1">
        <f t="shared" si="70"/>
        <v>3.3840101030882925</v>
      </c>
      <c r="R306" s="1">
        <f t="shared" si="71"/>
        <v>1863.7410407728132</v>
      </c>
      <c r="S306" s="1">
        <f t="shared" si="72"/>
        <v>59.894733663876266</v>
      </c>
      <c r="T306" s="1">
        <f t="shared" si="73"/>
        <v>563131.76827396406</v>
      </c>
      <c r="U306" s="1">
        <f t="shared" si="74"/>
        <v>527.0118708009395</v>
      </c>
      <c r="V306" s="1">
        <f t="shared" si="75"/>
        <v>4617.2168571659086</v>
      </c>
      <c r="W306" s="1">
        <f t="shared" si="76"/>
        <v>198.89656079065466</v>
      </c>
      <c r="X306" s="1"/>
      <c r="Y306" s="1"/>
      <c r="Z306" s="1"/>
      <c r="AA306" s="1"/>
      <c r="AB306" s="1"/>
      <c r="AC306" s="1"/>
      <c r="AD306" s="1"/>
      <c r="AE306" s="1"/>
    </row>
    <row r="307" spans="1:31" ht="22.05" customHeight="1">
      <c r="A307" s="1">
        <f>'01 Traffic inputs'!B257</f>
        <v>0.38064741428752569</v>
      </c>
      <c r="B307" s="1">
        <f>'01 Traffic inputs'!C257</f>
        <v>3.9671950984367793E-3</v>
      </c>
      <c r="C307" s="1">
        <f>IF('01 Traffic inputs'!$B$16&lt;=2/3,(4*A307*(1-A307))^$B$16,1-ABS(2*A307-1)^$B$17)</f>
        <v>0.81933764018968014</v>
      </c>
      <c r="D307" s="1">
        <f>IF('01 Traffic inputs'!$B$16&lt;=2/3,4*$B$16*(1-2*A307)*(4*A307*(1-A307))^($B$16-1),-2*$B$17*SIGN(2*A307-1)*ABS(2*A307-1)^($B$17-1))</f>
        <v>2.8176103191572675</v>
      </c>
      <c r="E307" s="1">
        <f t="shared" si="64"/>
        <v>19.689780134611485</v>
      </c>
      <c r="F307" s="1">
        <f t="shared" si="65"/>
        <v>6.3189744172560236E-2</v>
      </c>
      <c r="G307" s="1">
        <f t="shared" si="66"/>
        <v>1.2441921695200584</v>
      </c>
      <c r="H307" s="1">
        <f>'01 Traffic inputs'!$B$8/F307</f>
        <v>16.458366996390438</v>
      </c>
      <c r="I307" s="1">
        <f>MATCH(H307,'02 Emission rates'!$A$7:$A$15,1)</f>
        <v>1</v>
      </c>
      <c r="J307" s="1">
        <f>INDEX('02 Emission rates'!$D$7:$D$15,I307)</f>
        <v>6931.8463213424902</v>
      </c>
      <c r="K307" s="1">
        <f>INDEX('02 Emission rates'!$E$7:$E$15,I307)</f>
        <v>4.0758788464844926</v>
      </c>
      <c r="L307" s="1">
        <f>INDEX('02 Emission rates'!$F$7:$F$15,I307)</f>
        <v>62.680628166186985</v>
      </c>
      <c r="M307" s="1">
        <f>INDEX('02 Emission rates'!$G$7:$G$15,I307)</f>
        <v>2.7514068118353263</v>
      </c>
      <c r="N307" s="1">
        <f t="shared" si="67"/>
        <v>8624.5489133307492</v>
      </c>
      <c r="O307" s="1">
        <f t="shared" si="68"/>
        <v>5.0711765447084538</v>
      </c>
      <c r="P307" s="1">
        <f t="shared" si="69"/>
        <v>77.986746744968258</v>
      </c>
      <c r="Q307" s="1">
        <f t="shared" si="70"/>
        <v>3.4232788104496619</v>
      </c>
      <c r="R307" s="1">
        <f t="shared" si="71"/>
        <v>1883.4308209074247</v>
      </c>
      <c r="S307" s="1">
        <f t="shared" si="72"/>
        <v>61.138925833396328</v>
      </c>
      <c r="T307" s="1">
        <f t="shared" si="73"/>
        <v>571756.31718729483</v>
      </c>
      <c r="U307" s="1">
        <f t="shared" si="74"/>
        <v>532.08304734564797</v>
      </c>
      <c r="V307" s="1">
        <f t="shared" si="75"/>
        <v>4695.2036039108771</v>
      </c>
      <c r="W307" s="1">
        <f t="shared" si="76"/>
        <v>202.31983960110432</v>
      </c>
      <c r="X307" s="1"/>
      <c r="Y307" s="1"/>
      <c r="Z307" s="1"/>
      <c r="AA307" s="1"/>
      <c r="AB307" s="1"/>
      <c r="AC307" s="1"/>
      <c r="AD307" s="1"/>
      <c r="AE307" s="1"/>
    </row>
    <row r="308" spans="1:31" ht="22.05" customHeight="1">
      <c r="A308" s="1">
        <f>'01 Traffic inputs'!B258</f>
        <v>0.38461854912749693</v>
      </c>
      <c r="B308" s="1">
        <f>'01 Traffic inputs'!C258</f>
        <v>3.9750303969061755E-3</v>
      </c>
      <c r="C308" s="1">
        <f>IF('01 Traffic inputs'!$B$16&lt;=2/3,(4*A308*(1-A308))^$B$16,1-ABS(2*A308-1)^$B$17)</f>
        <v>0.83039283039941703</v>
      </c>
      <c r="D308" s="1">
        <f>IF('01 Traffic inputs'!$B$16&lt;=2/3,4*$B$16*(1-2*A308)*(4*A308*(1-A308))^($B$16-1),-2*$B$17*SIGN(2*A308-1)*ABS(2*A308-1)^($B$17-1))</f>
        <v>2.7497422659360926</v>
      </c>
      <c r="E308" s="1">
        <f t="shared" si="64"/>
        <v>19.712017596301532</v>
      </c>
      <c r="F308" s="1">
        <f t="shared" si="65"/>
        <v>6.3823646012027668E-2</v>
      </c>
      <c r="G308" s="1">
        <f t="shared" si="66"/>
        <v>1.2580928332492094</v>
      </c>
      <c r="H308" s="1">
        <f>'01 Traffic inputs'!$B$8/F308</f>
        <v>16.294901106151642</v>
      </c>
      <c r="I308" s="1">
        <f>MATCH(H308,'02 Emission rates'!$A$7:$A$15,1)</f>
        <v>1</v>
      </c>
      <c r="J308" s="1">
        <f>INDEX('02 Emission rates'!$D$7:$D$15,I308)</f>
        <v>6931.8463213424902</v>
      </c>
      <c r="K308" s="1">
        <f>INDEX('02 Emission rates'!$E$7:$E$15,I308)</f>
        <v>4.0758788464844926</v>
      </c>
      <c r="L308" s="1">
        <f>INDEX('02 Emission rates'!$F$7:$F$15,I308)</f>
        <v>62.680628166186985</v>
      </c>
      <c r="M308" s="1">
        <f>INDEX('02 Emission rates'!$G$7:$G$15,I308)</f>
        <v>2.7514068118353263</v>
      </c>
      <c r="N308" s="1">
        <f t="shared" si="67"/>
        <v>8720.9061780658831</v>
      </c>
      <c r="O308" s="1">
        <f t="shared" si="68"/>
        <v>5.1278339659541947</v>
      </c>
      <c r="P308" s="1">
        <f t="shared" si="69"/>
        <v>78.858049079438373</v>
      </c>
      <c r="Q308" s="1">
        <f t="shared" si="70"/>
        <v>3.46152519132308</v>
      </c>
      <c r="R308" s="1">
        <f t="shared" si="71"/>
        <v>1903.1428385037264</v>
      </c>
      <c r="S308" s="1">
        <f t="shared" si="72"/>
        <v>62.397018666645536</v>
      </c>
      <c r="T308" s="1">
        <f t="shared" si="73"/>
        <v>580477.22336536075</v>
      </c>
      <c r="U308" s="1">
        <f t="shared" si="74"/>
        <v>537.21088131160218</v>
      </c>
      <c r="V308" s="1">
        <f t="shared" si="75"/>
        <v>4774.0616529903155</v>
      </c>
      <c r="W308" s="1">
        <f t="shared" si="76"/>
        <v>205.78136479242741</v>
      </c>
      <c r="X308" s="1"/>
      <c r="Y308" s="1"/>
      <c r="Z308" s="1"/>
      <c r="AA308" s="1"/>
      <c r="AB308" s="1"/>
      <c r="AC308" s="1"/>
      <c r="AD308" s="1"/>
      <c r="AE308" s="1"/>
    </row>
    <row r="309" spans="1:31" ht="22.05" customHeight="1">
      <c r="A309" s="1">
        <f>'01 Traffic inputs'!B259</f>
        <v>0.38859738662584503</v>
      </c>
      <c r="B309" s="1">
        <f>'01 Traffic inputs'!C259</f>
        <v>3.9826003294874141E-3</v>
      </c>
      <c r="C309" s="1">
        <f>IF('01 Traffic inputs'!$B$16&lt;=2/3,(4*A309*(1-A309))^$B$16,1-ABS(2*A309-1)^$B$17)</f>
        <v>0.84119416838704908</v>
      </c>
      <c r="D309" s="1">
        <f>IF('01 Traffic inputs'!$B$16&lt;=2/3,4*$B$16*(1-2*A309)*(4*A309*(1-A309))^($B$16-1),-2*$B$17*SIGN(2*A309-1)*ABS(2*A309-1)^($B$17-1))</f>
        <v>2.6792392401188678</v>
      </c>
      <c r="E309" s="1">
        <f t="shared" si="64"/>
        <v>19.73222691337822</v>
      </c>
      <c r="F309" s="1">
        <f t="shared" si="65"/>
        <v>6.4442992028619833E-2</v>
      </c>
      <c r="G309" s="1">
        <f t="shared" si="66"/>
        <v>1.2716037416857504</v>
      </c>
      <c r="H309" s="1">
        <f>'01 Traffic inputs'!$B$8/F309</f>
        <v>16.138294751090161</v>
      </c>
      <c r="I309" s="1">
        <f>MATCH(H309,'02 Emission rates'!$A$7:$A$15,1)</f>
        <v>1</v>
      </c>
      <c r="J309" s="1">
        <f>INDEX('02 Emission rates'!$D$7:$D$15,I309)</f>
        <v>6931.8463213424902</v>
      </c>
      <c r="K309" s="1">
        <f>INDEX('02 Emission rates'!$E$7:$E$15,I309)</f>
        <v>4.0758788464844926</v>
      </c>
      <c r="L309" s="1">
        <f>INDEX('02 Emission rates'!$F$7:$F$15,I309)</f>
        <v>62.680628166186985</v>
      </c>
      <c r="M309" s="1">
        <f>INDEX('02 Emission rates'!$G$7:$G$15,I309)</f>
        <v>2.7514068118353263</v>
      </c>
      <c r="N309" s="1">
        <f t="shared" si="67"/>
        <v>8814.5617190097146</v>
      </c>
      <c r="O309" s="1">
        <f t="shared" si="68"/>
        <v>5.1829027918474813</v>
      </c>
      <c r="P309" s="1">
        <f t="shared" si="69"/>
        <v>79.704921307336605</v>
      </c>
      <c r="Q309" s="1">
        <f t="shared" si="70"/>
        <v>3.4986991968294623</v>
      </c>
      <c r="R309" s="1">
        <f t="shared" si="71"/>
        <v>1922.8750654171047</v>
      </c>
      <c r="S309" s="1">
        <f t="shared" si="72"/>
        <v>63.668622408331288</v>
      </c>
      <c r="T309" s="1">
        <f t="shared" si="73"/>
        <v>589291.78508437052</v>
      </c>
      <c r="U309" s="1">
        <f t="shared" si="74"/>
        <v>542.39378410344966</v>
      </c>
      <c r="V309" s="1">
        <f t="shared" si="75"/>
        <v>4853.7665742976524</v>
      </c>
      <c r="W309" s="1">
        <f t="shared" si="76"/>
        <v>209.28006398925686</v>
      </c>
      <c r="X309" s="1"/>
      <c r="Y309" s="1"/>
      <c r="Z309" s="1"/>
      <c r="AA309" s="1"/>
      <c r="AB309" s="1"/>
      <c r="AC309" s="1"/>
      <c r="AD309" s="1"/>
      <c r="AE309" s="1"/>
    </row>
    <row r="310" spans="1:31" ht="22.05" customHeight="1">
      <c r="A310" s="1">
        <f>'01 Traffic inputs'!B260</f>
        <v>0.39258366116252669</v>
      </c>
      <c r="B310" s="1">
        <f>'01 Traffic inputs'!C260</f>
        <v>3.9899043908254335E-3</v>
      </c>
      <c r="C310" s="1">
        <f>IF('01 Traffic inputs'!$B$16&lt;=2/3,(4*A310*(1-A310))^$B$16,1-ABS(2*A310-1)^$B$17)</f>
        <v>0.85172948941282567</v>
      </c>
      <c r="D310" s="1">
        <f>IF('01 Traffic inputs'!$B$16&lt;=2/3,4*$B$16*(1-2*A310)*(4*A310*(1-A310))^($B$16-1),-2*$B$17*SIGN(2*A310-1)*ABS(2*A310-1)^($B$17-1))</f>
        <v>2.6061557620209128</v>
      </c>
      <c r="E310" s="1">
        <f t="shared" si="64"/>
        <v>19.750418780859032</v>
      </c>
      <c r="F310" s="1">
        <f t="shared" si="65"/>
        <v>6.5047084699204352E-2</v>
      </c>
      <c r="G310" s="1">
        <f t="shared" si="66"/>
        <v>1.2847071632832938</v>
      </c>
      <c r="H310" s="1">
        <f>'01 Traffic inputs'!$B$8/F310</f>
        <v>15.988418309740815</v>
      </c>
      <c r="I310" s="1">
        <f>MATCH(H310,'02 Emission rates'!$A$7:$A$15,1)</f>
        <v>1</v>
      </c>
      <c r="J310" s="1">
        <f>INDEX('02 Emission rates'!$D$7:$D$15,I310)</f>
        <v>6931.8463213424902</v>
      </c>
      <c r="K310" s="1">
        <f>INDEX('02 Emission rates'!$E$7:$E$15,I310)</f>
        <v>4.0758788464844926</v>
      </c>
      <c r="L310" s="1">
        <f>INDEX('02 Emission rates'!$F$7:$F$15,I310)</f>
        <v>62.680628166186985</v>
      </c>
      <c r="M310" s="1">
        <f>INDEX('02 Emission rates'!$G$7:$G$15,I310)</f>
        <v>2.7514068118353263</v>
      </c>
      <c r="N310" s="1">
        <f t="shared" si="67"/>
        <v>8905.3926238076456</v>
      </c>
      <c r="O310" s="1">
        <f t="shared" si="68"/>
        <v>5.2363107507534767</v>
      </c>
      <c r="P310" s="1">
        <f t="shared" si="69"/>
        <v>80.526252004197005</v>
      </c>
      <c r="Q310" s="1">
        <f t="shared" si="70"/>
        <v>3.5347520402712935</v>
      </c>
      <c r="R310" s="1">
        <f t="shared" si="71"/>
        <v>1942.6254841979637</v>
      </c>
      <c r="S310" s="1">
        <f t="shared" si="72"/>
        <v>64.953329571614589</v>
      </c>
      <c r="T310" s="1">
        <f t="shared" si="73"/>
        <v>598197.17770817818</v>
      </c>
      <c r="U310" s="1">
        <f t="shared" si="74"/>
        <v>547.63009485420309</v>
      </c>
      <c r="V310" s="1">
        <f t="shared" si="75"/>
        <v>4934.2928263018493</v>
      </c>
      <c r="W310" s="1">
        <f t="shared" si="76"/>
        <v>212.81481602952815</v>
      </c>
      <c r="X310" s="1"/>
      <c r="Y310" s="1"/>
      <c r="Z310" s="1"/>
      <c r="AA310" s="1"/>
      <c r="AB310" s="1"/>
      <c r="AC310" s="1"/>
      <c r="AD310" s="1"/>
      <c r="AE310" s="1"/>
    </row>
    <row r="311" spans="1:31" ht="22.05" customHeight="1">
      <c r="A311" s="1">
        <f>'01 Traffic inputs'!B261</f>
        <v>0.39657710662101514</v>
      </c>
      <c r="B311" s="1">
        <f>'01 Traffic inputs'!C261</f>
        <v>3.9969420933141948E-3</v>
      </c>
      <c r="C311" s="1">
        <f>IF('01 Traffic inputs'!$B$16&lt;=2/3,(4*A311*(1-A311))^$B$16,1-ABS(2*A311-1)^$B$17)</f>
        <v>0.86198685161576105</v>
      </c>
      <c r="D311" s="1">
        <f>IF('01 Traffic inputs'!$B$16&lt;=2/3,4*$B$16*(1-2*A311)*(4*A311*(1-A311))^($B$16-1),-2*$B$17*SIGN(2*A311-1)*ABS(2*A311-1)^($B$17-1))</f>
        <v>2.5305500499860498</v>
      </c>
      <c r="E311" s="1">
        <f t="shared" si="64"/>
        <v>19.766605256900423</v>
      </c>
      <c r="F311" s="1">
        <f t="shared" si="65"/>
        <v>6.563523928046136E-2</v>
      </c>
      <c r="G311" s="1">
        <f t="shared" si="66"/>
        <v>1.2973858657990847</v>
      </c>
      <c r="H311" s="1">
        <f>'01 Traffic inputs'!$B$8/F311</f>
        <v>15.845146774830347</v>
      </c>
      <c r="I311" s="1">
        <f>MATCH(H311,'02 Emission rates'!$A$7:$A$15,1)</f>
        <v>1</v>
      </c>
      <c r="J311" s="1">
        <f>INDEX('02 Emission rates'!$D$7:$D$15,I311)</f>
        <v>6931.8463213424902</v>
      </c>
      <c r="K311" s="1">
        <f>INDEX('02 Emission rates'!$E$7:$E$15,I311)</f>
        <v>4.0758788464844926</v>
      </c>
      <c r="L311" s="1">
        <f>INDEX('02 Emission rates'!$F$7:$F$15,I311)</f>
        <v>62.680628166186985</v>
      </c>
      <c r="M311" s="1">
        <f>INDEX('02 Emission rates'!$G$7:$G$15,I311)</f>
        <v>2.7514068118353263</v>
      </c>
      <c r="N311" s="1">
        <f t="shared" si="67"/>
        <v>8993.2794412011262</v>
      </c>
      <c r="O311" s="1">
        <f t="shared" si="68"/>
        <v>5.2879876061384579</v>
      </c>
      <c r="P311" s="1">
        <f t="shared" si="69"/>
        <v>81.320961042218997</v>
      </c>
      <c r="Q311" s="1">
        <f t="shared" si="70"/>
        <v>3.5696363087384739</v>
      </c>
      <c r="R311" s="1">
        <f t="shared" si="71"/>
        <v>1962.3920894548642</v>
      </c>
      <c r="S311" s="1">
        <f t="shared" si="72"/>
        <v>66.250715437413675</v>
      </c>
      <c r="T311" s="1">
        <f t="shared" si="73"/>
        <v>607190.4571493793</v>
      </c>
      <c r="U311" s="1">
        <f t="shared" si="74"/>
        <v>552.91808246034157</v>
      </c>
      <c r="V311" s="1">
        <f t="shared" si="75"/>
        <v>5015.6137873440684</v>
      </c>
      <c r="W311" s="1">
        <f t="shared" si="76"/>
        <v>216.38445233826661</v>
      </c>
      <c r="X311" s="1"/>
      <c r="Y311" s="1"/>
      <c r="Z311" s="1"/>
      <c r="AA311" s="1"/>
      <c r="AB311" s="1"/>
      <c r="AC311" s="1"/>
      <c r="AD311" s="1"/>
      <c r="AE311" s="1"/>
    </row>
    <row r="312" spans="1:31" ht="22.05" customHeight="1">
      <c r="A312" s="1">
        <f>'01 Traffic inputs'!B262</f>
        <v>0.40057745640606585</v>
      </c>
      <c r="B312" s="1">
        <f>'01 Traffic inputs'!C262</f>
        <v>4.0037129671293423E-3</v>
      </c>
      <c r="C312" s="1">
        <f>IF('01 Traffic inputs'!$B$16&lt;=2/3,(4*A312*(1-A312))^$B$16,1-ABS(2*A312-1)^$B$17)</f>
        <v>0.87195455657844667</v>
      </c>
      <c r="D312" s="1">
        <f>IF('01 Traffic inputs'!$B$16&lt;=2/3,4*$B$16*(1-2*A312)*(4*A312*(1-A312))^($B$16-1),-2*$B$17*SIGN(2*A312-1)*ABS(2*A312-1)^($B$17-1))</f>
        <v>2.4524839499139555</v>
      </c>
      <c r="E312" s="1">
        <f t="shared" si="64"/>
        <v>19.78079974468578</v>
      </c>
      <c r="F312" s="1">
        <f t="shared" si="65"/>
        <v>6.6206784988064829E-2</v>
      </c>
      <c r="G312" s="1">
        <f t="shared" si="66"/>
        <v>1.3096231555883791</v>
      </c>
      <c r="H312" s="1">
        <f>'01 Traffic inputs'!$B$8/F312</f>
        <v>15.708359803115382</v>
      </c>
      <c r="I312" s="1">
        <f>MATCH(H312,'02 Emission rates'!$A$7:$A$15,1)</f>
        <v>1</v>
      </c>
      <c r="J312" s="1">
        <f>INDEX('02 Emission rates'!$D$7:$D$15,I312)</f>
        <v>6931.8463213424902</v>
      </c>
      <c r="K312" s="1">
        <f>INDEX('02 Emission rates'!$E$7:$E$15,I312)</f>
        <v>4.0758788464844926</v>
      </c>
      <c r="L312" s="1">
        <f>INDEX('02 Emission rates'!$F$7:$F$15,I312)</f>
        <v>62.680628166186985</v>
      </c>
      <c r="M312" s="1">
        <f>INDEX('02 Emission rates'!$G$7:$G$15,I312)</f>
        <v>2.7514068118353263</v>
      </c>
      <c r="N312" s="1">
        <f t="shared" si="67"/>
        <v>9078.1064534102497</v>
      </c>
      <c r="O312" s="1">
        <f t="shared" si="68"/>
        <v>5.3378653167289434</v>
      </c>
      <c r="P312" s="1">
        <f t="shared" si="69"/>
        <v>82.088002053263637</v>
      </c>
      <c r="Q312" s="1">
        <f t="shared" si="70"/>
        <v>3.6033060712231415</v>
      </c>
      <c r="R312" s="1">
        <f t="shared" si="71"/>
        <v>1982.1728891995499</v>
      </c>
      <c r="S312" s="1">
        <f t="shared" si="72"/>
        <v>67.560338593002058</v>
      </c>
      <c r="T312" s="1">
        <f t="shared" si="73"/>
        <v>616268.56360278954</v>
      </c>
      <c r="U312" s="1">
        <f t="shared" si="74"/>
        <v>558.25594777707056</v>
      </c>
      <c r="V312" s="1">
        <f t="shared" si="75"/>
        <v>5097.7017893973325</v>
      </c>
      <c r="W312" s="1">
        <f t="shared" si="76"/>
        <v>219.98775840948974</v>
      </c>
      <c r="X312" s="1"/>
      <c r="Y312" s="1"/>
      <c r="Z312" s="1"/>
      <c r="AA312" s="1"/>
      <c r="AB312" s="1"/>
      <c r="AC312" s="1"/>
      <c r="AD312" s="1"/>
      <c r="AE312" s="1"/>
    </row>
    <row r="313" spans="1:31" ht="22.05" customHeight="1">
      <c r="A313" s="1">
        <f>'01 Traffic inputs'!B263</f>
        <v>0.40458444346151379</v>
      </c>
      <c r="B313" s="1">
        <f>'01 Traffic inputs'!C263</f>
        <v>4.0102165602594886E-3</v>
      </c>
      <c r="C313" s="1">
        <f>IF('01 Traffic inputs'!$B$16&lt;=2/3,(4*A313*(1-A313))^$B$16,1-ABS(2*A313-1)^$B$17)</f>
        <v>0.88162116957350078</v>
      </c>
      <c r="D313" s="1">
        <f>IF('01 Traffic inputs'!$B$16&lt;=2/3,4*$B$16*(1-2*A313)*(4*A313*(1-A313))^($B$16-1),-2*$B$17*SIGN(2*A313-1)*ABS(2*A313-1)^($B$17-1))</f>
        <v>2.372022858341388</v>
      </c>
      <c r="E313" s="1">
        <f t="shared" si="64"/>
        <v>19.79301697155169</v>
      </c>
      <c r="F313" s="1">
        <f t="shared" si="65"/>
        <v>6.676106615760885E-2</v>
      </c>
      <c r="G313" s="1">
        <f t="shared" si="66"/>
        <v>1.3214029154964371</v>
      </c>
      <c r="H313" s="1">
        <f>'01 Traffic inputs'!$B$8/F313</f>
        <v>15.577941753428547</v>
      </c>
      <c r="I313" s="1">
        <f>MATCH(H313,'02 Emission rates'!$A$7:$A$15,1)</f>
        <v>1</v>
      </c>
      <c r="J313" s="1">
        <f>INDEX('02 Emission rates'!$D$7:$D$15,I313)</f>
        <v>6931.8463213424902</v>
      </c>
      <c r="K313" s="1">
        <f>INDEX('02 Emission rates'!$E$7:$E$15,I313)</f>
        <v>4.0758788464844926</v>
      </c>
      <c r="L313" s="1">
        <f>INDEX('02 Emission rates'!$F$7:$F$15,I313)</f>
        <v>62.680628166186985</v>
      </c>
      <c r="M313" s="1">
        <f>INDEX('02 Emission rates'!$G$7:$G$15,I313)</f>
        <v>2.7514068118353263</v>
      </c>
      <c r="N313" s="1">
        <f t="shared" si="67"/>
        <v>9159.7619387952182</v>
      </c>
      <c r="O313" s="1">
        <f t="shared" si="68"/>
        <v>5.3858781909548634</v>
      </c>
      <c r="P313" s="1">
        <f t="shared" si="69"/>
        <v>82.82636480394757</v>
      </c>
      <c r="Q313" s="1">
        <f t="shared" si="70"/>
        <v>3.635716982875957</v>
      </c>
      <c r="R313" s="1">
        <f t="shared" si="71"/>
        <v>2001.9659061711016</v>
      </c>
      <c r="S313" s="1">
        <f t="shared" si="72"/>
        <v>68.881741508498493</v>
      </c>
      <c r="T313" s="1">
        <f t="shared" si="73"/>
        <v>625428.32554158475</v>
      </c>
      <c r="U313" s="1">
        <f t="shared" si="74"/>
        <v>563.64182596802539</v>
      </c>
      <c r="V313" s="1">
        <f t="shared" si="75"/>
        <v>5180.5281542012799</v>
      </c>
      <c r="W313" s="1">
        <f t="shared" si="76"/>
        <v>223.62347539236569</v>
      </c>
      <c r="X313" s="1"/>
      <c r="Y313" s="1"/>
      <c r="Z313" s="1"/>
      <c r="AA313" s="1"/>
      <c r="AB313" s="1"/>
      <c r="AC313" s="1"/>
      <c r="AD313" s="1"/>
      <c r="AE313" s="1"/>
    </row>
    <row r="314" spans="1:31" ht="22.05" customHeight="1">
      <c r="A314" s="1">
        <f>'01 Traffic inputs'!B264</f>
        <v>0.40859780028810172</v>
      </c>
      <c r="B314" s="1">
        <f>'01 Traffic inputs'!C264</f>
        <v>4.0164524385364513E-3</v>
      </c>
      <c r="C314" s="1">
        <f>IF('01 Traffic inputs'!$B$16&lt;=2/3,(4*A314*(1-A314))^$B$16,1-ABS(2*A314-1)^$B$17)</f>
        <v>0.89097553944730501</v>
      </c>
      <c r="D314" s="1">
        <f>IF('01 Traffic inputs'!$B$16&lt;=2/3,4*$B$16*(1-2*A314)*(4*A314*(1-A314))^($B$16-1),-2*$B$17*SIGN(2*A314-1)*ABS(2*A314-1)^($B$17-1))</f>
        <v>2.2892356391998807</v>
      </c>
      <c r="E314" s="1">
        <f t="shared" si="64"/>
        <v>19.803272965390182</v>
      </c>
      <c r="F314" s="1">
        <f t="shared" si="65"/>
        <v>6.7297443384736116E-2</v>
      </c>
      <c r="G314" s="1">
        <f t="shared" si="66"/>
        <v>1.332709641220821</v>
      </c>
      <c r="H314" s="1">
        <f>'01 Traffic inputs'!$B$8/F314</f>
        <v>15.45378171432743</v>
      </c>
      <c r="I314" s="1">
        <f>MATCH(H314,'02 Emission rates'!$A$7:$A$15,1)</f>
        <v>1</v>
      </c>
      <c r="J314" s="1">
        <f>INDEX('02 Emission rates'!$D$7:$D$15,I314)</f>
        <v>6931.8463213424902</v>
      </c>
      <c r="K314" s="1">
        <f>INDEX('02 Emission rates'!$E$7:$E$15,I314)</f>
        <v>4.0758788464844926</v>
      </c>
      <c r="L314" s="1">
        <f>INDEX('02 Emission rates'!$F$7:$F$15,I314)</f>
        <v>62.680628166186985</v>
      </c>
      <c r="M314" s="1">
        <f>INDEX('02 Emission rates'!$G$7:$G$15,I314)</f>
        <v>2.7514068118353263</v>
      </c>
      <c r="N314" s="1">
        <f t="shared" si="67"/>
        <v>9238.1384239142189</v>
      </c>
      <c r="O314" s="1">
        <f t="shared" si="68"/>
        <v>5.4319630351578816</v>
      </c>
      <c r="P314" s="1">
        <f t="shared" si="69"/>
        <v>83.535077474854745</v>
      </c>
      <c r="Q314" s="1">
        <f t="shared" si="70"/>
        <v>3.6668263850535809</v>
      </c>
      <c r="R314" s="1">
        <f t="shared" si="71"/>
        <v>2021.7691791364916</v>
      </c>
      <c r="S314" s="1">
        <f t="shared" si="72"/>
        <v>70.214451149719309</v>
      </c>
      <c r="T314" s="1">
        <f t="shared" si="73"/>
        <v>634666.46396549896</v>
      </c>
      <c r="U314" s="1">
        <f t="shared" si="74"/>
        <v>569.07378900318326</v>
      </c>
      <c r="V314" s="1">
        <f t="shared" si="75"/>
        <v>5264.0632316761348</v>
      </c>
      <c r="W314" s="1">
        <f t="shared" si="76"/>
        <v>227.29030177741927</v>
      </c>
      <c r="X314" s="1"/>
      <c r="Y314" s="1"/>
      <c r="Z314" s="1"/>
      <c r="AA314" s="1"/>
      <c r="AB314" s="1"/>
      <c r="AC314" s="1"/>
      <c r="AD314" s="1"/>
      <c r="AE314" s="1"/>
    </row>
    <row r="315" spans="1:31" ht="22.05" customHeight="1">
      <c r="A315" s="1">
        <f>'01 Traffic inputs'!B265</f>
        <v>0.41261725896133794</v>
      </c>
      <c r="B315" s="1">
        <f>'01 Traffic inputs'!C265</f>
        <v>4.0224201856641955E-3</v>
      </c>
      <c r="C315" s="1">
        <f>IF('01 Traffic inputs'!$B$16&lt;=2/3,(4*A315*(1-A315))^$B$16,1-ABS(2*A315-1)^$B$17)</f>
        <v>0.90000681809730165</v>
      </c>
      <c r="D315" s="1">
        <f>IF('01 Traffic inputs'!$B$16&lt;=2/3,4*$B$16*(1-2*A315)*(4*A315*(1-A315))^($B$16-1),-2*$B$17*SIGN(2*A315-1)*ABS(2*A315-1)^($B$17-1))</f>
        <v>2.204194534385111</v>
      </c>
      <c r="E315" s="1">
        <f t="shared" si="64"/>
        <v>19.81158502836853</v>
      </c>
      <c r="F315" s="1">
        <f t="shared" si="65"/>
        <v>6.7815294641961302E-2</v>
      </c>
      <c r="G315" s="1">
        <f t="shared" si="66"/>
        <v>1.343528476023081</v>
      </c>
      <c r="H315" s="1">
        <f>'01 Traffic inputs'!$B$8/F315</f>
        <v>15.335773522637052</v>
      </c>
      <c r="I315" s="1">
        <f>MATCH(H315,'02 Emission rates'!$A$7:$A$15,1)</f>
        <v>1</v>
      </c>
      <c r="J315" s="1">
        <f>INDEX('02 Emission rates'!$D$7:$D$15,I315)</f>
        <v>6931.8463213424902</v>
      </c>
      <c r="K315" s="1">
        <f>INDEX('02 Emission rates'!$E$7:$E$15,I315)</f>
        <v>4.0758788464844926</v>
      </c>
      <c r="L315" s="1">
        <f>INDEX('02 Emission rates'!$F$7:$F$15,I315)</f>
        <v>62.680628166186985</v>
      </c>
      <c r="M315" s="1">
        <f>INDEX('02 Emission rates'!$G$7:$G$15,I315)</f>
        <v>2.7514068118353263</v>
      </c>
      <c r="N315" s="1">
        <f t="shared" si="67"/>
        <v>9313.132924139476</v>
      </c>
      <c r="O315" s="1">
        <f t="shared" si="68"/>
        <v>5.4760592950720239</v>
      </c>
      <c r="P315" s="1">
        <f t="shared" si="69"/>
        <v>84.213208836286611</v>
      </c>
      <c r="Q315" s="1">
        <f t="shared" si="70"/>
        <v>3.6965934008246402</v>
      </c>
      <c r="R315" s="1">
        <f t="shared" si="71"/>
        <v>2041.5807641648601</v>
      </c>
      <c r="S315" s="1">
        <f t="shared" si="72"/>
        <v>71.557979625742391</v>
      </c>
      <c r="T315" s="1">
        <f t="shared" si="73"/>
        <v>643979.59688963846</v>
      </c>
      <c r="U315" s="1">
        <f t="shared" si="74"/>
        <v>574.54984829825526</v>
      </c>
      <c r="V315" s="1">
        <f t="shared" si="75"/>
        <v>5348.2764405124217</v>
      </c>
      <c r="W315" s="1">
        <f t="shared" si="76"/>
        <v>230.98689517824391</v>
      </c>
      <c r="X315" s="1"/>
      <c r="Y315" s="1"/>
      <c r="Z315" s="1"/>
      <c r="AA315" s="1"/>
      <c r="AB315" s="1"/>
      <c r="AC315" s="1"/>
      <c r="AD315" s="1"/>
      <c r="AE315" s="1"/>
    </row>
    <row r="316" spans="1:31" ht="22.05" customHeight="1">
      <c r="A316" s="1">
        <f>'01 Traffic inputs'!B266</f>
        <v>0.41664255114938237</v>
      </c>
      <c r="B316" s="1">
        <f>'01 Traffic inputs'!C266</f>
        <v>4.028119403246635E-3</v>
      </c>
      <c r="C316" s="1">
        <f>IF('01 Traffic inputs'!$B$16&lt;=2/3,(4*A316*(1-A316))^$B$16,1-ABS(2*A316-1)^$B$17)</f>
        <v>0.90870447949989652</v>
      </c>
      <c r="D316" s="1">
        <f>IF('01 Traffic inputs'!$B$16&lt;=2/3,4*$B$16*(1-2*A316)*(4*A316*(1-A316))^($B$16-1),-2*$B$17*SIGN(2*A316-1)*ABS(2*A316-1)^($B$17-1))</f>
        <v>2.1169750682855968</v>
      </c>
      <c r="E316" s="1">
        <f t="shared" si="64"/>
        <v>19.817971708017325</v>
      </c>
      <c r="F316" s="1">
        <f t="shared" si="65"/>
        <v>6.8314016369726213E-2</v>
      </c>
      <c r="G316" s="1">
        <f t="shared" si="66"/>
        <v>1.3538452436762665</v>
      </c>
      <c r="H316" s="1">
        <f>'01 Traffic inputs'!$B$8/F316</f>
        <v>15.223815774077412</v>
      </c>
      <c r="I316" s="1">
        <f>MATCH(H316,'02 Emission rates'!$A$7:$A$15,1)</f>
        <v>1</v>
      </c>
      <c r="J316" s="1">
        <f>INDEX('02 Emission rates'!$D$7:$D$15,I316)</f>
        <v>6931.8463213424902</v>
      </c>
      <c r="K316" s="1">
        <f>INDEX('02 Emission rates'!$E$7:$E$15,I316)</f>
        <v>4.0758788464844926</v>
      </c>
      <c r="L316" s="1">
        <f>INDEX('02 Emission rates'!$F$7:$F$15,I316)</f>
        <v>62.680628166186985</v>
      </c>
      <c r="M316" s="1">
        <f>INDEX('02 Emission rates'!$G$7:$G$15,I316)</f>
        <v>2.7514068118353263</v>
      </c>
      <c r="N316" s="1">
        <f t="shared" si="67"/>
        <v>9384.6471720443551</v>
      </c>
      <c r="O316" s="1">
        <f t="shared" si="68"/>
        <v>5.518109190113738</v>
      </c>
      <c r="P316" s="1">
        <f t="shared" si="69"/>
        <v>84.859870313432864</v>
      </c>
      <c r="Q316" s="1">
        <f t="shared" si="70"/>
        <v>3.724979025621737</v>
      </c>
      <c r="R316" s="1">
        <f t="shared" si="71"/>
        <v>2061.3987358728773</v>
      </c>
      <c r="S316" s="1">
        <f t="shared" si="72"/>
        <v>72.911824869418652</v>
      </c>
      <c r="T316" s="1">
        <f t="shared" si="73"/>
        <v>653364.24406168284</v>
      </c>
      <c r="U316" s="1">
        <f t="shared" si="74"/>
        <v>580.06795748836896</v>
      </c>
      <c r="V316" s="1">
        <f t="shared" si="75"/>
        <v>5433.1363108258547</v>
      </c>
      <c r="W316" s="1">
        <f t="shared" si="76"/>
        <v>234.71187420386565</v>
      </c>
      <c r="X316" s="1"/>
      <c r="Y316" s="1"/>
      <c r="Z316" s="1"/>
      <c r="AA316" s="1"/>
      <c r="AB316" s="1"/>
      <c r="AC316" s="1"/>
      <c r="AD316" s="1"/>
      <c r="AE316" s="1"/>
    </row>
    <row r="317" spans="1:31" ht="22.05" customHeight="1">
      <c r="A317" s="1">
        <f>'01 Traffic inputs'!B267</f>
        <v>0.42067340813096005</v>
      </c>
      <c r="B317" s="1">
        <f>'01 Traffic inputs'!C267</f>
        <v>4.0335497108142651E-3</v>
      </c>
      <c r="C317" s="1">
        <f>IF('01 Traffic inputs'!$B$16&lt;=2/3,(4*A317*(1-A317))^$B$16,1-ABS(2*A317-1)^$B$17)</f>
        <v>0.91705833824684957</v>
      </c>
      <c r="D317" s="1">
        <f>IF('01 Traffic inputs'!$B$16&lt;=2/3,4*$B$16*(1-2*A317)*(4*A317*(1-A317))^($B$16-1),-2*$B$17*SIGN(2*A317-1)*ABS(2*A317-1)^($B$17-1))</f>
        <v>2.0276559464304347</v>
      </c>
      <c r="E317" s="1">
        <f t="shared" si="64"/>
        <v>19.822452765742838</v>
      </c>
      <c r="F317" s="1">
        <f t="shared" si="65"/>
        <v>6.879302453927183E-2</v>
      </c>
      <c r="G317" s="1">
        <f t="shared" si="66"/>
        <v>1.3636464795423038</v>
      </c>
      <c r="H317" s="1">
        <f>'01 Traffic inputs'!$B$8/F317</f>
        <v>15.117811827074362</v>
      </c>
      <c r="I317" s="1">
        <f>MATCH(H317,'02 Emission rates'!$A$7:$A$15,1)</f>
        <v>1</v>
      </c>
      <c r="J317" s="1">
        <f>INDEX('02 Emission rates'!$D$7:$D$15,I317)</f>
        <v>6931.8463213424902</v>
      </c>
      <c r="K317" s="1">
        <f>INDEX('02 Emission rates'!$E$7:$E$15,I317)</f>
        <v>4.0758788464844926</v>
      </c>
      <c r="L317" s="1">
        <f>INDEX('02 Emission rates'!$F$7:$F$15,I317)</f>
        <v>62.680628166186985</v>
      </c>
      <c r="M317" s="1">
        <f>INDEX('02 Emission rates'!$G$7:$G$15,I317)</f>
        <v>2.7514068118353263</v>
      </c>
      <c r="N317" s="1">
        <f t="shared" si="67"/>
        <v>9452.5878328269555</v>
      </c>
      <c r="O317" s="1">
        <f t="shared" si="68"/>
        <v>5.558057840049524</v>
      </c>
      <c r="P317" s="1">
        <f t="shared" si="69"/>
        <v>85.474217934321047</v>
      </c>
      <c r="Q317" s="1">
        <f t="shared" si="70"/>
        <v>3.7519462127479564</v>
      </c>
      <c r="R317" s="1">
        <f t="shared" si="71"/>
        <v>2081.2211886386203</v>
      </c>
      <c r="S317" s="1">
        <f t="shared" si="72"/>
        <v>74.275471348960963</v>
      </c>
      <c r="T317" s="1">
        <f t="shared" si="73"/>
        <v>662816.83189450984</v>
      </c>
      <c r="U317" s="1">
        <f t="shared" si="74"/>
        <v>585.62601532841848</v>
      </c>
      <c r="V317" s="1">
        <f t="shared" si="75"/>
        <v>5518.6105287601758</v>
      </c>
      <c r="W317" s="1">
        <f t="shared" si="76"/>
        <v>238.4638204166136</v>
      </c>
      <c r="X317" s="1"/>
      <c r="Y317" s="1"/>
      <c r="Z317" s="1"/>
      <c r="AA317" s="1"/>
      <c r="AB317" s="1"/>
      <c r="AC317" s="1"/>
      <c r="AD317" s="1"/>
      <c r="AE317" s="1"/>
    </row>
    <row r="318" spans="1:31" ht="22.05" customHeight="1">
      <c r="A318" s="1">
        <f>'01 Traffic inputs'!B268</f>
        <v>0.42470956081330025</v>
      </c>
      <c r="B318" s="1">
        <f>'01 Traffic inputs'!C268</f>
        <v>4.0387107458494734E-3</v>
      </c>
      <c r="C318" s="1">
        <f>IF('01 Traffic inputs'!$B$16&lt;=2/3,(4*A318*(1-A318))^$B$16,1-ABS(2*A318-1)^$B$17)</f>
        <v>0.92505856754902061</v>
      </c>
      <c r="D318" s="1">
        <f>IF('01 Traffic inputs'!$B$16&lt;=2/3,4*$B$16*(1-2*A318)*(4*A318*(1-A318))^($B$16-1),-2*$B$17*SIGN(2*A318-1)*ABS(2*A318-1)^($B$17-1))</f>
        <v>1.936318948427646</v>
      </c>
      <c r="E318" s="1">
        <f t="shared" si="64"/>
        <v>19.825049142826028</v>
      </c>
      <c r="F318" s="1">
        <f t="shared" si="65"/>
        <v>6.9251755684968511E-2</v>
      </c>
      <c r="G318" s="1">
        <f t="shared" si="66"/>
        <v>1.3729194596814824</v>
      </c>
      <c r="H318" s="1">
        <f>'01 Traffic inputs'!$B$8/F318</f>
        <v>15.017669800763743</v>
      </c>
      <c r="I318" s="1">
        <f>MATCH(H318,'02 Emission rates'!$A$7:$A$15,1)</f>
        <v>1</v>
      </c>
      <c r="J318" s="1">
        <f>INDEX('02 Emission rates'!$D$7:$D$15,I318)</f>
        <v>6931.8463213424902</v>
      </c>
      <c r="K318" s="1">
        <f>INDEX('02 Emission rates'!$E$7:$E$15,I318)</f>
        <v>4.0758788464844926</v>
      </c>
      <c r="L318" s="1">
        <f>INDEX('02 Emission rates'!$F$7:$F$15,I318)</f>
        <v>62.680628166186985</v>
      </c>
      <c r="M318" s="1">
        <f>INDEX('02 Emission rates'!$G$7:$G$15,I318)</f>
        <v>2.7514068118353263</v>
      </c>
      <c r="N318" s="1">
        <f t="shared" si="67"/>
        <v>9516.8667060926036</v>
      </c>
      <c r="O318" s="1">
        <f t="shared" si="68"/>
        <v>5.5958533836426732</v>
      </c>
      <c r="P318" s="1">
        <f t="shared" si="69"/>
        <v>86.055454154417347</v>
      </c>
      <c r="Q318" s="1">
        <f t="shared" si="70"/>
        <v>3.7774599534689064</v>
      </c>
      <c r="R318" s="1">
        <f t="shared" si="71"/>
        <v>2101.0462377814465</v>
      </c>
      <c r="S318" s="1">
        <f t="shared" si="72"/>
        <v>75.648390808642446</v>
      </c>
      <c r="T318" s="1">
        <f t="shared" si="73"/>
        <v>672333.69860060245</v>
      </c>
      <c r="U318" s="1">
        <f t="shared" si="74"/>
        <v>591.22186871206111</v>
      </c>
      <c r="V318" s="1">
        <f t="shared" si="75"/>
        <v>5604.6659829145929</v>
      </c>
      <c r="W318" s="1">
        <f t="shared" si="76"/>
        <v>242.24128037008251</v>
      </c>
      <c r="X318" s="1"/>
      <c r="Y318" s="1"/>
      <c r="Z318" s="1"/>
      <c r="AA318" s="1"/>
      <c r="AB318" s="1"/>
      <c r="AC318" s="1"/>
      <c r="AD318" s="1"/>
      <c r="AE318" s="1"/>
    </row>
    <row r="319" spans="1:31" ht="22.05" customHeight="1">
      <c r="A319" s="1">
        <f>'01 Traffic inputs'!B269</f>
        <v>0.42875073975010092</v>
      </c>
      <c r="B319" s="1">
        <f>'01 Traffic inputs'!C269</f>
        <v>4.0436021638108575E-3</v>
      </c>
      <c r="C319" s="1">
        <f>IF('01 Traffic inputs'!$B$16&lt;=2/3,(4*A319*(1-A319))^$B$16,1-ABS(2*A319-1)^$B$17)</f>
        <v>0.93269571666740458</v>
      </c>
      <c r="D319" s="1">
        <f>IF('01 Traffic inputs'!$B$16&lt;=2/3,4*$B$16*(1-2*A319)*(4*A319*(1-A319))^($B$16-1),-2*$B$17*SIGN(2*A319-1)*ABS(2*A319-1)^($B$17-1))</f>
        <v>1.8430488153761344</v>
      </c>
      <c r="E319" s="1">
        <f t="shared" si="64"/>
        <v>19.825782923979126</v>
      </c>
      <c r="F319" s="1">
        <f t="shared" si="65"/>
        <v>6.968966790380729E-2</v>
      </c>
      <c r="G319" s="1">
        <f t="shared" si="66"/>
        <v>1.3816522279050787</v>
      </c>
      <c r="H319" s="1">
        <f>'01 Traffic inputs'!$B$8/F319</f>
        <v>14.923302568115741</v>
      </c>
      <c r="I319" s="1">
        <f>MATCH(H319,'02 Emission rates'!$A$7:$A$15,1)</f>
        <v>1</v>
      </c>
      <c r="J319" s="1">
        <f>INDEX('02 Emission rates'!$D$7:$D$15,I319)</f>
        <v>6931.8463213424902</v>
      </c>
      <c r="K319" s="1">
        <f>INDEX('02 Emission rates'!$E$7:$E$15,I319)</f>
        <v>4.0758788464844926</v>
      </c>
      <c r="L319" s="1">
        <f>INDEX('02 Emission rates'!$F$7:$F$15,I319)</f>
        <v>62.680628166186985</v>
      </c>
      <c r="M319" s="1">
        <f>INDEX('02 Emission rates'!$G$7:$G$15,I319)</f>
        <v>2.7514068118353263</v>
      </c>
      <c r="N319" s="1">
        <f t="shared" si="67"/>
        <v>9577.4009133784748</v>
      </c>
      <c r="O319" s="1">
        <f t="shared" si="68"/>
        <v>5.6314470889164818</v>
      </c>
      <c r="P319" s="1">
        <f t="shared" si="69"/>
        <v>86.602829552302069</v>
      </c>
      <c r="Q319" s="1">
        <f t="shared" si="70"/>
        <v>3.8014873514454881</v>
      </c>
      <c r="R319" s="1">
        <f t="shared" si="71"/>
        <v>2120.8720207054257</v>
      </c>
      <c r="S319" s="1">
        <f t="shared" si="72"/>
        <v>77.030043036547525</v>
      </c>
      <c r="T319" s="1">
        <f t="shared" si="73"/>
        <v>681911.09951398091</v>
      </c>
      <c r="U319" s="1">
        <f t="shared" si="74"/>
        <v>596.85331580097761</v>
      </c>
      <c r="V319" s="1">
        <f t="shared" si="75"/>
        <v>5691.2688124668948</v>
      </c>
      <c r="W319" s="1">
        <f t="shared" si="76"/>
        <v>246.04276772152801</v>
      </c>
      <c r="X319" s="1"/>
      <c r="Y319" s="1"/>
      <c r="Z319" s="1"/>
      <c r="AA319" s="1"/>
      <c r="AB319" s="1"/>
      <c r="AC319" s="1"/>
      <c r="AD319" s="1"/>
      <c r="AE319" s="1"/>
    </row>
    <row r="320" spans="1:31" ht="22.05" customHeight="1">
      <c r="A320" s="1">
        <f>'01 Traffic inputs'!B270</f>
        <v>0.43279667515951625</v>
      </c>
      <c r="B320" s="1">
        <f>'01 Traffic inputs'!C270</f>
        <v>4.0482236381561496E-3</v>
      </c>
      <c r="C320" s="1">
        <f>IF('01 Traffic inputs'!$B$16&lt;=2/3,(4*A320*(1-A320))^$B$16,1-ABS(2*A320-1)^$B$17)</f>
        <v>0.93996072773255346</v>
      </c>
      <c r="D320" s="1">
        <f>IF('01 Traffic inputs'!$B$16&lt;=2/3,4*$B$16*(1-2*A320)*(4*A320*(1-A320))^($B$16-1),-2*$B$17*SIGN(2*A320-1)*ABS(2*A320-1)^($B$17-1))</f>
        <v>1.7479331319453901</v>
      </c>
      <c r="E320" s="1">
        <f t="shared" si="64"/>
        <v>19.824677298533402</v>
      </c>
      <c r="F320" s="1">
        <f t="shared" si="65"/>
        <v>7.0106241819821238E-2</v>
      </c>
      <c r="G320" s="1">
        <f t="shared" si="66"/>
        <v>1.3898336206909032</v>
      </c>
      <c r="H320" s="1">
        <f>'01 Traffic inputs'!$B$8/F320</f>
        <v>14.834627745028827</v>
      </c>
      <c r="I320" s="1">
        <f>MATCH(H320,'02 Emission rates'!$A$7:$A$15,1)</f>
        <v>1</v>
      </c>
      <c r="J320" s="1">
        <f>INDEX('02 Emission rates'!$D$7:$D$15,I320)</f>
        <v>6931.8463213424902</v>
      </c>
      <c r="K320" s="1">
        <f>INDEX('02 Emission rates'!$E$7:$E$15,I320)</f>
        <v>4.0758788464844926</v>
      </c>
      <c r="L320" s="1">
        <f>INDEX('02 Emission rates'!$F$7:$F$15,I320)</f>
        <v>62.680628166186985</v>
      </c>
      <c r="M320" s="1">
        <f>INDEX('02 Emission rates'!$G$7:$G$15,I320)</f>
        <v>2.7514068118353263</v>
      </c>
      <c r="N320" s="1">
        <f t="shared" si="67"/>
        <v>9634.1130708643523</v>
      </c>
      <c r="O320" s="1">
        <f t="shared" si="68"/>
        <v>5.664793454707004</v>
      </c>
      <c r="P320" s="1">
        <f t="shared" si="69"/>
        <v>87.115644391391868</v>
      </c>
      <c r="Q320" s="1">
        <f t="shared" si="70"/>
        <v>3.8239976912867064</v>
      </c>
      <c r="R320" s="1">
        <f t="shared" si="71"/>
        <v>2140.6966980039592</v>
      </c>
      <c r="S320" s="1">
        <f t="shared" si="72"/>
        <v>78.419876657238433</v>
      </c>
      <c r="T320" s="1">
        <f t="shared" si="73"/>
        <v>691545.21258484526</v>
      </c>
      <c r="U320" s="1">
        <f t="shared" si="74"/>
        <v>602.51810925568464</v>
      </c>
      <c r="V320" s="1">
        <f t="shared" si="75"/>
        <v>5778.3844568582863</v>
      </c>
      <c r="W320" s="1">
        <f t="shared" si="76"/>
        <v>249.86676541281471</v>
      </c>
      <c r="X320" s="1"/>
      <c r="Y320" s="1"/>
      <c r="Z320" s="1"/>
      <c r="AA320" s="1"/>
      <c r="AB320" s="1"/>
      <c r="AC320" s="1"/>
      <c r="AD320" s="1"/>
      <c r="AE320" s="1"/>
    </row>
    <row r="321" spans="1:31" ht="22.05" customHeight="1">
      <c r="A321" s="1">
        <f>'01 Traffic inputs'!B271</f>
        <v>0.43684709694216683</v>
      </c>
      <c r="B321" s="1">
        <f>'01 Traffic inputs'!C271</f>
        <v>4.0525748603640055E-3</v>
      </c>
      <c r="C321" s="1">
        <f>IF('01 Traffic inputs'!$B$16&lt;=2/3,(4*A321*(1-A321))^$B$16,1-ABS(2*A321-1)^$B$17)</f>
        <v>0.94684495191477802</v>
      </c>
      <c r="D321" s="1">
        <f>IF('01 Traffic inputs'!$B$16&lt;=2/3,4*$B$16*(1-2*A321)*(4*A321*(1-A321))^($B$16-1),-2*$B$17*SIGN(2*A321-1)*ABS(2*A321-1)^($B$17-1))</f>
        <v>1.6510622033278191</v>
      </c>
      <c r="E321" s="1">
        <f t="shared" si="64"/>
        <v>19.82175651934104</v>
      </c>
      <c r="F321" s="1">
        <f t="shared" si="65"/>
        <v>7.05009815112808E-2</v>
      </c>
      <c r="G321" s="1">
        <f t="shared" si="66"/>
        <v>1.3974532898911722</v>
      </c>
      <c r="H321" s="1">
        <f>'01 Traffic inputs'!$B$8/F321</f>
        <v>14.751567676169318</v>
      </c>
      <c r="I321" s="1">
        <f>MATCH(H321,'02 Emission rates'!$A$7:$A$15,1)</f>
        <v>1</v>
      </c>
      <c r="J321" s="1">
        <f>INDEX('02 Emission rates'!$D$7:$D$15,I321)</f>
        <v>6931.8463213424902</v>
      </c>
      <c r="K321" s="1">
        <f>INDEX('02 Emission rates'!$E$7:$E$15,I321)</f>
        <v>4.0758788464844926</v>
      </c>
      <c r="L321" s="1">
        <f>INDEX('02 Emission rates'!$F$7:$F$15,I321)</f>
        <v>62.680628166186985</v>
      </c>
      <c r="M321" s="1">
        <f>INDEX('02 Emission rates'!$G$7:$G$15,I321)</f>
        <v>2.7514068118353263</v>
      </c>
      <c r="N321" s="1">
        <f t="shared" si="67"/>
        <v>9686.9314467800832</v>
      </c>
      <c r="O321" s="1">
        <f t="shared" si="68"/>
        <v>5.6958503032175907</v>
      </c>
      <c r="P321" s="1">
        <f t="shared" si="69"/>
        <v>87.593250043283277</v>
      </c>
      <c r="Q321" s="1">
        <f t="shared" si="70"/>
        <v>3.8449625010282582</v>
      </c>
      <c r="R321" s="1">
        <f t="shared" si="71"/>
        <v>2160.5184545233001</v>
      </c>
      <c r="S321" s="1">
        <f t="shared" si="72"/>
        <v>79.817329947129608</v>
      </c>
      <c r="T321" s="1">
        <f t="shared" si="73"/>
        <v>701232.14403162536</v>
      </c>
      <c r="U321" s="1">
        <f t="shared" si="74"/>
        <v>608.21395955890227</v>
      </c>
      <c r="V321" s="1">
        <f t="shared" si="75"/>
        <v>5865.9777069015699</v>
      </c>
      <c r="W321" s="1">
        <f t="shared" si="76"/>
        <v>253.71172791384296</v>
      </c>
      <c r="X321" s="1"/>
      <c r="Y321" s="1"/>
      <c r="Z321" s="1"/>
      <c r="AA321" s="1"/>
      <c r="AB321" s="1"/>
      <c r="AC321" s="1"/>
      <c r="AD321" s="1"/>
      <c r="AE321" s="1"/>
    </row>
    <row r="322" spans="1:31" ht="22.05" customHeight="1">
      <c r="A322" s="1">
        <f>'01 Traffic inputs'!B272</f>
        <v>0.4409017346991711</v>
      </c>
      <c r="B322" s="1">
        <f>'01 Traffic inputs'!C272</f>
        <v>4.0566555399546601E-3</v>
      </c>
      <c r="C322" s="1">
        <f>IF('01 Traffic inputs'!$B$16&lt;=2/3,(4*A322*(1-A322))^$B$16,1-ABS(2*A322-1)^$B$17)</f>
        <v>0.95334016490887274</v>
      </c>
      <c r="D322" s="1">
        <f>IF('01 Traffic inputs'!$B$16&lt;=2/3,4*$B$16*(1-2*A322)*(4*A322*(1-A322))^($B$16-1),-2*$B$17*SIGN(2*A322-1)*ABS(2*A322-1)^($B$17-1))</f>
        <v>1.5525289272788674</v>
      </c>
      <c r="E322" s="1">
        <f t="shared" si="64"/>
        <v>19.8170458594787</v>
      </c>
      <c r="F322" s="1">
        <f t="shared" si="65"/>
        <v>7.0873415398584078E-2</v>
      </c>
      <c r="G322" s="1">
        <f t="shared" si="66"/>
        <v>1.4045017231716246</v>
      </c>
      <c r="H322" s="1">
        <f>'01 Traffic inputs'!$B$8/F322</f>
        <v>14.674049418264634</v>
      </c>
      <c r="I322" s="1">
        <f>MATCH(H322,'02 Emission rates'!$A$7:$A$15,1)</f>
        <v>1</v>
      </c>
      <c r="J322" s="1">
        <f>INDEX('02 Emission rates'!$D$7:$D$15,I322)</f>
        <v>6931.8463213424902</v>
      </c>
      <c r="K322" s="1">
        <f>INDEX('02 Emission rates'!$E$7:$E$15,I322)</f>
        <v>4.0758788464844926</v>
      </c>
      <c r="L322" s="1">
        <f>INDEX('02 Emission rates'!$F$7:$F$15,I322)</f>
        <v>62.680628166186985</v>
      </c>
      <c r="M322" s="1">
        <f>INDEX('02 Emission rates'!$G$7:$G$15,I322)</f>
        <v>2.7514068118353263</v>
      </c>
      <c r="N322" s="1">
        <f t="shared" si="67"/>
        <v>9735.7901030864141</v>
      </c>
      <c r="O322" s="1">
        <f t="shared" si="68"/>
        <v>5.7245788633262435</v>
      </c>
      <c r="P322" s="1">
        <f t="shared" si="69"/>
        <v>88.035050268889492</v>
      </c>
      <c r="Q322" s="1">
        <f t="shared" si="70"/>
        <v>3.8643556083688617</v>
      </c>
      <c r="R322" s="1">
        <f t="shared" si="71"/>
        <v>2180.3355003827787</v>
      </c>
      <c r="S322" s="1">
        <f t="shared" si="72"/>
        <v>81.221831670301228</v>
      </c>
      <c r="T322" s="1">
        <f t="shared" si="73"/>
        <v>710967.93413471174</v>
      </c>
      <c r="U322" s="1">
        <f t="shared" si="74"/>
        <v>613.93853842222848</v>
      </c>
      <c r="V322" s="1">
        <f t="shared" si="75"/>
        <v>5954.0127571704597</v>
      </c>
      <c r="W322" s="1">
        <f t="shared" si="76"/>
        <v>257.57608352221183</v>
      </c>
      <c r="X322" s="1"/>
      <c r="Y322" s="1"/>
      <c r="Z322" s="1"/>
      <c r="AA322" s="1"/>
      <c r="AB322" s="1"/>
      <c r="AC322" s="1"/>
      <c r="AD322" s="1"/>
      <c r="AE322" s="1"/>
    </row>
    <row r="323" spans="1:31" ht="22.05" customHeight="1">
      <c r="A323" s="1">
        <f>'01 Traffic inputs'!B273</f>
        <v>0.44496031775019651</v>
      </c>
      <c r="B323" s="1">
        <f>'01 Traffic inputs'!C273</f>
        <v>4.0604654045092552E-3</v>
      </c>
      <c r="C323" s="1">
        <f>IF('01 Traffic inputs'!$B$16&lt;=2/3,(4*A323*(1-A323))^$B$16,1-ABS(2*A323-1)^$B$17)</f>
        <v>0.9594385816985852</v>
      </c>
      <c r="D323" s="1">
        <f>IF('01 Traffic inputs'!$B$16&lt;=2/3,4*$B$16*(1-2*A323)*(4*A323*(1-A323))^($B$16-1),-2*$B$17*SIGN(2*A323-1)*ABS(2*A323-1)^($B$17-1))</f>
        <v>1.4524286614700774</v>
      </c>
      <c r="E323" s="1">
        <f t="shared" si="64"/>
        <v>19.81057156684485</v>
      </c>
      <c r="F323" s="1">
        <f t="shared" si="65"/>
        <v>7.1223097090847759E-2</v>
      </c>
      <c r="G323" s="1">
        <f t="shared" si="66"/>
        <v>1.4109702621305786</v>
      </c>
      <c r="H323" s="1">
        <f>'01 Traffic inputs'!$B$8/F323</f>
        <v>14.602004721494504</v>
      </c>
      <c r="I323" s="1">
        <f>MATCH(H323,'02 Emission rates'!$A$7:$A$15,1)</f>
        <v>1</v>
      </c>
      <c r="J323" s="1">
        <f>INDEX('02 Emission rates'!$D$7:$D$15,I323)</f>
        <v>6931.8463213424902</v>
      </c>
      <c r="K323" s="1">
        <f>INDEX('02 Emission rates'!$E$7:$E$15,I323)</f>
        <v>4.0758788464844926</v>
      </c>
      <c r="L323" s="1">
        <f>INDEX('02 Emission rates'!$F$7:$F$15,I323)</f>
        <v>62.680628166186985</v>
      </c>
      <c r="M323" s="1">
        <f>INDEX('02 Emission rates'!$G$7:$G$15,I323)</f>
        <v>2.7514068118353263</v>
      </c>
      <c r="N323" s="1">
        <f t="shared" si="67"/>
        <v>9780.6290210735006</v>
      </c>
      <c r="O323" s="1">
        <f t="shared" si="68"/>
        <v>5.7509438444367049</v>
      </c>
      <c r="P323" s="1">
        <f t="shared" si="69"/>
        <v>88.440502354154177</v>
      </c>
      <c r="Q323" s="1">
        <f t="shared" si="70"/>
        <v>3.8821531905231499</v>
      </c>
      <c r="R323" s="1">
        <f t="shared" si="71"/>
        <v>2200.1460719496235</v>
      </c>
      <c r="S323" s="1">
        <f t="shared" si="72"/>
        <v>82.632801932431803</v>
      </c>
      <c r="T323" s="1">
        <f t="shared" si="73"/>
        <v>720748.5631557852</v>
      </c>
      <c r="U323" s="1">
        <f t="shared" si="74"/>
        <v>619.68948226666521</v>
      </c>
      <c r="V323" s="1">
        <f t="shared" si="75"/>
        <v>6042.4532595246137</v>
      </c>
      <c r="W323" s="1">
        <f t="shared" si="76"/>
        <v>261.45823671273496</v>
      </c>
      <c r="X323" s="1"/>
      <c r="Y323" s="1"/>
      <c r="Z323" s="1"/>
      <c r="AA323" s="1"/>
      <c r="AB323" s="1"/>
      <c r="AC323" s="1"/>
      <c r="AD323" s="1"/>
      <c r="AE323" s="1"/>
    </row>
    <row r="324" spans="1:31" ht="22.05" customHeight="1">
      <c r="A324" s="1">
        <f>'01 Traffic inputs'!B274</f>
        <v>0.44902257515152982</v>
      </c>
      <c r="B324" s="1">
        <f>'01 Traffic inputs'!C274</f>
        <v>4.0640041996880946E-3</v>
      </c>
      <c r="C324" s="1">
        <f>IF('01 Traffic inputs'!$B$16&lt;=2/3,(4*A324*(1-A324))^$B$16,1-ABS(2*A324-1)^$B$17)</f>
        <v>0.96513287056759622</v>
      </c>
      <c r="D324" s="1">
        <f>IF('01 Traffic inputs'!$B$16&lt;=2/3,4*$B$16*(1-2*A324)*(4*A324*(1-A324))^($B$16-1),-2*$B$17*SIGN(2*A324-1)*ABS(2*A324-1)^($B$17-1))</f>
        <v>1.350859086389598</v>
      </c>
      <c r="E324" s="1">
        <f t="shared" si="64"/>
        <v>19.802360816750753</v>
      </c>
      <c r="F324" s="1">
        <f t="shared" si="65"/>
        <v>7.1549606189293291E-2</v>
      </c>
      <c r="G324" s="1">
        <f t="shared" si="66"/>
        <v>1.4168511180568086</v>
      </c>
      <c r="H324" s="1">
        <f>'01 Traffic inputs'!$B$8/F324</f>
        <v>14.535370009564726</v>
      </c>
      <c r="I324" s="1">
        <f>MATCH(H324,'02 Emission rates'!$A$7:$A$15,1)</f>
        <v>1</v>
      </c>
      <c r="J324" s="1">
        <f>INDEX('02 Emission rates'!$D$7:$D$15,I324)</f>
        <v>6931.8463213424902</v>
      </c>
      <c r="K324" s="1">
        <f>INDEX('02 Emission rates'!$E$7:$E$15,I324)</f>
        <v>4.0758788464844926</v>
      </c>
      <c r="L324" s="1">
        <f>INDEX('02 Emission rates'!$F$7:$F$15,I324)</f>
        <v>62.680628166186985</v>
      </c>
      <c r="M324" s="1">
        <f>INDEX('02 Emission rates'!$G$7:$G$15,I324)</f>
        <v>2.7514068118353263</v>
      </c>
      <c r="N324" s="1">
        <f t="shared" si="67"/>
        <v>9821.3942105920833</v>
      </c>
      <c r="O324" s="1">
        <f t="shared" si="68"/>
        <v>5.7749135007056491</v>
      </c>
      <c r="P324" s="1">
        <f t="shared" si="69"/>
        <v>88.809118097765122</v>
      </c>
      <c r="Q324" s="1">
        <f t="shared" si="70"/>
        <v>3.8983338175780013</v>
      </c>
      <c r="R324" s="1">
        <f t="shared" si="71"/>
        <v>2219.9484327663745</v>
      </c>
      <c r="S324" s="1">
        <f t="shared" si="72"/>
        <v>84.049653050488615</v>
      </c>
      <c r="T324" s="1">
        <f t="shared" si="73"/>
        <v>730569.95736637723</v>
      </c>
      <c r="U324" s="1">
        <f t="shared" si="74"/>
        <v>625.46439576737089</v>
      </c>
      <c r="V324" s="1">
        <f t="shared" si="75"/>
        <v>6131.2623776223791</v>
      </c>
      <c r="W324" s="1">
        <f t="shared" si="76"/>
        <v>265.35657053031298</v>
      </c>
      <c r="X324" s="1"/>
      <c r="Y324" s="1"/>
      <c r="Z324" s="1"/>
      <c r="AA324" s="1"/>
      <c r="AB324" s="1"/>
      <c r="AC324" s="1"/>
      <c r="AD324" s="1"/>
      <c r="AE324" s="1"/>
    </row>
    <row r="325" spans="1:31" ht="22.05" customHeight="1">
      <c r="A325" s="1">
        <f>'01 Traffic inputs'!B275</f>
        <v>0.45308823571416484</v>
      </c>
      <c r="B325" s="1">
        <f>'01 Traffic inputs'!C275</f>
        <v>4.0672716892475704E-3</v>
      </c>
      <c r="C325" s="1">
        <f>IF('01 Traffic inputs'!$B$16&lt;=2/3,(4*A325*(1-A325))^$B$16,1-ABS(2*A325-1)^$B$17)</f>
        <v>0.97041616632541716</v>
      </c>
      <c r="D325" s="1">
        <f>IF('01 Traffic inputs'!$B$16&lt;=2/3,4*$B$16*(1-2*A325)*(4*A325*(1-A325))^($B$16-1),-2*$B$17*SIGN(2*A325-1)*ABS(2*A325-1)^($B$17-1))</f>
        <v>1.2479200640337165</v>
      </c>
      <c r="E325" s="1">
        <f t="shared" si="64"/>
        <v>19.792441662607519</v>
      </c>
      <c r="F325" s="1">
        <f t="shared" si="65"/>
        <v>7.1852549045616415E-2</v>
      </c>
      <c r="G325" s="1">
        <f t="shared" si="66"/>
        <v>1.4221373852950085</v>
      </c>
      <c r="H325" s="1">
        <f>'01 Traffic inputs'!$B$8/F325</f>
        <v>14.474086358992839</v>
      </c>
      <c r="I325" s="1">
        <f>MATCH(H325,'02 Emission rates'!$A$7:$A$15,1)</f>
        <v>1</v>
      </c>
      <c r="J325" s="1">
        <f>INDEX('02 Emission rates'!$D$7:$D$15,I325)</f>
        <v>6931.8463213424902</v>
      </c>
      <c r="K325" s="1">
        <f>INDEX('02 Emission rates'!$E$7:$E$15,I325)</f>
        <v>4.0758788464844926</v>
      </c>
      <c r="L325" s="1">
        <f>INDEX('02 Emission rates'!$F$7:$F$15,I325)</f>
        <v>62.680628166186985</v>
      </c>
      <c r="M325" s="1">
        <f>INDEX('02 Emission rates'!$G$7:$G$15,I325)</f>
        <v>2.7514068118353263</v>
      </c>
      <c r="N325" s="1">
        <f t="shared" si="67"/>
        <v>9858.0378027008319</v>
      </c>
      <c r="O325" s="1">
        <f t="shared" si="68"/>
        <v>5.7964596855186921</v>
      </c>
      <c r="P325" s="1">
        <f t="shared" si="69"/>
        <v>89.140464648909827</v>
      </c>
      <c r="Q325" s="1">
        <f t="shared" si="70"/>
        <v>3.9128784892663666</v>
      </c>
      <c r="R325" s="1">
        <f t="shared" si="71"/>
        <v>2239.7408744289819</v>
      </c>
      <c r="S325" s="1">
        <f t="shared" si="72"/>
        <v>85.471790435783618</v>
      </c>
      <c r="T325" s="1">
        <f t="shared" si="73"/>
        <v>740427.99516907812</v>
      </c>
      <c r="U325" s="1">
        <f t="shared" si="74"/>
        <v>631.26085545288959</v>
      </c>
      <c r="V325" s="1">
        <f t="shared" si="75"/>
        <v>6220.402842271289</v>
      </c>
      <c r="W325" s="1">
        <f t="shared" si="76"/>
        <v>269.26944901957933</v>
      </c>
      <c r="X325" s="1"/>
      <c r="Y325" s="1"/>
      <c r="Z325" s="1"/>
      <c r="AA325" s="1"/>
      <c r="AB325" s="1"/>
      <c r="AC325" s="1"/>
      <c r="AD325" s="1"/>
      <c r="AE325" s="1"/>
    </row>
    <row r="326" spans="1:31" ht="22.05" customHeight="1">
      <c r="A326" s="1">
        <f>'01 Traffic inputs'!B276</f>
        <v>0.45715702802190639</v>
      </c>
      <c r="B326" s="1">
        <f>'01 Traffic inputs'!C276</f>
        <v>4.0702676550559425E-3</v>
      </c>
      <c r="C326" s="1">
        <f>IF('01 Traffic inputs'!$B$16&lt;=2/3,(4*A326*(1-A326))^$B$16,1-ABS(2*A326-1)^$B$17)</f>
        <v>0.97528208271833783</v>
      </c>
      <c r="D326" s="1">
        <f>IF('01 Traffic inputs'!$B$16&lt;=2/3,4*$B$16*(1-2*A326)*(4*A326*(1-A326))^($B$16-1),-2*$B$17*SIGN(2*A326-1)*ABS(2*A326-1)^($B$17-1))</f>
        <v>1.1437134926414625</v>
      </c>
      <c r="E326" s="1">
        <f t="shared" si="64"/>
        <v>19.780842984818786</v>
      </c>
      <c r="F326" s="1">
        <f t="shared" si="65"/>
        <v>7.2131559473627899E-2</v>
      </c>
      <c r="G326" s="1">
        <f t="shared" si="66"/>
        <v>1.4268230521979515</v>
      </c>
      <c r="H326" s="1">
        <f>'01 Traffic inputs'!$B$8/F326</f>
        <v>14.418099478082906</v>
      </c>
      <c r="I326" s="1">
        <f>MATCH(H326,'02 Emission rates'!$A$7:$A$15,1)</f>
        <v>1</v>
      </c>
      <c r="J326" s="1">
        <f>INDEX('02 Emission rates'!$D$7:$D$15,I326)</f>
        <v>6931.8463213424902</v>
      </c>
      <c r="K326" s="1">
        <f>INDEX('02 Emission rates'!$E$7:$E$15,I326)</f>
        <v>4.0758788464844926</v>
      </c>
      <c r="L326" s="1">
        <f>INDEX('02 Emission rates'!$F$7:$F$15,I326)</f>
        <v>62.680628166186985</v>
      </c>
      <c r="M326" s="1">
        <f>INDEX('02 Emission rates'!$G$7:$G$15,I326)</f>
        <v>2.7514068118353263</v>
      </c>
      <c r="N326" s="1">
        <f t="shared" si="67"/>
        <v>9890.518125585033</v>
      </c>
      <c r="O326" s="1">
        <f t="shared" si="68"/>
        <v>5.8155578961300698</v>
      </c>
      <c r="P326" s="1">
        <f t="shared" si="69"/>
        <v>89.434165193763803</v>
      </c>
      <c r="Q326" s="1">
        <f t="shared" si="70"/>
        <v>3.9257706651011151</v>
      </c>
      <c r="R326" s="1">
        <f t="shared" si="71"/>
        <v>2259.5217174138006</v>
      </c>
      <c r="S326" s="1">
        <f t="shared" si="72"/>
        <v>86.898613487981564</v>
      </c>
      <c r="T326" s="1">
        <f t="shared" si="73"/>
        <v>750318.51329466316</v>
      </c>
      <c r="U326" s="1">
        <f t="shared" si="74"/>
        <v>637.07641334901962</v>
      </c>
      <c r="V326" s="1">
        <f t="shared" si="75"/>
        <v>6309.8370074650529</v>
      </c>
      <c r="W326" s="1">
        <f t="shared" si="76"/>
        <v>273.19521968468047</v>
      </c>
      <c r="X326" s="1"/>
      <c r="Y326" s="1"/>
      <c r="Z326" s="1"/>
      <c r="AA326" s="1"/>
      <c r="AB326" s="1"/>
      <c r="AC326" s="1"/>
      <c r="AD326" s="1"/>
      <c r="AE326" s="1"/>
    </row>
    <row r="327" spans="1:31" ht="22.05" customHeight="1">
      <c r="A327" s="1">
        <f>'01 Traffic inputs'!B277</f>
        <v>0.46122868044948961</v>
      </c>
      <c r="B327" s="1">
        <f>'01 Traffic inputs'!C277</f>
        <v>4.0729918971079242E-3</v>
      </c>
      <c r="C327" s="1">
        <f>IF('01 Traffic inputs'!$B$16&lt;=2/3,(4*A327*(1-A327))^$B$16,1-ABS(2*A327-1)^$B$17)</f>
        <v>0.97972472399734822</v>
      </c>
      <c r="D327" s="1">
        <f>IF('01 Traffic inputs'!$B$16&lt;=2/3,4*$B$16*(1-2*A327)*(4*A327*(1-A327))^($B$16-1),-2*$B$17*SIGN(2*A327-1)*ABS(2*A327-1)^($B$17-1))</f>
        <v>1.0383431577323254</v>
      </c>
      <c r="E327" s="1">
        <f t="shared" si="64"/>
        <v>19.76759443799191</v>
      </c>
      <c r="F327" s="1">
        <f t="shared" si="65"/>
        <v>7.2386299412555255E-2</v>
      </c>
      <c r="G327" s="1">
        <f t="shared" si="66"/>
        <v>1.4309030096544444</v>
      </c>
      <c r="H327" s="1">
        <f>'01 Traffic inputs'!$B$8/F327</f>
        <v>14.367359686018631</v>
      </c>
      <c r="I327" s="1">
        <f>MATCH(H327,'02 Emission rates'!$A$7:$A$15,1)</f>
        <v>1</v>
      </c>
      <c r="J327" s="1">
        <f>INDEX('02 Emission rates'!$D$7:$D$15,I327)</f>
        <v>6931.8463213424902</v>
      </c>
      <c r="K327" s="1">
        <f>INDEX('02 Emission rates'!$E$7:$E$15,I327)</f>
        <v>4.0758788464844926</v>
      </c>
      <c r="L327" s="1">
        <f>INDEX('02 Emission rates'!$F$7:$F$15,I327)</f>
        <v>62.680628166186985</v>
      </c>
      <c r="M327" s="1">
        <f>INDEX('02 Emission rates'!$G$7:$G$15,I327)</f>
        <v>2.7514068118353263</v>
      </c>
      <c r="N327" s="1">
        <f t="shared" si="67"/>
        <v>9918.7997636710588</v>
      </c>
      <c r="O327" s="1">
        <f t="shared" si="68"/>
        <v>5.8321873084215454</v>
      </c>
      <c r="P327" s="1">
        <f t="shared" si="69"/>
        <v>89.689899490028097</v>
      </c>
      <c r="Q327" s="1">
        <f t="shared" si="70"/>
        <v>3.936996287838908</v>
      </c>
      <c r="R327" s="1">
        <f t="shared" si="71"/>
        <v>2279.2893118517927</v>
      </c>
      <c r="S327" s="1">
        <f t="shared" si="72"/>
        <v>88.329516497636007</v>
      </c>
      <c r="T327" s="1">
        <f t="shared" si="73"/>
        <v>760237.31305833417</v>
      </c>
      <c r="U327" s="1">
        <f t="shared" si="74"/>
        <v>642.90860065744118</v>
      </c>
      <c r="V327" s="1">
        <f t="shared" si="75"/>
        <v>6399.5269069550814</v>
      </c>
      <c r="W327" s="1">
        <f t="shared" si="76"/>
        <v>277.13221597251936</v>
      </c>
      <c r="X327" s="1"/>
      <c r="Y327" s="1"/>
      <c r="Z327" s="1"/>
      <c r="AA327" s="1"/>
      <c r="AB327" s="1"/>
      <c r="AC327" s="1"/>
      <c r="AD327" s="1"/>
      <c r="AE327" s="1"/>
    </row>
    <row r="328" spans="1:31" ht="22.05" customHeight="1">
      <c r="A328" s="1">
        <f>'01 Traffic inputs'!B278</f>
        <v>0.46530292118071315</v>
      </c>
      <c r="B328" s="1">
        <f>'01 Traffic inputs'!C278</f>
        <v>4.0754442335379981E-3</v>
      </c>
      <c r="C328" s="1">
        <f>IF('01 Traffic inputs'!$B$16&lt;=2/3,(4*A328*(1-A328))^$B$16,1-ABS(2*A328-1)^$B$17)</f>
        <v>0.98373869561682548</v>
      </c>
      <c r="D328" s="1">
        <f>IF('01 Traffic inputs'!$B$16&lt;=2/3,4*$B$16*(1-2*A328)*(4*A328*(1-A328))^($B$16-1),-2*$B$17*SIGN(2*A328-1)*ABS(2*A328-1)^($B$17-1))</f>
        <v>0.93191457971460967</v>
      </c>
      <c r="E328" s="1">
        <f t="shared" si="64"/>
        <v>19.752726396584986</v>
      </c>
      <c r="F328" s="1">
        <f t="shared" si="65"/>
        <v>7.261645954050272E-2</v>
      </c>
      <c r="G328" s="1">
        <f t="shared" si="66"/>
        <v>1.4343730571922337</v>
      </c>
      <c r="H328" s="1">
        <f>'01 Traffic inputs'!$B$8/F328</f>
        <v>14.321821892458798</v>
      </c>
      <c r="I328" s="1">
        <f>MATCH(H328,'02 Emission rates'!$A$7:$A$15,1)</f>
        <v>1</v>
      </c>
      <c r="J328" s="1">
        <f>INDEX('02 Emission rates'!$D$7:$D$15,I328)</f>
        <v>6931.8463213424902</v>
      </c>
      <c r="K328" s="1">
        <f>INDEX('02 Emission rates'!$E$7:$E$15,I328)</f>
        <v>4.0758788464844926</v>
      </c>
      <c r="L328" s="1">
        <f>INDEX('02 Emission rates'!$F$7:$F$15,I328)</f>
        <v>62.680628166186985</v>
      </c>
      <c r="M328" s="1">
        <f>INDEX('02 Emission rates'!$G$7:$G$15,I328)</f>
        <v>2.7514068118353263</v>
      </c>
      <c r="N328" s="1">
        <f t="shared" si="67"/>
        <v>9942.853599930766</v>
      </c>
      <c r="O328" s="1">
        <f t="shared" si="68"/>
        <v>5.8463308017771167</v>
      </c>
      <c r="P328" s="1">
        <f t="shared" si="69"/>
        <v>89.907404249463255</v>
      </c>
      <c r="Q328" s="1">
        <f t="shared" si="70"/>
        <v>3.9465438002717739</v>
      </c>
      <c r="R328" s="1">
        <f t="shared" si="71"/>
        <v>2299.0420382483776</v>
      </c>
      <c r="S328" s="1">
        <f t="shared" si="72"/>
        <v>89.763889554828239</v>
      </c>
      <c r="T328" s="1">
        <f t="shared" si="73"/>
        <v>770180.16665826493</v>
      </c>
      <c r="U328" s="1">
        <f t="shared" si="74"/>
        <v>648.75493145921826</v>
      </c>
      <c r="V328" s="1">
        <f t="shared" si="75"/>
        <v>6489.4343112045444</v>
      </c>
      <c r="W328" s="1">
        <f t="shared" si="76"/>
        <v>281.07875977279116</v>
      </c>
      <c r="X328" s="1"/>
      <c r="Y328" s="1"/>
      <c r="Z328" s="1"/>
      <c r="AA328" s="1"/>
      <c r="AB328" s="1"/>
      <c r="AC328" s="1"/>
      <c r="AD328" s="1"/>
      <c r="AE328" s="1"/>
    </row>
    <row r="329" spans="1:31" ht="22.05" customHeight="1">
      <c r="A329" s="1">
        <f>'01 Traffic inputs'!B279</f>
        <v>0.46937947822658521</v>
      </c>
      <c r="B329" s="1">
        <f>'01 Traffic inputs'!C279</f>
        <v>4.0776245006325963E-3</v>
      </c>
      <c r="C329" s="1">
        <f>IF('01 Traffic inputs'!$B$16&lt;=2/3,(4*A329*(1-A329))^$B$16,1-ABS(2*A329-1)^$B$17)</f>
        <v>0.98731911403972938</v>
      </c>
      <c r="D329" s="1">
        <f>IF('01 Traffic inputs'!$B$16&lt;=2/3,4*$B$16*(1-2*A329)*(4*A329*(1-A329))^($B$16-1),-2*$B$17*SIGN(2*A329-1)*ABS(2*A329-1)^($B$17-1))</f>
        <v>0.82453485833889661</v>
      </c>
      <c r="E329" s="1">
        <f t="shared" si="64"/>
        <v>19.736269899111839</v>
      </c>
      <c r="F329" s="1">
        <f t="shared" si="65"/>
        <v>7.2821759836678795E-2</v>
      </c>
      <c r="G329" s="1">
        <f t="shared" si="66"/>
        <v>1.4372299066649952</v>
      </c>
      <c r="H329" s="1">
        <f>'01 Traffic inputs'!$B$8/F329</f>
        <v>14.281445577976738</v>
      </c>
      <c r="I329" s="1">
        <f>MATCH(H329,'02 Emission rates'!$A$7:$A$15,1)</f>
        <v>1</v>
      </c>
      <c r="J329" s="1">
        <f>INDEX('02 Emission rates'!$D$7:$D$15,I329)</f>
        <v>6931.8463213424902</v>
      </c>
      <c r="K329" s="1">
        <f>INDEX('02 Emission rates'!$E$7:$E$15,I329)</f>
        <v>4.0758788464844926</v>
      </c>
      <c r="L329" s="1">
        <f>INDEX('02 Emission rates'!$F$7:$F$15,I329)</f>
        <v>62.680628166186985</v>
      </c>
      <c r="M329" s="1">
        <f>INDEX('02 Emission rates'!$G$7:$G$15,I329)</f>
        <v>2.7514068118353263</v>
      </c>
      <c r="N329" s="1">
        <f t="shared" si="67"/>
        <v>9962.6568414391568</v>
      </c>
      <c r="O329" s="1">
        <f t="shared" si="68"/>
        <v>5.8579749741107356</v>
      </c>
      <c r="P329" s="1">
        <f t="shared" si="69"/>
        <v>90.086473368992188</v>
      </c>
      <c r="Q329" s="1">
        <f t="shared" si="70"/>
        <v>3.9544041553715181</v>
      </c>
      <c r="R329" s="1">
        <f t="shared" si="71"/>
        <v>2318.7783081474895</v>
      </c>
      <c r="S329" s="1">
        <f t="shared" si="72"/>
        <v>91.201119461493235</v>
      </c>
      <c r="T329" s="1">
        <f t="shared" si="73"/>
        <v>780142.82349970413</v>
      </c>
      <c r="U329" s="1">
        <f t="shared" si="74"/>
        <v>654.61290643332904</v>
      </c>
      <c r="V329" s="1">
        <f t="shared" si="75"/>
        <v>6579.5207845735367</v>
      </c>
      <c r="W329" s="1">
        <f t="shared" si="76"/>
        <v>285.03316392816265</v>
      </c>
      <c r="X329" s="1"/>
      <c r="Y329" s="1"/>
      <c r="Z329" s="1"/>
      <c r="AA329" s="1"/>
      <c r="AB329" s="1"/>
      <c r="AC329" s="1"/>
      <c r="AD329" s="1"/>
      <c r="AE329" s="1"/>
    </row>
    <row r="330" spans="1:31" ht="22.05" customHeight="1">
      <c r="A330" s="1">
        <f>'01 Traffic inputs'!B280</f>
        <v>0.47345807944348089</v>
      </c>
      <c r="B330" s="1">
        <f>'01 Traffic inputs'!C280</f>
        <v>4.0795325528410111E-3</v>
      </c>
      <c r="C330" s="1">
        <f>IF('01 Traffic inputs'!$B$16&lt;=2/3,(4*A330*(1-A330))^$B$16,1-ABS(2*A330-1)^$B$17)</f>
        <v>0.99046161562703483</v>
      </c>
      <c r="D330" s="1">
        <f>IF('01 Traffic inputs'!$B$16&lt;=2/3,4*$B$16*(1-2*A330)*(4*A330*(1-A330))^($B$16-1),-2*$B$17*SIGN(2*A330-1)*ABS(2*A330-1)^($B$17-1))</f>
        <v>0.71631251427746934</v>
      </c>
      <c r="E330" s="1">
        <f t="shared" si="64"/>
        <v>19.718256591029775</v>
      </c>
      <c r="F330" s="1">
        <f t="shared" si="65"/>
        <v>7.3001950091114015E-2</v>
      </c>
      <c r="G330" s="1">
        <f t="shared" si="66"/>
        <v>1.4394711835421357</v>
      </c>
      <c r="H330" s="1">
        <f>'01 Traffic inputs'!$B$8/F330</f>
        <v>14.2461947756463</v>
      </c>
      <c r="I330" s="1">
        <f>MATCH(H330,'02 Emission rates'!$A$7:$A$15,1)</f>
        <v>1</v>
      </c>
      <c r="J330" s="1">
        <f>INDEX('02 Emission rates'!$D$7:$D$15,I330)</f>
        <v>6931.8463213424902</v>
      </c>
      <c r="K330" s="1">
        <f>INDEX('02 Emission rates'!$E$7:$E$15,I330)</f>
        <v>4.0758788464844926</v>
      </c>
      <c r="L330" s="1">
        <f>INDEX('02 Emission rates'!$F$7:$F$15,I330)</f>
        <v>62.680628166186985</v>
      </c>
      <c r="M330" s="1">
        <f>INDEX('02 Emission rates'!$G$7:$G$15,I330)</f>
        <v>2.7514068118353263</v>
      </c>
      <c r="N330" s="1">
        <f t="shared" si="67"/>
        <v>9978.1930283150741</v>
      </c>
      <c r="O330" s="1">
        <f t="shared" si="68"/>
        <v>5.8671101471233875</v>
      </c>
      <c r="P330" s="1">
        <f t="shared" si="69"/>
        <v>90.226958011545705</v>
      </c>
      <c r="Q330" s="1">
        <f t="shared" si="70"/>
        <v>3.9605708198384915</v>
      </c>
      <c r="R330" s="1">
        <f t="shared" si="71"/>
        <v>2338.4965647385193</v>
      </c>
      <c r="S330" s="1">
        <f t="shared" si="72"/>
        <v>92.640590645035374</v>
      </c>
      <c r="T330" s="1">
        <f t="shared" si="73"/>
        <v>790121.01652801922</v>
      </c>
      <c r="U330" s="1">
        <f t="shared" si="74"/>
        <v>660.48001658045246</v>
      </c>
      <c r="V330" s="1">
        <f t="shared" si="75"/>
        <v>6669.7477425850821</v>
      </c>
      <c r="W330" s="1">
        <f t="shared" si="76"/>
        <v>288.99373474800115</v>
      </c>
      <c r="X330" s="1"/>
      <c r="Y330" s="1"/>
      <c r="Z330" s="1"/>
      <c r="AA330" s="1"/>
      <c r="AB330" s="1"/>
      <c r="AC330" s="1"/>
      <c r="AD330" s="1"/>
      <c r="AE330" s="1"/>
    </row>
    <row r="331" spans="1:31" ht="22.05" customHeight="1">
      <c r="A331" s="1">
        <f>'01 Traffic inputs'!B281</f>
        <v>0.47753845255131028</v>
      </c>
      <c r="B331" s="1">
        <f>'01 Traffic inputs'!C281</f>
        <v>4.0811682627850876E-3</v>
      </c>
      <c r="C331" s="1">
        <f>IF('01 Traffic inputs'!$B$16&lt;=2/3,(4*A331*(1-A331))^$B$16,1-ABS(2*A331-1)^$B$17)</f>
        <v>0.99316236459119245</v>
      </c>
      <c r="D331" s="1">
        <f>IF('01 Traffic inputs'!$B$16&lt;=2/3,4*$B$16*(1-2*A331)*(4*A331*(1-A331))^($B$16-1),-2*$B$17*SIGN(2*A331-1)*ABS(2*A331-1)^($B$17-1))</f>
        <v>0.60735732811634713</v>
      </c>
      <c r="E331" s="1">
        <f t="shared" si="64"/>
        <v>19.698718666438893</v>
      </c>
      <c r="F331" s="1">
        <f t="shared" si="65"/>
        <v>7.3156810360710423E-2</v>
      </c>
      <c r="G331" s="1">
        <f t="shared" si="66"/>
        <v>1.4410954258296567</v>
      </c>
      <c r="H331" s="1">
        <f>'01 Traffic inputs'!$B$8/F331</f>
        <v>14.216038054039636</v>
      </c>
      <c r="I331" s="1">
        <f>MATCH(H331,'02 Emission rates'!$A$7:$A$15,1)</f>
        <v>1</v>
      </c>
      <c r="J331" s="1">
        <f>INDEX('02 Emission rates'!$D$7:$D$15,I331)</f>
        <v>6931.8463213424902</v>
      </c>
      <c r="K331" s="1">
        <f>INDEX('02 Emission rates'!$E$7:$E$15,I331)</f>
        <v>4.0758788464844926</v>
      </c>
      <c r="L331" s="1">
        <f>INDEX('02 Emission rates'!$F$7:$F$15,I331)</f>
        <v>62.680628166186985</v>
      </c>
      <c r="M331" s="1">
        <f>INDEX('02 Emission rates'!$G$7:$G$15,I331)</f>
        <v>2.7514068118353263</v>
      </c>
      <c r="N331" s="1">
        <f t="shared" si="67"/>
        <v>9989.452026240795</v>
      </c>
      <c r="O331" s="1">
        <f t="shared" si="68"/>
        <v>5.8737303619046592</v>
      </c>
      <c r="P331" s="1">
        <f t="shared" si="69"/>
        <v>90.328766538421604</v>
      </c>
      <c r="Q331" s="1">
        <f t="shared" si="70"/>
        <v>3.9650397711324477</v>
      </c>
      <c r="R331" s="1">
        <f t="shared" si="71"/>
        <v>2358.195283404958</v>
      </c>
      <c r="S331" s="1">
        <f t="shared" si="72"/>
        <v>94.081686070865032</v>
      </c>
      <c r="T331" s="1">
        <f t="shared" si="73"/>
        <v>800110.46855425998</v>
      </c>
      <c r="U331" s="1">
        <f t="shared" si="74"/>
        <v>666.35374694235713</v>
      </c>
      <c r="V331" s="1">
        <f t="shared" si="75"/>
        <v>6760.0765091235035</v>
      </c>
      <c r="W331" s="1">
        <f t="shared" si="76"/>
        <v>292.95877451913361</v>
      </c>
      <c r="X331" s="1"/>
      <c r="Y331" s="1"/>
      <c r="Z331" s="1"/>
      <c r="AA331" s="1"/>
      <c r="AB331" s="1"/>
      <c r="AC331" s="1"/>
      <c r="AD331" s="1"/>
      <c r="AE331" s="1"/>
    </row>
    <row r="332" spans="1:31" ht="22.05" customHeight="1">
      <c r="A332" s="1">
        <f>'01 Traffic inputs'!B282</f>
        <v>0.48162032515169506</v>
      </c>
      <c r="B332" s="1">
        <f>'01 Traffic inputs'!C282</f>
        <v>4.0825315212677776E-3</v>
      </c>
      <c r="C332" s="1">
        <f>IF('01 Traffic inputs'!$B$16&lt;=2/3,(4*A332*(1-A332))^$B$16,1-ABS(2*A332-1)^$B$17)</f>
        <v>0.99541805999553012</v>
      </c>
      <c r="D332" s="1">
        <f>IF('01 Traffic inputs'!$B$16&lt;=2/3,4*$B$16*(1-2*A332)*(4*A332*(1-A332))^($B$16-1),-2*$B$17*SIGN(2*A332-1)*ABS(2*A332-1)^($B$17-1))</f>
        <v>0.49778017705187921</v>
      </c>
      <c r="E332" s="1">
        <f t="shared" si="64"/>
        <v>19.677688808725286</v>
      </c>
      <c r="F332" s="1">
        <f t="shared" si="65"/>
        <v>7.3286151370585445E-2</v>
      </c>
      <c r="G332" s="1">
        <f t="shared" si="66"/>
        <v>1.4421020806595164</v>
      </c>
      <c r="H332" s="1">
        <f>'01 Traffic inputs'!$B$8/F332</f>
        <v>14.190948501867174</v>
      </c>
      <c r="I332" s="1">
        <f>MATCH(H332,'02 Emission rates'!$A$7:$A$15,1)</f>
        <v>1</v>
      </c>
      <c r="J332" s="1">
        <f>INDEX('02 Emission rates'!$D$7:$D$15,I332)</f>
        <v>6931.8463213424902</v>
      </c>
      <c r="K332" s="1">
        <f>INDEX('02 Emission rates'!$E$7:$E$15,I332)</f>
        <v>4.0758788464844926</v>
      </c>
      <c r="L332" s="1">
        <f>INDEX('02 Emission rates'!$F$7:$F$15,I332)</f>
        <v>62.680628166186985</v>
      </c>
      <c r="M332" s="1">
        <f>INDEX('02 Emission rates'!$G$7:$G$15,I332)</f>
        <v>2.7514068118353263</v>
      </c>
      <c r="N332" s="1">
        <f t="shared" si="67"/>
        <v>9996.4300028200196</v>
      </c>
      <c r="O332" s="1">
        <f t="shared" si="68"/>
        <v>5.8778333650313961</v>
      </c>
      <c r="P332" s="1">
        <f t="shared" si="69"/>
        <v>90.391864295503737</v>
      </c>
      <c r="Q332" s="1">
        <f t="shared" si="70"/>
        <v>3.9678094880884904</v>
      </c>
      <c r="R332" s="1">
        <f t="shared" si="71"/>
        <v>2377.8729722136832</v>
      </c>
      <c r="S332" s="1">
        <f t="shared" si="72"/>
        <v>95.523788151524542</v>
      </c>
      <c r="T332" s="1">
        <f t="shared" si="73"/>
        <v>810106.89855707996</v>
      </c>
      <c r="U332" s="1">
        <f t="shared" si="74"/>
        <v>672.23158030738853</v>
      </c>
      <c r="V332" s="1">
        <f t="shared" si="75"/>
        <v>6850.4683734190075</v>
      </c>
      <c r="W332" s="1">
        <f t="shared" si="76"/>
        <v>296.92658400722212</v>
      </c>
      <c r="X332" s="1"/>
      <c r="Y332" s="1"/>
      <c r="Z332" s="1"/>
      <c r="AA332" s="1"/>
      <c r="AB332" s="1"/>
      <c r="AC332" s="1"/>
      <c r="AD332" s="1"/>
      <c r="AE332" s="1"/>
    </row>
    <row r="333" spans="1:31" ht="22.05" customHeight="1">
      <c r="A333" s="1">
        <f>'01 Traffic inputs'!B283</f>
        <v>0.48570342474615358</v>
      </c>
      <c r="B333" s="1">
        <f>'01 Traffic inputs'!C283</f>
        <v>4.0836222372804066E-3</v>
      </c>
      <c r="C333" s="1">
        <f>IF('01 Traffic inputs'!$B$16&lt;=2/3,(4*A333*(1-A333))^$B$16,1-ABS(2*A333-1)^$B$17)</f>
        <v>0.99722594178364898</v>
      </c>
      <c r="D333" s="1">
        <f>IF('01 Traffic inputs'!$B$16&lt;=2/3,4*$B$16*(1-2*A333)*(4*A333*(1-A333))^($B$16-1),-2*$B$17*SIGN(2*A333-1)*ABS(2*A333-1)^($B$17-1))</f>
        <v>0.38769286958842242</v>
      </c>
      <c r="E333" s="1">
        <f t="shared" si="64"/>
        <v>19.655200130281845</v>
      </c>
      <c r="F333" s="1">
        <f t="shared" si="65"/>
        <v>7.3389814859796038E-2</v>
      </c>
      <c r="G333" s="1">
        <f t="shared" si="66"/>
        <v>1.4424914985936235</v>
      </c>
      <c r="H333" s="1">
        <f>'01 Traffic inputs'!$B$8/F333</f>
        <v>14.170903714457344</v>
      </c>
      <c r="I333" s="1">
        <f>MATCH(H333,'02 Emission rates'!$A$7:$A$15,1)</f>
        <v>1</v>
      </c>
      <c r="J333" s="1">
        <f>INDEX('02 Emission rates'!$D$7:$D$15,I333)</f>
        <v>6931.8463213424902</v>
      </c>
      <c r="K333" s="1">
        <f>INDEX('02 Emission rates'!$E$7:$E$15,I333)</f>
        <v>4.0758788464844926</v>
      </c>
      <c r="L333" s="1">
        <f>INDEX('02 Emission rates'!$F$7:$F$15,I333)</f>
        <v>62.680628166186985</v>
      </c>
      <c r="M333" s="1">
        <f>INDEX('02 Emission rates'!$G$7:$G$15,I333)</f>
        <v>2.7514068118353263</v>
      </c>
      <c r="N333" s="1">
        <f t="shared" si="67"/>
        <v>9999.1293880940248</v>
      </c>
      <c r="O333" s="1">
        <f t="shared" si="68"/>
        <v>5.8794205853514647</v>
      </c>
      <c r="P333" s="1">
        <f t="shared" si="69"/>
        <v>90.416273256232742</v>
      </c>
      <c r="Q333" s="1">
        <f t="shared" si="70"/>
        <v>3.9688809352450436</v>
      </c>
      <c r="R333" s="1">
        <f t="shared" si="71"/>
        <v>2397.5281723439648</v>
      </c>
      <c r="S333" s="1">
        <f t="shared" si="72"/>
        <v>96.966279650118167</v>
      </c>
      <c r="T333" s="1">
        <f t="shared" si="73"/>
        <v>820106.02794517402</v>
      </c>
      <c r="U333" s="1">
        <f t="shared" si="74"/>
        <v>678.11100089273998</v>
      </c>
      <c r="V333" s="1">
        <f t="shared" si="75"/>
        <v>6940.8846466752402</v>
      </c>
      <c r="W333" s="1">
        <f t="shared" si="76"/>
        <v>300.89546494246719</v>
      </c>
      <c r="X333" s="1"/>
      <c r="Y333" s="1"/>
      <c r="Z333" s="1"/>
      <c r="AA333" s="1"/>
      <c r="AB333" s="1"/>
      <c r="AC333" s="1"/>
      <c r="AD333" s="1"/>
      <c r="AE333" s="1"/>
    </row>
    <row r="334" spans="1:31" ht="22.05" customHeight="1">
      <c r="A334" s="1">
        <f>'01 Traffic inputs'!B284</f>
        <v>0.48978747875429213</v>
      </c>
      <c r="B334" s="1">
        <f>'01 Traffic inputs'!C284</f>
        <v>4.0844403380087208E-3</v>
      </c>
      <c r="C334" s="1">
        <f>IF('01 Traffic inputs'!$B$16&lt;=2/3,(4*A334*(1-A334))^$B$16,1-ABS(2*A334-1)^$B$17)</f>
        <v>0.99858379582507317</v>
      </c>
      <c r="D334" s="1">
        <f>IF('01 Traffic inputs'!$B$16&lt;=2/3,4*$B$16*(1-2*A334)*(4*A334*(1-A334))^($B$16-1),-2*$B$17*SIGN(2*A334-1)*ABS(2*A334-1)^($B$17-1))</f>
        <v>0.27720797853774437</v>
      </c>
      <c r="E334" s="1">
        <f t="shared" si="64"/>
        <v>19.631286111443874</v>
      </c>
      <c r="F334" s="1">
        <f t="shared" si="65"/>
        <v>7.3467673870654948E-2</v>
      </c>
      <c r="G334" s="1">
        <f t="shared" si="66"/>
        <v>1.4422649256970765</v>
      </c>
      <c r="H334" s="1">
        <f>'01 Traffic inputs'!$B$8/F334</f>
        <v>14.155885782242327</v>
      </c>
      <c r="I334" s="1">
        <f>MATCH(H334,'02 Emission rates'!$A$7:$A$15,1)</f>
        <v>1</v>
      </c>
      <c r="J334" s="1">
        <f>INDEX('02 Emission rates'!$D$7:$D$15,I334)</f>
        <v>6931.8463213424902</v>
      </c>
      <c r="K334" s="1">
        <f>INDEX('02 Emission rates'!$E$7:$E$15,I334)</f>
        <v>4.0758788464844926</v>
      </c>
      <c r="L334" s="1">
        <f>INDEX('02 Emission rates'!$F$7:$F$15,I334)</f>
        <v>62.680628166186985</v>
      </c>
      <c r="M334" s="1">
        <f>INDEX('02 Emission rates'!$G$7:$G$15,I334)</f>
        <v>2.7514068118353263</v>
      </c>
      <c r="N334" s="1">
        <f t="shared" si="67"/>
        <v>9997.5588195945802</v>
      </c>
      <c r="O334" s="1">
        <f t="shared" si="68"/>
        <v>5.8784971016752428</v>
      </c>
      <c r="P334" s="1">
        <f t="shared" si="69"/>
        <v>90.402071524751747</v>
      </c>
      <c r="Q334" s="1">
        <f t="shared" si="70"/>
        <v>3.9682575410341072</v>
      </c>
      <c r="R334" s="1">
        <f t="shared" si="71"/>
        <v>2417.1594584554086</v>
      </c>
      <c r="S334" s="1">
        <f t="shared" si="72"/>
        <v>98.408544575815242</v>
      </c>
      <c r="T334" s="1">
        <f t="shared" si="73"/>
        <v>830103.58676476858</v>
      </c>
      <c r="U334" s="1">
        <f t="shared" si="74"/>
        <v>683.98949799441527</v>
      </c>
      <c r="V334" s="1">
        <f t="shared" si="75"/>
        <v>7031.2867181999918</v>
      </c>
      <c r="W334" s="1">
        <f t="shared" si="76"/>
        <v>304.86372248350131</v>
      </c>
      <c r="X334" s="1"/>
      <c r="Y334" s="1"/>
      <c r="Z334" s="1"/>
      <c r="AA334" s="1"/>
      <c r="AB334" s="1"/>
      <c r="AC334" s="1"/>
      <c r="AD334" s="1"/>
      <c r="AE334" s="1"/>
    </row>
    <row r="335" spans="1:31" ht="22.05" customHeight="1">
      <c r="A335" s="1">
        <f>'01 Traffic inputs'!B285</f>
        <v>0.49387221453200225</v>
      </c>
      <c r="B335" s="1">
        <f>'01 Traffic inputs'!C285</f>
        <v>4.0849857688377801E-3</v>
      </c>
      <c r="C335" s="1">
        <f>IF('01 Traffic inputs'!$B$16&lt;=2/3,(4*A335*(1-A335))^$B$16,1-ABS(2*A335-1)^$B$17)</f>
        <v>0.99948995796566287</v>
      </c>
      <c r="D335" s="1">
        <f>IF('01 Traffic inputs'!$B$16&lt;=2/3,4*$B$16*(1-2*A335)*(4*A335*(1-A335))^($B$16-1),-2*$B$17*SIGN(2*A335-1)*ABS(2*A335-1)^($B$17-1))</f>
        <v>0.16643867262418949</v>
      </c>
      <c r="E335" s="1">
        <f t="shared" si="64"/>
        <v>19.605980538778766</v>
      </c>
      <c r="F335" s="1">
        <f t="shared" si="65"/>
        <v>7.3519632980980298E-2</v>
      </c>
      <c r="G335" s="1">
        <f t="shared" si="66"/>
        <v>1.4414244934432572</v>
      </c>
      <c r="H335" s="1">
        <f>'01 Traffic inputs'!$B$8/F335</f>
        <v>14.145881281386034</v>
      </c>
      <c r="I335" s="1">
        <f>MATCH(H335,'02 Emission rates'!$A$7:$A$15,1)</f>
        <v>1</v>
      </c>
      <c r="J335" s="1">
        <f>INDEX('02 Emission rates'!$D$7:$D$15,I335)</f>
        <v>6931.8463213424902</v>
      </c>
      <c r="K335" s="1">
        <f>INDEX('02 Emission rates'!$E$7:$E$15,I335)</f>
        <v>4.0758788464844926</v>
      </c>
      <c r="L335" s="1">
        <f>INDEX('02 Emission rates'!$F$7:$F$15,I335)</f>
        <v>62.680628166186985</v>
      </c>
      <c r="M335" s="1">
        <f>INDEX('02 Emission rates'!$G$7:$G$15,I335)</f>
        <v>2.7514068118353263</v>
      </c>
      <c r="N335" s="1">
        <f t="shared" si="67"/>
        <v>9991.7330723676041</v>
      </c>
      <c r="O335" s="1">
        <f t="shared" si="68"/>
        <v>5.8750716016299975</v>
      </c>
      <c r="P335" s="1">
        <f t="shared" si="69"/>
        <v>90.349392703151238</v>
      </c>
      <c r="Q335" s="1">
        <f t="shared" si="70"/>
        <v>3.9659451700060626</v>
      </c>
      <c r="R335" s="1">
        <f t="shared" si="71"/>
        <v>2436.7654389941872</v>
      </c>
      <c r="S335" s="1">
        <f t="shared" si="72"/>
        <v>99.849969069258492</v>
      </c>
      <c r="T335" s="1">
        <f t="shared" si="73"/>
        <v>840095.31983713619</v>
      </c>
      <c r="U335" s="1">
        <f t="shared" si="74"/>
        <v>689.86456959604527</v>
      </c>
      <c r="V335" s="1">
        <f t="shared" si="75"/>
        <v>7121.6361109031432</v>
      </c>
      <c r="W335" s="1">
        <f t="shared" si="76"/>
        <v>308.82966765350739</v>
      </c>
      <c r="X335" s="1"/>
      <c r="Y335" s="1"/>
      <c r="Z335" s="1"/>
      <c r="AA335" s="1"/>
      <c r="AB335" s="1"/>
      <c r="AC335" s="1"/>
      <c r="AD335" s="1"/>
      <c r="AE335" s="1"/>
    </row>
    <row r="336" spans="1:31" ht="22.05" customHeight="1">
      <c r="A336" s="1">
        <f>'01 Traffic inputs'!B286</f>
        <v>0.49795735938966157</v>
      </c>
      <c r="B336" s="1">
        <f>'01 Traffic inputs'!C286</f>
        <v>4.0852584933556094E-3</v>
      </c>
      <c r="C336" s="1">
        <f>IF('01 Traffic inputs'!$B$16&lt;=2/3,(4*A336*(1-A336))^$B$16,1-ABS(2*A336-1)^$B$17)</f>
        <v>0.99994331707353024</v>
      </c>
      <c r="D336" s="1">
        <f>IF('01 Traffic inputs'!$B$16&lt;=2/3,4*$B$16*(1-2*A336)*(4*A336*(1-A336))^($B$16-1),-2*$B$17*SIGN(2*A336-1)*ABS(2*A336-1)^($B$17-1))</f>
        <v>5.5498547002519112E-2</v>
      </c>
      <c r="E336" s="1">
        <f t="shared" si="64"/>
        <v>19.579317442869932</v>
      </c>
      <c r="F336" s="1">
        <f t="shared" si="65"/>
        <v>7.3545628478747793E-2</v>
      </c>
      <c r="G336" s="1">
        <f t="shared" si="66"/>
        <v>1.4399732065207784</v>
      </c>
      <c r="H336" s="1">
        <f>'01 Traffic inputs'!$B$8/F336</f>
        <v>14.14088126666217</v>
      </c>
      <c r="I336" s="1">
        <f>MATCH(H336,'02 Emission rates'!$A$7:$A$15,1)</f>
        <v>1</v>
      </c>
      <c r="J336" s="1">
        <f>INDEX('02 Emission rates'!$D$7:$D$15,I336)</f>
        <v>6931.8463213424902</v>
      </c>
      <c r="K336" s="1">
        <f>INDEX('02 Emission rates'!$E$7:$E$15,I336)</f>
        <v>4.0758788464844926</v>
      </c>
      <c r="L336" s="1">
        <f>INDEX('02 Emission rates'!$F$7:$F$15,I336)</f>
        <v>62.680628166186985</v>
      </c>
      <c r="M336" s="1">
        <f>INDEX('02 Emission rates'!$G$7:$G$15,I336)</f>
        <v>2.7514068118353263</v>
      </c>
      <c r="N336" s="1">
        <f t="shared" si="67"/>
        <v>9981.6729744528075</v>
      </c>
      <c r="O336" s="1">
        <f t="shared" si="68"/>
        <v>5.8691563319624862</v>
      </c>
      <c r="P336" s="1">
        <f t="shared" si="69"/>
        <v>90.258425127200894</v>
      </c>
      <c r="Q336" s="1">
        <f t="shared" si="70"/>
        <v>3.9619520892816267</v>
      </c>
      <c r="R336" s="1">
        <f t="shared" si="71"/>
        <v>2456.3447564370572</v>
      </c>
      <c r="S336" s="1">
        <f t="shared" si="72"/>
        <v>101.28994227577927</v>
      </c>
      <c r="T336" s="1">
        <f t="shared" si="73"/>
        <v>850076.99281158904</v>
      </c>
      <c r="U336" s="1">
        <f t="shared" si="74"/>
        <v>695.73372592800774</v>
      </c>
      <c r="V336" s="1">
        <f t="shared" si="75"/>
        <v>7211.8945360303442</v>
      </c>
      <c r="W336" s="1">
        <f t="shared" si="76"/>
        <v>312.79161974278901</v>
      </c>
      <c r="X336" s="1"/>
      <c r="Y336" s="1"/>
      <c r="Z336" s="1"/>
      <c r="AA336" s="1"/>
      <c r="AB336" s="1"/>
      <c r="AC336" s="1"/>
      <c r="AD336" s="1"/>
      <c r="AE336" s="1"/>
    </row>
    <row r="337" spans="1:31" ht="22.05" customHeight="1">
      <c r="A337" s="1">
        <f>'01 Traffic inputs'!B287</f>
        <v>0.50204264061033843</v>
      </c>
      <c r="B337" s="1">
        <f>'01 Traffic inputs'!C287</f>
        <v>4.0852584933556094E-3</v>
      </c>
      <c r="C337" s="1">
        <f>IF('01 Traffic inputs'!$B$16&lt;=2/3,(4*A337*(1-A337))^$B$16,1-ABS(2*A337-1)^$B$17)</f>
        <v>0.99994331707353024</v>
      </c>
      <c r="D337" s="1">
        <f>IF('01 Traffic inputs'!$B$16&lt;=2/3,4*$B$16*(1-2*A337)*(4*A337*(1-A337))^($B$16-1),-2*$B$17*SIGN(2*A337-1)*ABS(2*A337-1)^($B$17-1))</f>
        <v>-5.5498547002519112E-2</v>
      </c>
      <c r="E337" s="1">
        <f t="shared" ref="E337:E400" si="77">$B$7*B337*(1+$B$11/$B$9*D337)</f>
        <v>19.551331035736784</v>
      </c>
      <c r="F337" s="1">
        <f t="shared" ref="F337:F400" si="78">$B$10+$B$11*C337</f>
        <v>7.3545628478747793E-2</v>
      </c>
      <c r="G337" s="1">
        <f t="shared" ref="G337:G400" si="79">E337*F337</f>
        <v>1.4379149286193087</v>
      </c>
      <c r="H337" s="1">
        <f>'01 Traffic inputs'!$B$8/F337</f>
        <v>14.14088126666217</v>
      </c>
      <c r="I337" s="1">
        <f>MATCH(H337,'02 Emission rates'!$A$7:$A$15,1)</f>
        <v>1</v>
      </c>
      <c r="J337" s="1">
        <f>INDEX('02 Emission rates'!$D$7:$D$15,I337)</f>
        <v>6931.8463213424902</v>
      </c>
      <c r="K337" s="1">
        <f>INDEX('02 Emission rates'!$E$7:$E$15,I337)</f>
        <v>4.0758788464844926</v>
      </c>
      <c r="L337" s="1">
        <f>INDEX('02 Emission rates'!$F$7:$F$15,I337)</f>
        <v>62.680628166186985</v>
      </c>
      <c r="M337" s="1">
        <f>INDEX('02 Emission rates'!$G$7:$G$15,I337)</f>
        <v>2.7514068118353263</v>
      </c>
      <c r="N337" s="1">
        <f t="shared" ref="N337:N400" si="80">G337*J337</f>
        <v>9967.4053083532035</v>
      </c>
      <c r="O337" s="1">
        <f t="shared" ref="O337:O400" si="81">G337*K337</f>
        <v>5.8607670406036991</v>
      </c>
      <c r="P337" s="1">
        <f t="shared" ref="P337:P400" si="82">G337*L337</f>
        <v>90.129410975396183</v>
      </c>
      <c r="Q337" s="1">
        <f t="shared" ref="Q337:Q400" si="83">G337*M337</f>
        <v>3.9562889294428731</v>
      </c>
      <c r="R337" s="1">
        <f t="shared" ref="R337:R400" si="84">R336+E337</f>
        <v>2475.8960874727941</v>
      </c>
      <c r="S337" s="1">
        <f t="shared" ref="S337:S400" si="85">S336+G337</f>
        <v>102.72785720439857</v>
      </c>
      <c r="T337" s="1">
        <f t="shared" ref="T337:T400" si="86">T336+N337</f>
        <v>860044.39811994229</v>
      </c>
      <c r="U337" s="1">
        <f t="shared" ref="U337:U400" si="87">U336+O337</f>
        <v>701.59449296861146</v>
      </c>
      <c r="V337" s="1">
        <f t="shared" ref="V337:V400" si="88">V336+P337</f>
        <v>7302.0239470057404</v>
      </c>
      <c r="W337" s="1">
        <f t="shared" ref="W337:W400" si="89">W336+Q337</f>
        <v>316.74790867223186</v>
      </c>
      <c r="X337" s="1"/>
      <c r="Y337" s="1"/>
      <c r="Z337" s="1"/>
      <c r="AA337" s="1"/>
      <c r="AB337" s="1"/>
      <c r="AC337" s="1"/>
      <c r="AD337" s="1"/>
      <c r="AE337" s="1"/>
    </row>
    <row r="338" spans="1:31" ht="22.05" customHeight="1">
      <c r="A338" s="1">
        <f>'01 Traffic inputs'!B288</f>
        <v>0.50612778546799775</v>
      </c>
      <c r="B338" s="1">
        <f>'01 Traffic inputs'!C288</f>
        <v>4.0849857688377801E-3</v>
      </c>
      <c r="C338" s="1">
        <f>IF('01 Traffic inputs'!$B$16&lt;=2/3,(4*A338*(1-A338))^$B$16,1-ABS(2*A338-1)^$B$17)</f>
        <v>0.99948995796566287</v>
      </c>
      <c r="D338" s="1">
        <f>IF('01 Traffic inputs'!$B$16&lt;=2/3,4*$B$16*(1-2*A338)*(4*A338*(1-A338))^($B$16-1),-2*$B$17*SIGN(2*A338-1)*ABS(2*A338-1)^($B$17-1))</f>
        <v>-0.16643867262418949</v>
      </c>
      <c r="E338" s="1">
        <f t="shared" si="77"/>
        <v>19.52205564803392</v>
      </c>
      <c r="F338" s="1">
        <f t="shared" si="78"/>
        <v>7.3519632980980298E-2</v>
      </c>
      <c r="G338" s="1">
        <f t="shared" si="79"/>
        <v>1.4352543662777273</v>
      </c>
      <c r="H338" s="1">
        <f>'01 Traffic inputs'!$B$8/F338</f>
        <v>14.145881281386034</v>
      </c>
      <c r="I338" s="1">
        <f>MATCH(H338,'02 Emission rates'!$A$7:$A$15,1)</f>
        <v>1</v>
      </c>
      <c r="J338" s="1">
        <f>INDEX('02 Emission rates'!$D$7:$D$15,I338)</f>
        <v>6931.8463213424902</v>
      </c>
      <c r="K338" s="1">
        <f>INDEX('02 Emission rates'!$E$7:$E$15,I338)</f>
        <v>4.0758788464844926</v>
      </c>
      <c r="L338" s="1">
        <f>INDEX('02 Emission rates'!$F$7:$F$15,I338)</f>
        <v>62.680628166186985</v>
      </c>
      <c r="M338" s="1">
        <f>INDEX('02 Emission rates'!$G$7:$G$15,I338)</f>
        <v>2.7514068118353263</v>
      </c>
      <c r="N338" s="1">
        <f t="shared" si="80"/>
        <v>9948.9626990730103</v>
      </c>
      <c r="O338" s="1">
        <f t="shared" si="81"/>
        <v>5.849922910835895</v>
      </c>
      <c r="P338" s="1">
        <f t="shared" si="82"/>
        <v>89.962645256550559</v>
      </c>
      <c r="Q338" s="1">
        <f t="shared" si="83"/>
        <v>3.9489686400929331</v>
      </c>
      <c r="R338" s="1">
        <f t="shared" si="84"/>
        <v>2495.4181431208281</v>
      </c>
      <c r="S338" s="1">
        <f t="shared" si="85"/>
        <v>104.16311157067631</v>
      </c>
      <c r="T338" s="1">
        <f t="shared" si="86"/>
        <v>869993.3608190153</v>
      </c>
      <c r="U338" s="1">
        <f t="shared" si="87"/>
        <v>707.44441587944732</v>
      </c>
      <c r="V338" s="1">
        <f t="shared" si="88"/>
        <v>7391.9865922622912</v>
      </c>
      <c r="W338" s="1">
        <f t="shared" si="89"/>
        <v>320.69687731232477</v>
      </c>
      <c r="X338" s="1"/>
      <c r="Y338" s="1"/>
      <c r="Z338" s="1"/>
      <c r="AA338" s="1"/>
      <c r="AB338" s="1"/>
      <c r="AC338" s="1"/>
      <c r="AD338" s="1"/>
      <c r="AE338" s="1"/>
    </row>
    <row r="339" spans="1:31" ht="22.05" customHeight="1">
      <c r="A339" s="1">
        <f>'01 Traffic inputs'!B289</f>
        <v>0.51021252124570782</v>
      </c>
      <c r="B339" s="1">
        <f>'01 Traffic inputs'!C289</f>
        <v>4.0844403380087208E-3</v>
      </c>
      <c r="C339" s="1">
        <f>IF('01 Traffic inputs'!$B$16&lt;=2/3,(4*A339*(1-A339))^$B$16,1-ABS(2*A339-1)^$B$17)</f>
        <v>0.99858379582507351</v>
      </c>
      <c r="D339" s="1">
        <f>IF('01 Traffic inputs'!$B$16&lt;=2/3,4*$B$16*(1-2*A339)*(4*A339*(1-A339))^($B$16-1),-2*$B$17*SIGN(2*A339-1)*ABS(2*A339-1)^($B$17-1))</f>
        <v>-0.27720797853774298</v>
      </c>
      <c r="E339" s="1">
        <f t="shared" si="77"/>
        <v>19.491525666172667</v>
      </c>
      <c r="F339" s="1">
        <f t="shared" si="78"/>
        <v>7.3467673870654962E-2</v>
      </c>
      <c r="G339" s="1">
        <f t="shared" si="79"/>
        <v>1.4319970508838742</v>
      </c>
      <c r="H339" s="1">
        <f>'01 Traffic inputs'!$B$8/F339</f>
        <v>14.155885782242324</v>
      </c>
      <c r="I339" s="1">
        <f>MATCH(H339,'02 Emission rates'!$A$7:$A$15,1)</f>
        <v>1</v>
      </c>
      <c r="J339" s="1">
        <f>INDEX('02 Emission rates'!$D$7:$D$15,I339)</f>
        <v>6931.8463213424902</v>
      </c>
      <c r="K339" s="1">
        <f>INDEX('02 Emission rates'!$E$7:$E$15,I339)</f>
        <v>4.0758788464844926</v>
      </c>
      <c r="L339" s="1">
        <f>INDEX('02 Emission rates'!$F$7:$F$15,I339)</f>
        <v>62.680628166186985</v>
      </c>
      <c r="M339" s="1">
        <f>INDEX('02 Emission rates'!$G$7:$G$15,I339)</f>
        <v>2.7514068118353263</v>
      </c>
      <c r="N339" s="1">
        <f t="shared" si="80"/>
        <v>9926.3834893426774</v>
      </c>
      <c r="O339" s="1">
        <f t="shared" si="81"/>
        <v>5.8366464879257602</v>
      </c>
      <c r="P339" s="1">
        <f t="shared" si="82"/>
        <v>89.758474681528455</v>
      </c>
      <c r="Q339" s="1">
        <f t="shared" si="83"/>
        <v>3.9400064403299897</v>
      </c>
      <c r="R339" s="1">
        <f t="shared" si="84"/>
        <v>2514.9096687870006</v>
      </c>
      <c r="S339" s="1">
        <f t="shared" si="85"/>
        <v>105.59510862156019</v>
      </c>
      <c r="T339" s="1">
        <f t="shared" si="86"/>
        <v>879919.74430835794</v>
      </c>
      <c r="U339" s="1">
        <f t="shared" si="87"/>
        <v>713.28106236737312</v>
      </c>
      <c r="V339" s="1">
        <f t="shared" si="88"/>
        <v>7481.7450669438194</v>
      </c>
      <c r="W339" s="1">
        <f t="shared" si="89"/>
        <v>324.63688375265474</v>
      </c>
      <c r="X339" s="1"/>
      <c r="Y339" s="1"/>
      <c r="Z339" s="1"/>
      <c r="AA339" s="1"/>
      <c r="AB339" s="1"/>
      <c r="AC339" s="1"/>
      <c r="AD339" s="1"/>
      <c r="AE339" s="1"/>
    </row>
    <row r="340" spans="1:31" ht="22.05" customHeight="1">
      <c r="A340" s="1">
        <f>'01 Traffic inputs'!B290</f>
        <v>0.51429657525384642</v>
      </c>
      <c r="B340" s="1">
        <f>'01 Traffic inputs'!C290</f>
        <v>4.0836222372804066E-3</v>
      </c>
      <c r="C340" s="1">
        <f>IF('01 Traffic inputs'!$B$16&lt;=2/3,(4*A340*(1-A340))^$B$16,1-ABS(2*A340-1)^$B$17)</f>
        <v>0.99722594178364898</v>
      </c>
      <c r="D340" s="1">
        <f>IF('01 Traffic inputs'!$B$16&lt;=2/3,4*$B$16*(1-2*A340)*(4*A340*(1-A340))^($B$16-1),-2*$B$17*SIGN(2*A340-1)*ABS(2*A340-1)^($B$17-1))</f>
        <v>-0.38769286958842242</v>
      </c>
      <c r="E340" s="1">
        <f t="shared" si="77"/>
        <v>19.459775469508539</v>
      </c>
      <c r="F340" s="1">
        <f t="shared" si="78"/>
        <v>7.3389814859796038E-2</v>
      </c>
      <c r="G340" s="1">
        <f t="shared" si="79"/>
        <v>1.4281493189204322</v>
      </c>
      <c r="H340" s="1">
        <f>'01 Traffic inputs'!$B$8/F340</f>
        <v>14.170903714457344</v>
      </c>
      <c r="I340" s="1">
        <f>MATCH(H340,'02 Emission rates'!$A$7:$A$15,1)</f>
        <v>1</v>
      </c>
      <c r="J340" s="1">
        <f>INDEX('02 Emission rates'!$D$7:$D$15,I340)</f>
        <v>6931.8463213424902</v>
      </c>
      <c r="K340" s="1">
        <f>INDEX('02 Emission rates'!$E$7:$E$15,I340)</f>
        <v>4.0758788464844926</v>
      </c>
      <c r="L340" s="1">
        <f>INDEX('02 Emission rates'!$F$7:$F$15,I340)</f>
        <v>62.680628166186985</v>
      </c>
      <c r="M340" s="1">
        <f>INDEX('02 Emission rates'!$G$7:$G$15,I340)</f>
        <v>2.7514068118353263</v>
      </c>
      <c r="N340" s="1">
        <f t="shared" si="80"/>
        <v>9899.7116026863805</v>
      </c>
      <c r="O340" s="1">
        <f t="shared" si="81"/>
        <v>5.8209635986090245</v>
      </c>
      <c r="P340" s="1">
        <f t="shared" si="82"/>
        <v>89.517296425044805</v>
      </c>
      <c r="Q340" s="1">
        <f t="shared" si="83"/>
        <v>3.929419764395659</v>
      </c>
      <c r="R340" s="1">
        <f t="shared" si="84"/>
        <v>2534.3694442565093</v>
      </c>
      <c r="S340" s="1">
        <f t="shared" si="85"/>
        <v>107.02325794048062</v>
      </c>
      <c r="T340" s="1">
        <f t="shared" si="86"/>
        <v>889819.45591104426</v>
      </c>
      <c r="U340" s="1">
        <f t="shared" si="87"/>
        <v>719.10202596598219</v>
      </c>
      <c r="V340" s="1">
        <f t="shared" si="88"/>
        <v>7571.2623633688645</v>
      </c>
      <c r="W340" s="1">
        <f t="shared" si="89"/>
        <v>328.56630351705041</v>
      </c>
      <c r="X340" s="1"/>
      <c r="Y340" s="1"/>
      <c r="Z340" s="1"/>
      <c r="AA340" s="1"/>
      <c r="AB340" s="1"/>
      <c r="AC340" s="1"/>
      <c r="AD340" s="1"/>
      <c r="AE340" s="1"/>
    </row>
    <row r="341" spans="1:31" ht="22.05" customHeight="1">
      <c r="A341" s="1">
        <f>'01 Traffic inputs'!B291</f>
        <v>0.51837967484830494</v>
      </c>
      <c r="B341" s="1">
        <f>'01 Traffic inputs'!C291</f>
        <v>4.0825315212677776E-3</v>
      </c>
      <c r="C341" s="1">
        <f>IF('01 Traffic inputs'!$B$16&lt;=2/3,(4*A341*(1-A341))^$B$16,1-ABS(2*A341-1)^$B$17)</f>
        <v>0.99541805999553012</v>
      </c>
      <c r="D341" s="1">
        <f>IF('01 Traffic inputs'!$B$16&lt;=2/3,4*$B$16*(1-2*A341)*(4*A341*(1-A341))^($B$16-1),-2*$B$17*SIGN(2*A341-1)*ABS(2*A341-1)^($B$17-1))</f>
        <v>-0.49778017705187921</v>
      </c>
      <c r="E341" s="1">
        <f t="shared" si="77"/>
        <v>19.426839367738133</v>
      </c>
      <c r="F341" s="1">
        <f t="shared" si="78"/>
        <v>7.3286151370585445E-2</v>
      </c>
      <c r="G341" s="1">
        <f t="shared" si="79"/>
        <v>1.4237182905561052</v>
      </c>
      <c r="H341" s="1">
        <f>'01 Traffic inputs'!$B$8/F341</f>
        <v>14.190948501867174</v>
      </c>
      <c r="I341" s="1">
        <f>MATCH(H341,'02 Emission rates'!$A$7:$A$15,1)</f>
        <v>1</v>
      </c>
      <c r="J341" s="1">
        <f>INDEX('02 Emission rates'!$D$7:$D$15,I341)</f>
        <v>6931.8463213424902</v>
      </c>
      <c r="K341" s="1">
        <f>INDEX('02 Emission rates'!$E$7:$E$15,I341)</f>
        <v>4.0758788464844926</v>
      </c>
      <c r="L341" s="1">
        <f>INDEX('02 Emission rates'!$F$7:$F$15,I341)</f>
        <v>62.680628166186985</v>
      </c>
      <c r="M341" s="1">
        <f>INDEX('02 Emission rates'!$G$7:$G$15,I341)</f>
        <v>2.7514068118353263</v>
      </c>
      <c r="N341" s="1">
        <f t="shared" si="80"/>
        <v>9868.996395019356</v>
      </c>
      <c r="O341" s="1">
        <f t="shared" si="81"/>
        <v>5.8029032638306921</v>
      </c>
      <c r="P341" s="1">
        <f t="shared" si="82"/>
        <v>89.239556783746593</v>
      </c>
      <c r="Q341" s="1">
        <f t="shared" si="83"/>
        <v>3.9172282027706142</v>
      </c>
      <c r="R341" s="1">
        <f t="shared" si="84"/>
        <v>2553.7962836242473</v>
      </c>
      <c r="S341" s="1">
        <f t="shared" si="85"/>
        <v>108.44697623103673</v>
      </c>
      <c r="T341" s="1">
        <f t="shared" si="86"/>
        <v>899688.45230606361</v>
      </c>
      <c r="U341" s="1">
        <f t="shared" si="87"/>
        <v>724.90492922981286</v>
      </c>
      <c r="V341" s="1">
        <f t="shared" si="88"/>
        <v>7660.5019201526111</v>
      </c>
      <c r="W341" s="1">
        <f t="shared" si="89"/>
        <v>332.48353171982103</v>
      </c>
      <c r="X341" s="1"/>
      <c r="Y341" s="1"/>
      <c r="Z341" s="1"/>
      <c r="AA341" s="1"/>
      <c r="AB341" s="1"/>
      <c r="AC341" s="1"/>
      <c r="AD341" s="1"/>
      <c r="AE341" s="1"/>
    </row>
    <row r="342" spans="1:31" ht="22.05" customHeight="1">
      <c r="A342" s="1">
        <f>'01 Traffic inputs'!B292</f>
        <v>0.52246154744868967</v>
      </c>
      <c r="B342" s="1">
        <f>'01 Traffic inputs'!C292</f>
        <v>4.0811682627850876E-3</v>
      </c>
      <c r="C342" s="1">
        <f>IF('01 Traffic inputs'!$B$16&lt;=2/3,(4*A342*(1-A342))^$B$16,1-ABS(2*A342-1)^$B$17)</f>
        <v>0.993162364591192</v>
      </c>
      <c r="D342" s="1">
        <f>IF('01 Traffic inputs'!$B$16&lt;=2/3,4*$B$16*(1-2*A342)*(4*A342*(1-A342))^($B$16-1),-2*$B$17*SIGN(2*A342-1)*ABS(2*A342-1)^($B$17-1))</f>
        <v>-0.60735732811634557</v>
      </c>
      <c r="E342" s="1">
        <f t="shared" si="77"/>
        <v>19.392751538648081</v>
      </c>
      <c r="F342" s="1">
        <f t="shared" si="78"/>
        <v>7.3156810360710395E-2</v>
      </c>
      <c r="G342" s="1">
        <f t="shared" si="79"/>
        <v>1.4187118466852524</v>
      </c>
      <c r="H342" s="1">
        <f>'01 Traffic inputs'!$B$8/F342</f>
        <v>14.216038054039641</v>
      </c>
      <c r="I342" s="1">
        <f>MATCH(H342,'02 Emission rates'!$A$7:$A$15,1)</f>
        <v>1</v>
      </c>
      <c r="J342" s="1">
        <f>INDEX('02 Emission rates'!$D$7:$D$15,I342)</f>
        <v>6931.8463213424902</v>
      </c>
      <c r="K342" s="1">
        <f>INDEX('02 Emission rates'!$E$7:$E$15,I342)</f>
        <v>4.0758788464844926</v>
      </c>
      <c r="L342" s="1">
        <f>INDEX('02 Emission rates'!$F$7:$F$15,I342)</f>
        <v>62.680628166186985</v>
      </c>
      <c r="M342" s="1">
        <f>INDEX('02 Emission rates'!$G$7:$G$15,I342)</f>
        <v>2.7514068118353263</v>
      </c>
      <c r="N342" s="1">
        <f t="shared" si="80"/>
        <v>9834.2924954901773</v>
      </c>
      <c r="O342" s="1">
        <f t="shared" si="81"/>
        <v>5.782497605161371</v>
      </c>
      <c r="P342" s="1">
        <f t="shared" si="82"/>
        <v>88.925749737042779</v>
      </c>
      <c r="Q342" s="1">
        <f t="shared" si="83"/>
        <v>3.9034534390012787</v>
      </c>
      <c r="R342" s="1">
        <f t="shared" si="84"/>
        <v>2573.1890351628954</v>
      </c>
      <c r="S342" s="1">
        <f t="shared" si="85"/>
        <v>109.86568807772198</v>
      </c>
      <c r="T342" s="1">
        <f t="shared" si="86"/>
        <v>909522.74480155378</v>
      </c>
      <c r="U342" s="1">
        <f t="shared" si="87"/>
        <v>730.68742683497419</v>
      </c>
      <c r="V342" s="1">
        <f t="shared" si="88"/>
        <v>7749.4276698896538</v>
      </c>
      <c r="W342" s="1">
        <f t="shared" si="89"/>
        <v>336.38698515882231</v>
      </c>
      <c r="X342" s="1"/>
      <c r="Y342" s="1"/>
      <c r="Z342" s="1"/>
      <c r="AA342" s="1"/>
      <c r="AB342" s="1"/>
      <c r="AC342" s="1"/>
      <c r="AD342" s="1"/>
      <c r="AE342" s="1"/>
    </row>
    <row r="343" spans="1:31" ht="22.05" customHeight="1">
      <c r="A343" s="1">
        <f>'01 Traffic inputs'!B293</f>
        <v>0.52654192055651905</v>
      </c>
      <c r="B343" s="1">
        <f>'01 Traffic inputs'!C293</f>
        <v>4.0795325528410111E-3</v>
      </c>
      <c r="C343" s="1">
        <f>IF('01 Traffic inputs'!$B$16&lt;=2/3,(4*A343*(1-A343))^$B$16,1-ABS(2*A343-1)^$B$17)</f>
        <v>0.99046161562703439</v>
      </c>
      <c r="D343" s="1">
        <f>IF('01 Traffic inputs'!$B$16&lt;=2/3,4*$B$16*(1-2*A343)*(4*A343*(1-A343))^($B$16-1),-2*$B$17*SIGN(2*A343-1)*ABS(2*A343-1)^($B$17-1))</f>
        <v>-0.71631251427746756</v>
      </c>
      <c r="E343" s="1">
        <f t="shared" si="77"/>
        <v>19.357545966357858</v>
      </c>
      <c r="F343" s="1">
        <f t="shared" si="78"/>
        <v>7.3001950091113987E-2</v>
      </c>
      <c r="G343" s="1">
        <f t="shared" si="79"/>
        <v>1.4131386045225012</v>
      </c>
      <c r="H343" s="1">
        <f>'01 Traffic inputs'!$B$8/F343</f>
        <v>14.246194775646305</v>
      </c>
      <c r="I343" s="1">
        <f>MATCH(H343,'02 Emission rates'!$A$7:$A$15,1)</f>
        <v>1</v>
      </c>
      <c r="J343" s="1">
        <f>INDEX('02 Emission rates'!$D$7:$D$15,I343)</f>
        <v>6931.8463213424902</v>
      </c>
      <c r="K343" s="1">
        <f>INDEX('02 Emission rates'!$E$7:$E$15,I343)</f>
        <v>4.0758788464844926</v>
      </c>
      <c r="L343" s="1">
        <f>INDEX('02 Emission rates'!$F$7:$F$15,I343)</f>
        <v>62.680628166186985</v>
      </c>
      <c r="M343" s="1">
        <f>INDEX('02 Emission rates'!$G$7:$G$15,I343)</f>
        <v>2.7514068118353263</v>
      </c>
      <c r="N343" s="1">
        <f t="shared" si="80"/>
        <v>9795.6596373063603</v>
      </c>
      <c r="O343" s="1">
        <f t="shared" si="81"/>
        <v>5.7597817453238775</v>
      </c>
      <c r="P343" s="1">
        <f t="shared" si="82"/>
        <v>88.576415417359257</v>
      </c>
      <c r="Q343" s="1">
        <f t="shared" si="83"/>
        <v>3.8881191825506769</v>
      </c>
      <c r="R343" s="1">
        <f t="shared" si="84"/>
        <v>2592.5465811292534</v>
      </c>
      <c r="S343" s="1">
        <f t="shared" si="85"/>
        <v>111.27882668224449</v>
      </c>
      <c r="T343" s="1">
        <f t="shared" si="86"/>
        <v>919318.40443886013</v>
      </c>
      <c r="U343" s="1">
        <f t="shared" si="87"/>
        <v>736.44720858029802</v>
      </c>
      <c r="V343" s="1">
        <f t="shared" si="88"/>
        <v>7838.0040853070132</v>
      </c>
      <c r="W343" s="1">
        <f t="shared" si="89"/>
        <v>340.27510434137298</v>
      </c>
      <c r="X343" s="1"/>
      <c r="Y343" s="1"/>
      <c r="Z343" s="1"/>
      <c r="AA343" s="1"/>
      <c r="AB343" s="1"/>
      <c r="AC343" s="1"/>
      <c r="AD343" s="1"/>
      <c r="AE343" s="1"/>
    </row>
    <row r="344" spans="1:31" ht="22.05" customHeight="1">
      <c r="A344" s="1">
        <f>'01 Traffic inputs'!B294</f>
        <v>0.53062052177341479</v>
      </c>
      <c r="B344" s="1">
        <f>'01 Traffic inputs'!C294</f>
        <v>4.0776245006325963E-3</v>
      </c>
      <c r="C344" s="1">
        <f>IF('01 Traffic inputs'!$B$16&lt;=2/3,(4*A344*(1-A344))^$B$16,1-ABS(2*A344-1)^$B$17)</f>
        <v>0.98731911403972938</v>
      </c>
      <c r="D344" s="1">
        <f>IF('01 Traffic inputs'!$B$16&lt;=2/3,4*$B$16*(1-2*A344)*(4*A344*(1-A344))^($B$16-1),-2*$B$17*SIGN(2*A344-1)*ABS(2*A344-1)^($B$17-1))</f>
        <v>-0.82453485833889661</v>
      </c>
      <c r="E344" s="1">
        <f t="shared" si="77"/>
        <v>19.321256380197489</v>
      </c>
      <c r="F344" s="1">
        <f t="shared" si="78"/>
        <v>7.2821759836678795E-2</v>
      </c>
      <c r="G344" s="1">
        <f t="shared" si="79"/>
        <v>1.4070078918616395</v>
      </c>
      <c r="H344" s="1">
        <f>'01 Traffic inputs'!$B$8/F344</f>
        <v>14.281445577976738</v>
      </c>
      <c r="I344" s="1">
        <f>MATCH(H344,'02 Emission rates'!$A$7:$A$15,1)</f>
        <v>1</v>
      </c>
      <c r="J344" s="1">
        <f>INDEX('02 Emission rates'!$D$7:$D$15,I344)</f>
        <v>6931.8463213424902</v>
      </c>
      <c r="K344" s="1">
        <f>INDEX('02 Emission rates'!$E$7:$E$15,I344)</f>
        <v>4.0758788464844926</v>
      </c>
      <c r="L344" s="1">
        <f>INDEX('02 Emission rates'!$F$7:$F$15,I344)</f>
        <v>62.680628166186985</v>
      </c>
      <c r="M344" s="1">
        <f>INDEX('02 Emission rates'!$G$7:$G$15,I344)</f>
        <v>2.7514068118353263</v>
      </c>
      <c r="N344" s="1">
        <f t="shared" si="80"/>
        <v>9753.1624793009578</v>
      </c>
      <c r="O344" s="1">
        <f t="shared" si="81"/>
        <v>5.7347937032755976</v>
      </c>
      <c r="P344" s="1">
        <f t="shared" si="82"/>
        <v>88.192138496670054</v>
      </c>
      <c r="Q344" s="1">
        <f t="shared" si="83"/>
        <v>3.8712510979741772</v>
      </c>
      <c r="R344" s="1">
        <f t="shared" si="84"/>
        <v>2611.867837509451</v>
      </c>
      <c r="S344" s="1">
        <f t="shared" si="85"/>
        <v>112.68583457410612</v>
      </c>
      <c r="T344" s="1">
        <f t="shared" si="86"/>
        <v>929071.56691816112</v>
      </c>
      <c r="U344" s="1">
        <f t="shared" si="87"/>
        <v>742.18200228357364</v>
      </c>
      <c r="V344" s="1">
        <f t="shared" si="88"/>
        <v>7926.1962238036831</v>
      </c>
      <c r="W344" s="1">
        <f t="shared" si="89"/>
        <v>344.14635543934713</v>
      </c>
      <c r="X344" s="1"/>
      <c r="Y344" s="1"/>
      <c r="Z344" s="1"/>
      <c r="AA344" s="1"/>
      <c r="AB344" s="1"/>
      <c r="AC344" s="1"/>
      <c r="AD344" s="1"/>
      <c r="AE344" s="1"/>
    </row>
    <row r="345" spans="1:31" ht="22.05" customHeight="1">
      <c r="A345" s="1">
        <f>'01 Traffic inputs'!B295</f>
        <v>0.53469707881928685</v>
      </c>
      <c r="B345" s="1">
        <f>'01 Traffic inputs'!C295</f>
        <v>4.0754442335379981E-3</v>
      </c>
      <c r="C345" s="1">
        <f>IF('01 Traffic inputs'!$B$16&lt;=2/3,(4*A345*(1-A345))^$B$16,1-ABS(2*A345-1)^$B$17)</f>
        <v>0.98373869561682548</v>
      </c>
      <c r="D345" s="1">
        <f>IF('01 Traffic inputs'!$B$16&lt;=2/3,4*$B$16*(1-2*A345)*(4*A345*(1-A345))^($B$16-1),-2*$B$17*SIGN(2*A345-1)*ABS(2*A345-1)^($B$17-1))</f>
        <v>-0.93191457971460967</v>
      </c>
      <c r="E345" s="1">
        <f t="shared" si="77"/>
        <v>19.283916194358738</v>
      </c>
      <c r="F345" s="1">
        <f t="shared" si="78"/>
        <v>7.261645954050272E-2</v>
      </c>
      <c r="G345" s="1">
        <f t="shared" si="79"/>
        <v>1.4003297201100966</v>
      </c>
      <c r="H345" s="1">
        <f>'01 Traffic inputs'!$B$8/F345</f>
        <v>14.321821892458798</v>
      </c>
      <c r="I345" s="1">
        <f>MATCH(H345,'02 Emission rates'!$A$7:$A$15,1)</f>
        <v>1</v>
      </c>
      <c r="J345" s="1">
        <f>INDEX('02 Emission rates'!$D$7:$D$15,I345)</f>
        <v>6931.8463213424902</v>
      </c>
      <c r="K345" s="1">
        <f>INDEX('02 Emission rates'!$E$7:$E$15,I345)</f>
        <v>4.0758788464844926</v>
      </c>
      <c r="L345" s="1">
        <f>INDEX('02 Emission rates'!$F$7:$F$15,I345)</f>
        <v>62.680628166186985</v>
      </c>
      <c r="M345" s="1">
        <f>INDEX('02 Emission rates'!$G$7:$G$15,I345)</f>
        <v>2.7514068118353263</v>
      </c>
      <c r="N345" s="1">
        <f t="shared" si="80"/>
        <v>9706.8704190117314</v>
      </c>
      <c r="O345" s="1">
        <f t="shared" si="81"/>
        <v>5.7075742843002928</v>
      </c>
      <c r="P345" s="1">
        <f t="shared" si="82"/>
        <v>87.773546496281654</v>
      </c>
      <c r="Q345" s="1">
        <f t="shared" si="83"/>
        <v>3.8528767307263756</v>
      </c>
      <c r="R345" s="1">
        <f t="shared" si="84"/>
        <v>2631.1517537038098</v>
      </c>
      <c r="S345" s="1">
        <f t="shared" si="85"/>
        <v>114.08616429421622</v>
      </c>
      <c r="T345" s="1">
        <f t="shared" si="86"/>
        <v>938778.4373371728</v>
      </c>
      <c r="U345" s="1">
        <f t="shared" si="87"/>
        <v>747.88957656787397</v>
      </c>
      <c r="V345" s="1">
        <f t="shared" si="88"/>
        <v>8013.9697702999647</v>
      </c>
      <c r="W345" s="1">
        <f t="shared" si="89"/>
        <v>347.99923217007353</v>
      </c>
      <c r="X345" s="1"/>
      <c r="Y345" s="1"/>
      <c r="Z345" s="1"/>
      <c r="AA345" s="1"/>
      <c r="AB345" s="1"/>
      <c r="AC345" s="1"/>
      <c r="AD345" s="1"/>
      <c r="AE345" s="1"/>
    </row>
    <row r="346" spans="1:31" ht="22.05" customHeight="1">
      <c r="A346" s="1">
        <f>'01 Traffic inputs'!B296</f>
        <v>0.53877131955051039</v>
      </c>
      <c r="B346" s="1">
        <f>'01 Traffic inputs'!C296</f>
        <v>4.0729918971079242E-3</v>
      </c>
      <c r="C346" s="1">
        <f>IF('01 Traffic inputs'!$B$16&lt;=2/3,(4*A346*(1-A346))^$B$16,1-ABS(2*A346-1)^$B$17)</f>
        <v>0.97972472399734822</v>
      </c>
      <c r="D346" s="1">
        <f>IF('01 Traffic inputs'!$B$16&lt;=2/3,4*$B$16*(1-2*A346)*(4*A346*(1-A346))^($B$16-1),-2*$B$17*SIGN(2*A346-1)*ABS(2*A346-1)^($B$17-1))</f>
        <v>-1.0383431577323254</v>
      </c>
      <c r="E346" s="1">
        <f t="shared" si="77"/>
        <v>19.245558448456347</v>
      </c>
      <c r="F346" s="1">
        <f t="shared" si="78"/>
        <v>7.2386299412555255E-2</v>
      </c>
      <c r="G346" s="1">
        <f t="shared" si="79"/>
        <v>1.3931147562117934</v>
      </c>
      <c r="H346" s="1">
        <f>'01 Traffic inputs'!$B$8/F346</f>
        <v>14.367359686018631</v>
      </c>
      <c r="I346" s="1">
        <f>MATCH(H346,'02 Emission rates'!$A$7:$A$15,1)</f>
        <v>1</v>
      </c>
      <c r="J346" s="1">
        <f>INDEX('02 Emission rates'!$D$7:$D$15,I346)</f>
        <v>6931.8463213424902</v>
      </c>
      <c r="K346" s="1">
        <f>INDEX('02 Emission rates'!$E$7:$E$15,I346)</f>
        <v>4.0758788464844926</v>
      </c>
      <c r="L346" s="1">
        <f>INDEX('02 Emission rates'!$F$7:$F$15,I346)</f>
        <v>62.680628166186985</v>
      </c>
      <c r="M346" s="1">
        <f>INDEX('02 Emission rates'!$G$7:$G$15,I346)</f>
        <v>2.7514068118353263</v>
      </c>
      <c r="N346" s="1">
        <f t="shared" si="80"/>
        <v>9656.8573980546607</v>
      </c>
      <c r="O346" s="1">
        <f t="shared" si="81"/>
        <v>5.6781669655690497</v>
      </c>
      <c r="P346" s="1">
        <f t="shared" si="82"/>
        <v>87.321308026939647</v>
      </c>
      <c r="Q346" s="1">
        <f t="shared" si="83"/>
        <v>3.8330254299094384</v>
      </c>
      <c r="R346" s="1">
        <f t="shared" si="84"/>
        <v>2650.3973121522663</v>
      </c>
      <c r="S346" s="1">
        <f t="shared" si="85"/>
        <v>115.479279050428</v>
      </c>
      <c r="T346" s="1">
        <f t="shared" si="86"/>
        <v>948435.29473522748</v>
      </c>
      <c r="U346" s="1">
        <f t="shared" si="87"/>
        <v>753.56774353344304</v>
      </c>
      <c r="V346" s="1">
        <f t="shared" si="88"/>
        <v>8101.2910783269044</v>
      </c>
      <c r="W346" s="1">
        <f t="shared" si="89"/>
        <v>351.83225759998294</v>
      </c>
      <c r="X346" s="1"/>
      <c r="Y346" s="1"/>
      <c r="Z346" s="1"/>
      <c r="AA346" s="1"/>
      <c r="AB346" s="1"/>
      <c r="AC346" s="1"/>
      <c r="AD346" s="1"/>
      <c r="AE346" s="1"/>
    </row>
    <row r="347" spans="1:31" ht="22.05" customHeight="1">
      <c r="A347" s="1">
        <f>'01 Traffic inputs'!B297</f>
        <v>0.54284297197809361</v>
      </c>
      <c r="B347" s="1">
        <f>'01 Traffic inputs'!C297</f>
        <v>4.0702676550559425E-3</v>
      </c>
      <c r="C347" s="1">
        <f>IF('01 Traffic inputs'!$B$16&lt;=2/3,(4*A347*(1-A347))^$B$16,1-ABS(2*A347-1)^$B$17)</f>
        <v>0.97528208271833783</v>
      </c>
      <c r="D347" s="1">
        <f>IF('01 Traffic inputs'!$B$16&lt;=2/3,4*$B$16*(1-2*A347)*(4*A347*(1-A347))^($B$16-1),-2*$B$17*SIGN(2*A347-1)*ABS(2*A347-1)^($B$17-1))</f>
        <v>-1.1437134926414625</v>
      </c>
      <c r="E347" s="1">
        <f t="shared" si="77"/>
        <v>19.206215749134568</v>
      </c>
      <c r="F347" s="1">
        <f t="shared" si="78"/>
        <v>7.2131559473627899E-2</v>
      </c>
      <c r="G347" s="1">
        <f t="shared" si="79"/>
        <v>1.3853742935720288</v>
      </c>
      <c r="H347" s="1">
        <f>'01 Traffic inputs'!$B$8/F347</f>
        <v>14.418099478082906</v>
      </c>
      <c r="I347" s="1">
        <f>MATCH(H347,'02 Emission rates'!$A$7:$A$15,1)</f>
        <v>1</v>
      </c>
      <c r="J347" s="1">
        <f>INDEX('02 Emission rates'!$D$7:$D$15,I347)</f>
        <v>6931.8463213424902</v>
      </c>
      <c r="K347" s="1">
        <f>INDEX('02 Emission rates'!$E$7:$E$15,I347)</f>
        <v>4.0758788464844926</v>
      </c>
      <c r="L347" s="1">
        <f>INDEX('02 Emission rates'!$F$7:$F$15,I347)</f>
        <v>62.680628166186985</v>
      </c>
      <c r="M347" s="1">
        <f>INDEX('02 Emission rates'!$G$7:$G$15,I347)</f>
        <v>2.7514068118353263</v>
      </c>
      <c r="N347" s="1">
        <f t="shared" si="80"/>
        <v>9603.2017005797188</v>
      </c>
      <c r="O347" s="1">
        <f t="shared" si="81"/>
        <v>5.6466177776336295</v>
      </c>
      <c r="P347" s="1">
        <f t="shared" si="82"/>
        <v>86.836130966382299</v>
      </c>
      <c r="Q347" s="1">
        <f t="shared" si="83"/>
        <v>3.8117282682756333</v>
      </c>
      <c r="R347" s="1">
        <f t="shared" si="84"/>
        <v>2669.6035279014009</v>
      </c>
      <c r="S347" s="1">
        <f t="shared" si="85"/>
        <v>116.86465334400003</v>
      </c>
      <c r="T347" s="1">
        <f t="shared" si="86"/>
        <v>958038.4964358072</v>
      </c>
      <c r="U347" s="1">
        <f t="shared" si="87"/>
        <v>759.21436131107669</v>
      </c>
      <c r="V347" s="1">
        <f t="shared" si="88"/>
        <v>8188.1272092932868</v>
      </c>
      <c r="W347" s="1">
        <f t="shared" si="89"/>
        <v>355.6439858682586</v>
      </c>
      <c r="X347" s="1"/>
      <c r="Y347" s="1"/>
      <c r="Z347" s="1"/>
      <c r="AA347" s="1"/>
      <c r="AB347" s="1"/>
      <c r="AC347" s="1"/>
      <c r="AD347" s="1"/>
      <c r="AE347" s="1"/>
    </row>
    <row r="348" spans="1:31" ht="22.05" customHeight="1">
      <c r="A348" s="1">
        <f>'01 Traffic inputs'!B298</f>
        <v>0.5469117642858351</v>
      </c>
      <c r="B348" s="1">
        <f>'01 Traffic inputs'!C298</f>
        <v>4.0672716892475704E-3</v>
      </c>
      <c r="C348" s="1">
        <f>IF('01 Traffic inputs'!$B$16&lt;=2/3,(4*A348*(1-A348))^$B$16,1-ABS(2*A348-1)^$B$17)</f>
        <v>0.97041616632541672</v>
      </c>
      <c r="D348" s="1">
        <f>IF('01 Traffic inputs'!$B$16&lt;=2/3,4*$B$16*(1-2*A348)*(4*A348*(1-A348))^($B$16-1),-2*$B$17*SIGN(2*A348-1)*ABS(2*A348-1)^($B$17-1))</f>
        <v>-1.2479200640337145</v>
      </c>
      <c r="E348" s="1">
        <f t="shared" si="77"/>
        <v>19.165920212850342</v>
      </c>
      <c r="F348" s="1">
        <f t="shared" si="78"/>
        <v>7.1852549045616387E-2</v>
      </c>
      <c r="G348" s="1">
        <f t="shared" si="79"/>
        <v>1.3771202220981997</v>
      </c>
      <c r="H348" s="1">
        <f>'01 Traffic inputs'!$B$8/F348</f>
        <v>14.474086358992844</v>
      </c>
      <c r="I348" s="1">
        <f>MATCH(H348,'02 Emission rates'!$A$7:$A$15,1)</f>
        <v>1</v>
      </c>
      <c r="J348" s="1">
        <f>INDEX('02 Emission rates'!$D$7:$D$15,I348)</f>
        <v>6931.8463213424902</v>
      </c>
      <c r="K348" s="1">
        <f>INDEX('02 Emission rates'!$E$7:$E$15,I348)</f>
        <v>4.0758788464844926</v>
      </c>
      <c r="L348" s="1">
        <f>INDEX('02 Emission rates'!$F$7:$F$15,I348)</f>
        <v>62.680628166186985</v>
      </c>
      <c r="M348" s="1">
        <f>INDEX('02 Emission rates'!$G$7:$G$15,I348)</f>
        <v>2.7514068118353263</v>
      </c>
      <c r="N348" s="1">
        <f t="shared" si="80"/>
        <v>9545.9857455977581</v>
      </c>
      <c r="O348" s="1">
        <f t="shared" si="81"/>
        <v>5.6129751823160783</v>
      </c>
      <c r="P348" s="1">
        <f t="shared" si="82"/>
        <v>86.318760581474095</v>
      </c>
      <c r="Q348" s="1">
        <f t="shared" si="83"/>
        <v>3.7890179597971643</v>
      </c>
      <c r="R348" s="1">
        <f t="shared" si="84"/>
        <v>2688.7694481142512</v>
      </c>
      <c r="S348" s="1">
        <f t="shared" si="85"/>
        <v>118.24177356609823</v>
      </c>
      <c r="T348" s="1">
        <f t="shared" si="86"/>
        <v>967584.48218140495</v>
      </c>
      <c r="U348" s="1">
        <f t="shared" si="87"/>
        <v>764.82733649339275</v>
      </c>
      <c r="V348" s="1">
        <f t="shared" si="88"/>
        <v>8274.4459698747614</v>
      </c>
      <c r="W348" s="1">
        <f t="shared" si="89"/>
        <v>359.43300382805575</v>
      </c>
      <c r="X348" s="1"/>
      <c r="Y348" s="1"/>
      <c r="Z348" s="1"/>
      <c r="AA348" s="1"/>
      <c r="AB348" s="1"/>
      <c r="AC348" s="1"/>
      <c r="AD348" s="1"/>
      <c r="AE348" s="1"/>
    </row>
    <row r="349" spans="1:31" ht="22.05" customHeight="1">
      <c r="A349" s="1">
        <f>'01 Traffic inputs'!B299</f>
        <v>0.55097742484847023</v>
      </c>
      <c r="B349" s="1">
        <f>'01 Traffic inputs'!C299</f>
        <v>4.0640041996880946E-3</v>
      </c>
      <c r="C349" s="1">
        <f>IF('01 Traffic inputs'!$B$16&lt;=2/3,(4*A349*(1-A349))^$B$16,1-ABS(2*A349-1)^$B$17)</f>
        <v>0.96513287056759589</v>
      </c>
      <c r="D349" s="1">
        <f>IF('01 Traffic inputs'!$B$16&lt;=2/3,4*$B$16*(1-2*A349)*(4*A349*(1-A349))^($B$16-1),-2*$B$17*SIGN(2*A349-1)*ABS(2*A349-1)^($B$17-1))</f>
        <v>-1.3508590863895991</v>
      </c>
      <c r="E349" s="1">
        <f t="shared" si="77"/>
        <v>19.124703409961672</v>
      </c>
      <c r="F349" s="1">
        <f t="shared" si="78"/>
        <v>7.1549606189293263E-2</v>
      </c>
      <c r="G349" s="1">
        <f t="shared" si="79"/>
        <v>1.3683649974697916</v>
      </c>
      <c r="H349" s="1">
        <f>'01 Traffic inputs'!$B$8/F349</f>
        <v>14.535370009564733</v>
      </c>
      <c r="I349" s="1">
        <f>MATCH(H349,'02 Emission rates'!$A$7:$A$15,1)</f>
        <v>1</v>
      </c>
      <c r="J349" s="1">
        <f>INDEX('02 Emission rates'!$D$7:$D$15,I349)</f>
        <v>6931.8463213424902</v>
      </c>
      <c r="K349" s="1">
        <f>INDEX('02 Emission rates'!$E$7:$E$15,I349)</f>
        <v>4.0758788464844926</v>
      </c>
      <c r="L349" s="1">
        <f>INDEX('02 Emission rates'!$F$7:$F$15,I349)</f>
        <v>62.680628166186985</v>
      </c>
      <c r="M349" s="1">
        <f>INDEX('02 Emission rates'!$G$7:$G$15,I349)</f>
        <v>2.7514068118353263</v>
      </c>
      <c r="N349" s="1">
        <f t="shared" si="80"/>
        <v>9485.2958739648002</v>
      </c>
      <c r="O349" s="1">
        <f t="shared" si="81"/>
        <v>5.5772899474569293</v>
      </c>
      <c r="P349" s="1">
        <f t="shared" si="82"/>
        <v>85.7699776020294</v>
      </c>
      <c r="Q349" s="1">
        <f t="shared" si="83"/>
        <v>3.7649287751154135</v>
      </c>
      <c r="R349" s="1">
        <f t="shared" si="84"/>
        <v>2707.8941515242127</v>
      </c>
      <c r="S349" s="1">
        <f t="shared" si="85"/>
        <v>119.61013856356803</v>
      </c>
      <c r="T349" s="1">
        <f t="shared" si="86"/>
        <v>977069.77805536974</v>
      </c>
      <c r="U349" s="1">
        <f t="shared" si="87"/>
        <v>770.40462644084971</v>
      </c>
      <c r="V349" s="1">
        <f t="shared" si="88"/>
        <v>8360.2159474767905</v>
      </c>
      <c r="W349" s="1">
        <f t="shared" si="89"/>
        <v>363.19793260317118</v>
      </c>
      <c r="X349" s="1"/>
      <c r="Y349" s="1"/>
      <c r="Z349" s="1"/>
      <c r="AA349" s="1"/>
      <c r="AB349" s="1"/>
      <c r="AC349" s="1"/>
      <c r="AD349" s="1"/>
      <c r="AE349" s="1"/>
    </row>
    <row r="350" spans="1:31" ht="22.05" customHeight="1">
      <c r="A350" s="1">
        <f>'01 Traffic inputs'!B300</f>
        <v>0.55503968224980349</v>
      </c>
      <c r="B350" s="1">
        <f>'01 Traffic inputs'!C300</f>
        <v>4.0604654045092552E-3</v>
      </c>
      <c r="C350" s="1">
        <f>IF('01 Traffic inputs'!$B$16&lt;=2/3,(4*A350*(1-A350))^$B$16,1-ABS(2*A350-1)^$B$17)</f>
        <v>0.9594385816985852</v>
      </c>
      <c r="D350" s="1">
        <f>IF('01 Traffic inputs'!$B$16&lt;=2/3,4*$B$16*(1-2*A350)*(4*A350*(1-A350))^($B$16-1),-2*$B$17*SIGN(2*A350-1)*ABS(2*A350-1)^($B$17-1))</f>
        <v>-1.4524286614700774</v>
      </c>
      <c r="E350" s="1">
        <f t="shared" si="77"/>
        <v>19.082596310247055</v>
      </c>
      <c r="F350" s="1">
        <f t="shared" si="78"/>
        <v>7.1223097090847759E-2</v>
      </c>
      <c r="G350" s="1">
        <f t="shared" si="79"/>
        <v>1.3591216097501793</v>
      </c>
      <c r="H350" s="1">
        <f>'01 Traffic inputs'!$B$8/F350</f>
        <v>14.602004721494504</v>
      </c>
      <c r="I350" s="1">
        <f>MATCH(H350,'02 Emission rates'!$A$7:$A$15,1)</f>
        <v>1</v>
      </c>
      <c r="J350" s="1">
        <f>INDEX('02 Emission rates'!$D$7:$D$15,I350)</f>
        <v>6931.8463213424902</v>
      </c>
      <c r="K350" s="1">
        <f>INDEX('02 Emission rates'!$E$7:$E$15,I350)</f>
        <v>4.0758788464844926</v>
      </c>
      <c r="L350" s="1">
        <f>INDEX('02 Emission rates'!$F$7:$F$15,I350)</f>
        <v>62.680628166186985</v>
      </c>
      <c r="M350" s="1">
        <f>INDEX('02 Emission rates'!$G$7:$G$15,I350)</f>
        <v>2.7514068118353263</v>
      </c>
      <c r="N350" s="1">
        <f t="shared" si="80"/>
        <v>9421.2221308038643</v>
      </c>
      <c r="O350" s="1">
        <f t="shared" si="81"/>
        <v>5.5396150189807072</v>
      </c>
      <c r="P350" s="1">
        <f t="shared" si="82"/>
        <v>85.190596253380477</v>
      </c>
      <c r="Q350" s="1">
        <f t="shared" si="83"/>
        <v>3.7394964551792373</v>
      </c>
      <c r="R350" s="1">
        <f t="shared" si="84"/>
        <v>2726.9767478344597</v>
      </c>
      <c r="S350" s="1">
        <f t="shared" si="85"/>
        <v>120.9692601733182</v>
      </c>
      <c r="T350" s="1">
        <f t="shared" si="86"/>
        <v>986491.00018617359</v>
      </c>
      <c r="U350" s="1">
        <f t="shared" si="87"/>
        <v>775.94424145983044</v>
      </c>
      <c r="V350" s="1">
        <f t="shared" si="88"/>
        <v>8445.4065437301706</v>
      </c>
      <c r="W350" s="1">
        <f t="shared" si="89"/>
        <v>366.9374290583504</v>
      </c>
      <c r="X350" s="1"/>
      <c r="Y350" s="1"/>
      <c r="Z350" s="1"/>
      <c r="AA350" s="1"/>
      <c r="AB350" s="1"/>
      <c r="AC350" s="1"/>
      <c r="AD350" s="1"/>
      <c r="AE350" s="1"/>
    </row>
    <row r="351" spans="1:31" ht="22.05" customHeight="1">
      <c r="A351" s="1">
        <f>'01 Traffic inputs'!B301</f>
        <v>0.55909826530082896</v>
      </c>
      <c r="B351" s="1">
        <f>'01 Traffic inputs'!C301</f>
        <v>4.0566555399546601E-3</v>
      </c>
      <c r="C351" s="1">
        <f>IF('01 Traffic inputs'!$B$16&lt;=2/3,(4*A351*(1-A351))^$B$16,1-ABS(2*A351-1)^$B$17)</f>
        <v>0.95334016490887241</v>
      </c>
      <c r="D351" s="1">
        <f>IF('01 Traffic inputs'!$B$16&lt;=2/3,4*$B$16*(1-2*A351)*(4*A351*(1-A351))^($B$16-1),-2*$B$17*SIGN(2*A351-1)*ABS(2*A351-1)^($B$17-1))</f>
        <v>-1.5525289272788687</v>
      </c>
      <c r="E351" s="1">
        <f t="shared" si="77"/>
        <v>19.03962922997702</v>
      </c>
      <c r="F351" s="1">
        <f t="shared" si="78"/>
        <v>7.087341539858405E-2</v>
      </c>
      <c r="G351" s="1">
        <f t="shared" si="79"/>
        <v>1.3494035514511844</v>
      </c>
      <c r="H351" s="1">
        <f>'01 Traffic inputs'!$B$8/F351</f>
        <v>14.674049418264641</v>
      </c>
      <c r="I351" s="1">
        <f>MATCH(H351,'02 Emission rates'!$A$7:$A$15,1)</f>
        <v>1</v>
      </c>
      <c r="J351" s="1">
        <f>INDEX('02 Emission rates'!$D$7:$D$15,I351)</f>
        <v>6931.8463213424902</v>
      </c>
      <c r="K351" s="1">
        <f>INDEX('02 Emission rates'!$E$7:$E$15,I351)</f>
        <v>4.0758788464844926</v>
      </c>
      <c r="L351" s="1">
        <f>INDEX('02 Emission rates'!$F$7:$F$15,I351)</f>
        <v>62.680628166186985</v>
      </c>
      <c r="M351" s="1">
        <f>INDEX('02 Emission rates'!$G$7:$G$15,I351)</f>
        <v>2.7514068118353263</v>
      </c>
      <c r="N351" s="1">
        <f t="shared" si="80"/>
        <v>9353.8580441333852</v>
      </c>
      <c r="O351" s="1">
        <f t="shared" si="81"/>
        <v>5.500005390730931</v>
      </c>
      <c r="P351" s="1">
        <f t="shared" si="82"/>
        <v>84.581462254643853</v>
      </c>
      <c r="Q351" s="1">
        <f t="shared" si="83"/>
        <v>3.7127581233775699</v>
      </c>
      <c r="R351" s="1">
        <f t="shared" si="84"/>
        <v>2746.0163770644367</v>
      </c>
      <c r="S351" s="1">
        <f t="shared" si="85"/>
        <v>122.31866372476939</v>
      </c>
      <c r="T351" s="1">
        <f t="shared" si="86"/>
        <v>995844.858230307</v>
      </c>
      <c r="U351" s="1">
        <f t="shared" si="87"/>
        <v>781.4442468505614</v>
      </c>
      <c r="V351" s="1">
        <f t="shared" si="88"/>
        <v>8529.9880059848147</v>
      </c>
      <c r="W351" s="1">
        <f t="shared" si="89"/>
        <v>370.65018718172797</v>
      </c>
      <c r="X351" s="1"/>
      <c r="Y351" s="1"/>
      <c r="Z351" s="1"/>
      <c r="AA351" s="1"/>
      <c r="AB351" s="1"/>
      <c r="AC351" s="1"/>
      <c r="AD351" s="1"/>
      <c r="AE351" s="1"/>
    </row>
    <row r="352" spans="1:31" ht="22.05" customHeight="1">
      <c r="A352" s="1">
        <f>'01 Traffic inputs'!B302</f>
        <v>0.56315290305783317</v>
      </c>
      <c r="B352" s="1">
        <f>'01 Traffic inputs'!C302</f>
        <v>4.0525748603640055E-3</v>
      </c>
      <c r="C352" s="1">
        <f>IF('01 Traffic inputs'!$B$16&lt;=2/3,(4*A352*(1-A352))^$B$16,1-ABS(2*A352-1)^$B$17)</f>
        <v>0.94684495191477802</v>
      </c>
      <c r="D352" s="1">
        <f>IF('01 Traffic inputs'!$B$16&lt;=2/3,4*$B$16*(1-2*A352)*(4*A352*(1-A352))^($B$16-1),-2*$B$17*SIGN(2*A352-1)*ABS(2*A352-1)^($B$17-1))</f>
        <v>-1.6510622033278191</v>
      </c>
      <c r="E352" s="1">
        <f t="shared" si="77"/>
        <v>18.995831780655596</v>
      </c>
      <c r="F352" s="1">
        <f t="shared" si="78"/>
        <v>7.05009815112808E-2</v>
      </c>
      <c r="G352" s="1">
        <f t="shared" si="79"/>
        <v>1.3392247851594004</v>
      </c>
      <c r="H352" s="1">
        <f>'01 Traffic inputs'!$B$8/F352</f>
        <v>14.751567676169318</v>
      </c>
      <c r="I352" s="1">
        <f>MATCH(H352,'02 Emission rates'!$A$7:$A$15,1)</f>
        <v>1</v>
      </c>
      <c r="J352" s="1">
        <f>INDEX('02 Emission rates'!$D$7:$D$15,I352)</f>
        <v>6931.8463213424902</v>
      </c>
      <c r="K352" s="1">
        <f>INDEX('02 Emission rates'!$E$7:$E$15,I352)</f>
        <v>4.0758788464844926</v>
      </c>
      <c r="L352" s="1">
        <f>INDEX('02 Emission rates'!$F$7:$F$15,I352)</f>
        <v>62.680628166186985</v>
      </c>
      <c r="M352" s="1">
        <f>INDEX('02 Emission rates'!$G$7:$G$15,I352)</f>
        <v>2.7514068118353263</v>
      </c>
      <c r="N352" s="1">
        <f t="shared" si="80"/>
        <v>9283.3004004578761</v>
      </c>
      <c r="O352" s="1">
        <f t="shared" si="81"/>
        <v>5.4585179725189388</v>
      </c>
      <c r="P352" s="1">
        <f t="shared" si="82"/>
        <v>83.943450789518025</v>
      </c>
      <c r="Q352" s="1">
        <f t="shared" si="83"/>
        <v>3.6847521964662757</v>
      </c>
      <c r="R352" s="1">
        <f t="shared" si="84"/>
        <v>2765.0122088450921</v>
      </c>
      <c r="S352" s="1">
        <f t="shared" si="85"/>
        <v>123.6578885099288</v>
      </c>
      <c r="T352" s="1">
        <f t="shared" si="86"/>
        <v>1005128.1586307649</v>
      </c>
      <c r="U352" s="1">
        <f t="shared" si="87"/>
        <v>786.90276482308036</v>
      </c>
      <c r="V352" s="1">
        <f t="shared" si="88"/>
        <v>8613.9314567743331</v>
      </c>
      <c r="W352" s="1">
        <f t="shared" si="89"/>
        <v>374.33493937819424</v>
      </c>
      <c r="X352" s="1"/>
      <c r="Y352" s="1"/>
      <c r="Z352" s="1"/>
      <c r="AA352" s="1"/>
      <c r="AB352" s="1"/>
      <c r="AC352" s="1"/>
      <c r="AD352" s="1"/>
      <c r="AE352" s="1"/>
    </row>
    <row r="353" spans="1:31" ht="22.05" customHeight="1">
      <c r="A353" s="1">
        <f>'01 Traffic inputs'!B303</f>
        <v>0.56720332484048375</v>
      </c>
      <c r="B353" s="1">
        <f>'01 Traffic inputs'!C303</f>
        <v>4.0482236381561496E-3</v>
      </c>
      <c r="C353" s="1">
        <f>IF('01 Traffic inputs'!$B$16&lt;=2/3,(4*A353*(1-A353))^$B$16,1-ABS(2*A353-1)^$B$17)</f>
        <v>0.93996072773255346</v>
      </c>
      <c r="D353" s="1">
        <f>IF('01 Traffic inputs'!$B$16&lt;=2/3,4*$B$16*(1-2*A353)*(4*A353*(1-A353))^($B$16-1),-2*$B$17*SIGN(2*A353-1)*ABS(2*A353-1)^($B$17-1))</f>
        <v>-1.7479331319453901</v>
      </c>
      <c r="E353" s="1">
        <f t="shared" si="77"/>
        <v>18.951232819545286</v>
      </c>
      <c r="F353" s="1">
        <f t="shared" si="78"/>
        <v>7.0106241819821238E-2</v>
      </c>
      <c r="G353" s="1">
        <f t="shared" si="79"/>
        <v>1.3285997108307745</v>
      </c>
      <c r="H353" s="1">
        <f>'01 Traffic inputs'!$B$8/F353</f>
        <v>14.834627745028827</v>
      </c>
      <c r="I353" s="1">
        <f>MATCH(H353,'02 Emission rates'!$A$7:$A$15,1)</f>
        <v>1</v>
      </c>
      <c r="J353" s="1">
        <f>INDEX('02 Emission rates'!$D$7:$D$15,I353)</f>
        <v>6931.8463213424902</v>
      </c>
      <c r="K353" s="1">
        <f>INDEX('02 Emission rates'!$E$7:$E$15,I353)</f>
        <v>4.0758788464844926</v>
      </c>
      <c r="L353" s="1">
        <f>INDEX('02 Emission rates'!$F$7:$F$15,I353)</f>
        <v>62.680628166186985</v>
      </c>
      <c r="M353" s="1">
        <f>INDEX('02 Emission rates'!$G$7:$G$15,I353)</f>
        <v>2.7514068118353263</v>
      </c>
      <c r="N353" s="1">
        <f t="shared" si="80"/>
        <v>9209.6490180590008</v>
      </c>
      <c r="O353" s="1">
        <f t="shared" si="81"/>
        <v>5.4152114568205683</v>
      </c>
      <c r="P353" s="1">
        <f t="shared" si="82"/>
        <v>83.277464456287333</v>
      </c>
      <c r="Q353" s="1">
        <f t="shared" si="83"/>
        <v>3.655518294582238</v>
      </c>
      <c r="R353" s="1">
        <f t="shared" si="84"/>
        <v>2783.9634416646372</v>
      </c>
      <c r="S353" s="1">
        <f t="shared" si="85"/>
        <v>124.98648822075957</v>
      </c>
      <c r="T353" s="1">
        <f t="shared" si="86"/>
        <v>1014337.8076488239</v>
      </c>
      <c r="U353" s="1">
        <f t="shared" si="87"/>
        <v>792.3179762799009</v>
      </c>
      <c r="V353" s="1">
        <f t="shared" si="88"/>
        <v>8697.20892123062</v>
      </c>
      <c r="W353" s="1">
        <f t="shared" si="89"/>
        <v>377.99045767277647</v>
      </c>
      <c r="X353" s="1"/>
      <c r="Y353" s="1"/>
      <c r="Z353" s="1"/>
      <c r="AA353" s="1"/>
      <c r="AB353" s="1"/>
      <c r="AC353" s="1"/>
      <c r="AD353" s="1"/>
      <c r="AE353" s="1"/>
    </row>
    <row r="354" spans="1:31" ht="22.05" customHeight="1">
      <c r="A354" s="1">
        <f>'01 Traffic inputs'!B304</f>
        <v>0.57124926024989908</v>
      </c>
      <c r="B354" s="1">
        <f>'01 Traffic inputs'!C304</f>
        <v>4.0436021638108575E-3</v>
      </c>
      <c r="C354" s="1">
        <f>IF('01 Traffic inputs'!$B$16&lt;=2/3,(4*A354*(1-A354))^$B$16,1-ABS(2*A354-1)^$B$17)</f>
        <v>0.93269571666740458</v>
      </c>
      <c r="D354" s="1">
        <f>IF('01 Traffic inputs'!$B$16&lt;=2/3,4*$B$16*(1-2*A354)*(4*A354*(1-A354))^($B$16-1),-2*$B$17*SIGN(2*A354-1)*ABS(2*A354-1)^($B$17-1))</f>
        <v>-1.8430488153761344</v>
      </c>
      <c r="E354" s="1">
        <f t="shared" si="77"/>
        <v>18.905860402083174</v>
      </c>
      <c r="F354" s="1">
        <f t="shared" si="78"/>
        <v>6.968966790380729E-2</v>
      </c>
      <c r="G354" s="1">
        <f t="shared" si="79"/>
        <v>1.3175431328569169</v>
      </c>
      <c r="H354" s="1">
        <f>'01 Traffic inputs'!$B$8/F354</f>
        <v>14.923302568115741</v>
      </c>
      <c r="I354" s="1">
        <f>MATCH(H354,'02 Emission rates'!$A$7:$A$15,1)</f>
        <v>1</v>
      </c>
      <c r="J354" s="1">
        <f>INDEX('02 Emission rates'!$D$7:$D$15,I354)</f>
        <v>6931.8463213424902</v>
      </c>
      <c r="K354" s="1">
        <f>INDEX('02 Emission rates'!$E$7:$E$15,I354)</f>
        <v>4.0758788464844926</v>
      </c>
      <c r="L354" s="1">
        <f>INDEX('02 Emission rates'!$F$7:$F$15,I354)</f>
        <v>62.680628166186985</v>
      </c>
      <c r="M354" s="1">
        <f>INDEX('02 Emission rates'!$G$7:$G$15,I354)</f>
        <v>2.7514068118353263</v>
      </c>
      <c r="N354" s="1">
        <f t="shared" si="80"/>
        <v>9133.0065187042801</v>
      </c>
      <c r="O354" s="1">
        <f t="shared" si="81"/>
        <v>5.3701461845424152</v>
      </c>
      <c r="P354" s="1">
        <f t="shared" si="82"/>
        <v>82.584431203517511</v>
      </c>
      <c r="Q354" s="1">
        <f t="shared" si="83"/>
        <v>3.6250971506293777</v>
      </c>
      <c r="R354" s="1">
        <f t="shared" si="84"/>
        <v>2802.8693020667206</v>
      </c>
      <c r="S354" s="1">
        <f t="shared" si="85"/>
        <v>126.30403135361648</v>
      </c>
      <c r="T354" s="1">
        <f t="shared" si="86"/>
        <v>1023470.8141675282</v>
      </c>
      <c r="U354" s="1">
        <f t="shared" si="87"/>
        <v>797.68812246444327</v>
      </c>
      <c r="V354" s="1">
        <f t="shared" si="88"/>
        <v>8779.793352434137</v>
      </c>
      <c r="W354" s="1">
        <f t="shared" si="89"/>
        <v>381.61555482340583</v>
      </c>
      <c r="X354" s="1"/>
      <c r="Y354" s="1"/>
      <c r="Z354" s="1"/>
      <c r="AA354" s="1"/>
      <c r="AB354" s="1"/>
      <c r="AC354" s="1"/>
      <c r="AD354" s="1"/>
      <c r="AE354" s="1"/>
    </row>
    <row r="355" spans="1:31" ht="22.05" customHeight="1">
      <c r="A355" s="1">
        <f>'01 Traffic inputs'!B305</f>
        <v>0.57529043918669975</v>
      </c>
      <c r="B355" s="1">
        <f>'01 Traffic inputs'!C305</f>
        <v>4.0387107458494734E-3</v>
      </c>
      <c r="C355" s="1">
        <f>IF('01 Traffic inputs'!$B$16&lt;=2/3,(4*A355*(1-A355))^$B$16,1-ABS(2*A355-1)^$B$17)</f>
        <v>0.92505856754902061</v>
      </c>
      <c r="D355" s="1">
        <f>IF('01 Traffic inputs'!$B$16&lt;=2/3,4*$B$16*(1-2*A355)*(4*A355*(1-A355))^($B$16-1),-2*$B$17*SIGN(2*A355-1)*ABS(2*A355-1)^($B$17-1))</f>
        <v>-1.936318948427646</v>
      </c>
      <c r="E355" s="1">
        <f t="shared" si="77"/>
        <v>18.859741736293159</v>
      </c>
      <c r="F355" s="1">
        <f t="shared" si="78"/>
        <v>6.9251755684968511E-2</v>
      </c>
      <c r="G355" s="1">
        <f t="shared" si="79"/>
        <v>1.3060702270033777</v>
      </c>
      <c r="H355" s="1">
        <f>'01 Traffic inputs'!$B$8/F355</f>
        <v>15.017669800763743</v>
      </c>
      <c r="I355" s="1">
        <f>MATCH(H355,'02 Emission rates'!$A$7:$A$15,1)</f>
        <v>1</v>
      </c>
      <c r="J355" s="1">
        <f>INDEX('02 Emission rates'!$D$7:$D$15,I355)</f>
        <v>6931.8463213424902</v>
      </c>
      <c r="K355" s="1">
        <f>INDEX('02 Emission rates'!$E$7:$E$15,I355)</f>
        <v>4.0758788464844926</v>
      </c>
      <c r="L355" s="1">
        <f>INDEX('02 Emission rates'!$F$7:$F$15,I355)</f>
        <v>62.680628166186985</v>
      </c>
      <c r="M355" s="1">
        <f>INDEX('02 Emission rates'!$G$7:$G$15,I355)</f>
        <v>2.7514068118353263</v>
      </c>
      <c r="N355" s="1">
        <f t="shared" si="80"/>
        <v>9053.4780984683148</v>
      </c>
      <c r="O355" s="1">
        <f t="shared" si="81"/>
        <v>5.3233840102662668</v>
      </c>
      <c r="P355" s="1">
        <f t="shared" si="82"/>
        <v>81.865302257726142</v>
      </c>
      <c r="Q355" s="1">
        <f t="shared" si="83"/>
        <v>3.5935305193124045</v>
      </c>
      <c r="R355" s="1">
        <f t="shared" si="84"/>
        <v>2821.7290438030136</v>
      </c>
      <c r="S355" s="1">
        <f t="shared" si="85"/>
        <v>127.61010158061985</v>
      </c>
      <c r="T355" s="1">
        <f t="shared" si="86"/>
        <v>1032524.2922659965</v>
      </c>
      <c r="U355" s="1">
        <f t="shared" si="87"/>
        <v>803.01150647470956</v>
      </c>
      <c r="V355" s="1">
        <f t="shared" si="88"/>
        <v>8861.6586546918625</v>
      </c>
      <c r="W355" s="1">
        <f t="shared" si="89"/>
        <v>385.20908534271825</v>
      </c>
      <c r="X355" s="1"/>
      <c r="Y355" s="1"/>
      <c r="Z355" s="1"/>
      <c r="AA355" s="1"/>
      <c r="AB355" s="1"/>
      <c r="AC355" s="1"/>
      <c r="AD355" s="1"/>
      <c r="AE355" s="1"/>
    </row>
    <row r="356" spans="1:31" ht="22.05" customHeight="1">
      <c r="A356" s="1">
        <f>'01 Traffic inputs'!B306</f>
        <v>0.57932659186904001</v>
      </c>
      <c r="B356" s="1">
        <f>'01 Traffic inputs'!C306</f>
        <v>4.0335497108142651E-3</v>
      </c>
      <c r="C356" s="1">
        <f>IF('01 Traffic inputs'!$B$16&lt;=2/3,(4*A356*(1-A356))^$B$16,1-ABS(2*A356-1)^$B$17)</f>
        <v>0.91705833824684879</v>
      </c>
      <c r="D356" s="1">
        <f>IF('01 Traffic inputs'!$B$16&lt;=2/3,4*$B$16*(1-2*A356)*(4*A356*(1-A356))^($B$16-1),-2*$B$17*SIGN(2*A356-1)*ABS(2*A356-1)^($B$17-1))</f>
        <v>-2.0276559464304351</v>
      </c>
      <c r="E356" s="1">
        <f t="shared" si="77"/>
        <v>18.812903139291606</v>
      </c>
      <c r="F356" s="1">
        <f t="shared" si="78"/>
        <v>6.8793024539271774E-2</v>
      </c>
      <c r="G356" s="1">
        <f t="shared" si="79"/>
        <v>1.2941965073162305</v>
      </c>
      <c r="H356" s="1">
        <f>'01 Traffic inputs'!$B$8/F356</f>
        <v>15.117811827074373</v>
      </c>
      <c r="I356" s="1">
        <f>MATCH(H356,'02 Emission rates'!$A$7:$A$15,1)</f>
        <v>1</v>
      </c>
      <c r="J356" s="1">
        <f>INDEX('02 Emission rates'!$D$7:$D$15,I356)</f>
        <v>6931.8463213424902</v>
      </c>
      <c r="K356" s="1">
        <f>INDEX('02 Emission rates'!$E$7:$E$15,I356)</f>
        <v>4.0758788464844926</v>
      </c>
      <c r="L356" s="1">
        <f>INDEX('02 Emission rates'!$F$7:$F$15,I356)</f>
        <v>62.680628166186985</v>
      </c>
      <c r="M356" s="1">
        <f>INDEX('02 Emission rates'!$G$7:$G$15,I356)</f>
        <v>2.7514068118353263</v>
      </c>
      <c r="N356" s="1">
        <f t="shared" si="80"/>
        <v>8971.1712983343114</v>
      </c>
      <c r="O356" s="1">
        <f t="shared" si="81"/>
        <v>5.2749881673643371</v>
      </c>
      <c r="P356" s="1">
        <f t="shared" si="82"/>
        <v>81.12105004906654</v>
      </c>
      <c r="Q356" s="1">
        <f t="shared" si="83"/>
        <v>3.5608610860833645</v>
      </c>
      <c r="R356" s="1">
        <f t="shared" si="84"/>
        <v>2840.541946942305</v>
      </c>
      <c r="S356" s="1">
        <f t="shared" si="85"/>
        <v>128.9042980879361</v>
      </c>
      <c r="T356" s="1">
        <f t="shared" si="86"/>
        <v>1041495.4635643307</v>
      </c>
      <c r="U356" s="1">
        <f t="shared" si="87"/>
        <v>808.28649464207388</v>
      </c>
      <c r="V356" s="1">
        <f t="shared" si="88"/>
        <v>8942.7797047409294</v>
      </c>
      <c r="W356" s="1">
        <f t="shared" si="89"/>
        <v>388.76994642880163</v>
      </c>
      <c r="X356" s="1"/>
      <c r="Y356" s="1"/>
      <c r="Z356" s="1"/>
      <c r="AA356" s="1"/>
      <c r="AB356" s="1"/>
      <c r="AC356" s="1"/>
      <c r="AD356" s="1"/>
      <c r="AE356" s="1"/>
    </row>
    <row r="357" spans="1:31" ht="22.05" customHeight="1">
      <c r="A357" s="1">
        <f>'01 Traffic inputs'!B307</f>
        <v>0.58335744885061758</v>
      </c>
      <c r="B357" s="1">
        <f>'01 Traffic inputs'!C307</f>
        <v>4.028119403246635E-3</v>
      </c>
      <c r="C357" s="1">
        <f>IF('01 Traffic inputs'!$B$16&lt;=2/3,(4*A357*(1-A357))^$B$16,1-ABS(2*A357-1)^$B$17)</f>
        <v>0.90870447949989652</v>
      </c>
      <c r="D357" s="1">
        <f>IF('01 Traffic inputs'!$B$16&lt;=2/3,4*$B$16*(1-2*A357)*(4*A357*(1-A357))^($B$16-1),-2*$B$17*SIGN(2*A357-1)*ABS(2*A357-1)^($B$17-1))</f>
        <v>-2.1169750682855955</v>
      </c>
      <c r="E357" s="1">
        <f t="shared" si="77"/>
        <v>18.765369995980578</v>
      </c>
      <c r="F357" s="1">
        <f t="shared" si="78"/>
        <v>6.8314016369726213E-2</v>
      </c>
      <c r="G357" s="1">
        <f t="shared" si="79"/>
        <v>1.2819377930893863</v>
      </c>
      <c r="H357" s="1">
        <f>'01 Traffic inputs'!$B$8/F357</f>
        <v>15.223815774077412</v>
      </c>
      <c r="I357" s="1">
        <f>MATCH(H357,'02 Emission rates'!$A$7:$A$15,1)</f>
        <v>1</v>
      </c>
      <c r="J357" s="1">
        <f>INDEX('02 Emission rates'!$D$7:$D$15,I357)</f>
        <v>6931.8463213424902</v>
      </c>
      <c r="K357" s="1">
        <f>INDEX('02 Emission rates'!$E$7:$E$15,I357)</f>
        <v>4.0758788464844926</v>
      </c>
      <c r="L357" s="1">
        <f>INDEX('02 Emission rates'!$F$7:$F$15,I357)</f>
        <v>62.680628166186985</v>
      </c>
      <c r="M357" s="1">
        <f>INDEX('02 Emission rates'!$G$7:$G$15,I357)</f>
        <v>2.7514068118353263</v>
      </c>
      <c r="N357" s="1">
        <f t="shared" si="80"/>
        <v>8886.1957752165727</v>
      </c>
      <c r="O357" s="1">
        <f t="shared" si="81"/>
        <v>5.2250231333620443</v>
      </c>
      <c r="P357" s="1">
        <f t="shared" si="82"/>
        <v>80.352666140818172</v>
      </c>
      <c r="Q357" s="1">
        <f t="shared" si="83"/>
        <v>3.5271323762552824</v>
      </c>
      <c r="R357" s="1">
        <f t="shared" si="84"/>
        <v>2859.3073169382856</v>
      </c>
      <c r="S357" s="1">
        <f t="shared" si="85"/>
        <v>130.18623588102548</v>
      </c>
      <c r="T357" s="1">
        <f t="shared" si="86"/>
        <v>1050381.6593395474</v>
      </c>
      <c r="U357" s="1">
        <f t="shared" si="87"/>
        <v>813.51151777543589</v>
      </c>
      <c r="V357" s="1">
        <f t="shared" si="88"/>
        <v>9023.1323708817472</v>
      </c>
      <c r="W357" s="1">
        <f t="shared" si="89"/>
        <v>392.29707880505691</v>
      </c>
      <c r="X357" s="1"/>
      <c r="Y357" s="1"/>
      <c r="Z357" s="1"/>
      <c r="AA357" s="1"/>
      <c r="AB357" s="1"/>
      <c r="AC357" s="1"/>
      <c r="AD357" s="1"/>
      <c r="AE357" s="1"/>
    </row>
    <row r="358" spans="1:31" ht="22.05" customHeight="1">
      <c r="A358" s="1">
        <f>'01 Traffic inputs'!B308</f>
        <v>0.58738274103866206</v>
      </c>
      <c r="B358" s="1">
        <f>'01 Traffic inputs'!C308</f>
        <v>4.0224201856641955E-3</v>
      </c>
      <c r="C358" s="1">
        <f>IF('01 Traffic inputs'!$B$16&lt;=2/3,(4*A358*(1-A358))^$B$16,1-ABS(2*A358-1)^$B$17)</f>
        <v>0.90000681809730165</v>
      </c>
      <c r="D358" s="1">
        <f>IF('01 Traffic inputs'!$B$16&lt;=2/3,4*$B$16*(1-2*A358)*(4*A358*(1-A358))^($B$16-1),-2*$B$17*SIGN(2*A358-1)*ABS(2*A358-1)^($B$17-1))</f>
        <v>-2.204194534385111</v>
      </c>
      <c r="E358" s="1">
        <f t="shared" si="77"/>
        <v>18.717166720015971</v>
      </c>
      <c r="F358" s="1">
        <f t="shared" si="78"/>
        <v>6.7815294641961302E-2</v>
      </c>
      <c r="G358" s="1">
        <f t="shared" si="79"/>
        <v>1.2693101759805954</v>
      </c>
      <c r="H358" s="1">
        <f>'01 Traffic inputs'!$B$8/F358</f>
        <v>15.335773522637052</v>
      </c>
      <c r="I358" s="1">
        <f>MATCH(H358,'02 Emission rates'!$A$7:$A$15,1)</f>
        <v>1</v>
      </c>
      <c r="J358" s="1">
        <f>INDEX('02 Emission rates'!$D$7:$D$15,I358)</f>
        <v>6931.8463213424902</v>
      </c>
      <c r="K358" s="1">
        <f>INDEX('02 Emission rates'!$E$7:$E$15,I358)</f>
        <v>4.0758788464844926</v>
      </c>
      <c r="L358" s="1">
        <f>INDEX('02 Emission rates'!$F$7:$F$15,I358)</f>
        <v>62.680628166186985</v>
      </c>
      <c r="M358" s="1">
        <f>INDEX('02 Emission rates'!$G$7:$G$15,I358)</f>
        <v>2.7514068118353263</v>
      </c>
      <c r="N358" s="1">
        <f t="shared" si="80"/>
        <v>8798.6630740136789</v>
      </c>
      <c r="O358" s="1">
        <f t="shared" si="81"/>
        <v>5.1735544959068172</v>
      </c>
      <c r="P358" s="1">
        <f t="shared" si="82"/>
        <v>79.561159168197065</v>
      </c>
      <c r="Q358" s="1">
        <f t="shared" si="83"/>
        <v>3.4923886645249067</v>
      </c>
      <c r="R358" s="1">
        <f t="shared" si="84"/>
        <v>2878.0244836583015</v>
      </c>
      <c r="S358" s="1">
        <f t="shared" si="85"/>
        <v>131.45554605700607</v>
      </c>
      <c r="T358" s="1">
        <f t="shared" si="86"/>
        <v>1059180.3224135612</v>
      </c>
      <c r="U358" s="1">
        <f t="shared" si="87"/>
        <v>818.68507227134273</v>
      </c>
      <c r="V358" s="1">
        <f t="shared" si="88"/>
        <v>9102.6935300499445</v>
      </c>
      <c r="W358" s="1">
        <f t="shared" si="89"/>
        <v>395.78946746958184</v>
      </c>
      <c r="X358" s="1"/>
      <c r="Y358" s="1"/>
      <c r="Z358" s="1"/>
      <c r="AA358" s="1"/>
      <c r="AB358" s="1"/>
      <c r="AC358" s="1"/>
      <c r="AD358" s="1"/>
      <c r="AE358" s="1"/>
    </row>
    <row r="359" spans="1:31" ht="22.05" customHeight="1">
      <c r="A359" s="1">
        <f>'01 Traffic inputs'!B309</f>
        <v>0.59140219971189834</v>
      </c>
      <c r="B359" s="1">
        <f>'01 Traffic inputs'!C309</f>
        <v>4.0164524385364513E-3</v>
      </c>
      <c r="C359" s="1">
        <f>IF('01 Traffic inputs'!$B$16&lt;=2/3,(4*A359*(1-A359))^$B$16,1-ABS(2*A359-1)^$B$17)</f>
        <v>0.89097553944730457</v>
      </c>
      <c r="D359" s="1">
        <f>IF('01 Traffic inputs'!$B$16&lt;=2/3,4*$B$16*(1-2*A359)*(4*A359*(1-A359))^($B$16-1),-2*$B$17*SIGN(2*A359-1)*ABS(2*A359-1)^($B$17-1))</f>
        <v>-2.2892356391998816</v>
      </c>
      <c r="E359" s="1">
        <f t="shared" si="77"/>
        <v>18.668316717131223</v>
      </c>
      <c r="F359" s="1">
        <f t="shared" si="78"/>
        <v>6.7297443384736089E-2</v>
      </c>
      <c r="G359" s="1">
        <f t="shared" si="79"/>
        <v>1.2563299873594607</v>
      </c>
      <c r="H359" s="1">
        <f>'01 Traffic inputs'!$B$8/F359</f>
        <v>15.453781714327436</v>
      </c>
      <c r="I359" s="1">
        <f>MATCH(H359,'02 Emission rates'!$A$7:$A$15,1)</f>
        <v>1</v>
      </c>
      <c r="J359" s="1">
        <f>INDEX('02 Emission rates'!$D$7:$D$15,I359)</f>
        <v>6931.8463213424902</v>
      </c>
      <c r="K359" s="1">
        <f>INDEX('02 Emission rates'!$E$7:$E$15,I359)</f>
        <v>4.0758788464844926</v>
      </c>
      <c r="L359" s="1">
        <f>INDEX('02 Emission rates'!$F$7:$F$15,I359)</f>
        <v>62.680628166186985</v>
      </c>
      <c r="M359" s="1">
        <f>INDEX('02 Emission rates'!$G$7:$G$15,I359)</f>
        <v>2.7514068118353263</v>
      </c>
      <c r="N359" s="1">
        <f t="shared" si="80"/>
        <v>8708.6864012699352</v>
      </c>
      <c r="O359" s="1">
        <f t="shared" si="81"/>
        <v>5.1206488196825557</v>
      </c>
      <c r="P359" s="1">
        <f t="shared" si="82"/>
        <v>78.747552791708742</v>
      </c>
      <c r="Q359" s="1">
        <f t="shared" si="83"/>
        <v>3.4566748851338094</v>
      </c>
      <c r="R359" s="1">
        <f t="shared" si="84"/>
        <v>2896.6928003754329</v>
      </c>
      <c r="S359" s="1">
        <f t="shared" si="85"/>
        <v>132.71187604436554</v>
      </c>
      <c r="T359" s="1">
        <f t="shared" si="86"/>
        <v>1067889.008814831</v>
      </c>
      <c r="U359" s="1">
        <f t="shared" si="87"/>
        <v>823.80572109102525</v>
      </c>
      <c r="V359" s="1">
        <f t="shared" si="88"/>
        <v>9181.441082841653</v>
      </c>
      <c r="W359" s="1">
        <f t="shared" si="89"/>
        <v>399.24614235471563</v>
      </c>
      <c r="X359" s="1"/>
      <c r="Y359" s="1"/>
      <c r="Z359" s="1"/>
      <c r="AA359" s="1"/>
      <c r="AB359" s="1"/>
      <c r="AC359" s="1"/>
      <c r="AD359" s="1"/>
      <c r="AE359" s="1"/>
    </row>
    <row r="360" spans="1:31" ht="22.05" customHeight="1">
      <c r="A360" s="1">
        <f>'01 Traffic inputs'!B310</f>
        <v>0.59541555653848621</v>
      </c>
      <c r="B360" s="1">
        <f>'01 Traffic inputs'!C310</f>
        <v>4.0102165602594886E-3</v>
      </c>
      <c r="C360" s="1">
        <f>IF('01 Traffic inputs'!$B$16&lt;=2/3,(4*A360*(1-A360))^$B$16,1-ABS(2*A360-1)^$B$17)</f>
        <v>0.88162116957350078</v>
      </c>
      <c r="D360" s="1">
        <f>IF('01 Traffic inputs'!$B$16&lt;=2/3,4*$B$16*(1-2*A360)*(4*A360*(1-A360))^($B$16-1),-2*$B$17*SIGN(2*A360-1)*ABS(2*A360-1)^($B$17-1))</f>
        <v>-2.372022858341388</v>
      </c>
      <c r="E360" s="1">
        <f t="shared" si="77"/>
        <v>18.618842350893825</v>
      </c>
      <c r="F360" s="1">
        <f t="shared" si="78"/>
        <v>6.676106615760885E-2</v>
      </c>
      <c r="G360" s="1">
        <f t="shared" si="79"/>
        <v>1.2430137659661122</v>
      </c>
      <c r="H360" s="1">
        <f>'01 Traffic inputs'!$B$8/F360</f>
        <v>15.577941753428547</v>
      </c>
      <c r="I360" s="1">
        <f>MATCH(H360,'02 Emission rates'!$A$7:$A$15,1)</f>
        <v>1</v>
      </c>
      <c r="J360" s="1">
        <f>INDEX('02 Emission rates'!$D$7:$D$15,I360)</f>
        <v>6931.8463213424902</v>
      </c>
      <c r="K360" s="1">
        <f>INDEX('02 Emission rates'!$E$7:$E$15,I360)</f>
        <v>4.0758788464844926</v>
      </c>
      <c r="L360" s="1">
        <f>INDEX('02 Emission rates'!$F$7:$F$15,I360)</f>
        <v>62.680628166186985</v>
      </c>
      <c r="M360" s="1">
        <f>INDEX('02 Emission rates'!$G$7:$G$15,I360)</f>
        <v>2.7514068118353263</v>
      </c>
      <c r="N360" s="1">
        <f t="shared" si="80"/>
        <v>8616.3804009902706</v>
      </c>
      <c r="O360" s="1">
        <f t="shared" si="81"/>
        <v>5.0663735145903024</v>
      </c>
      <c r="P360" s="1">
        <f t="shared" si="82"/>
        <v>77.912883669973652</v>
      </c>
      <c r="Q360" s="1">
        <f t="shared" si="83"/>
        <v>3.4200365428842434</v>
      </c>
      <c r="R360" s="1">
        <f t="shared" si="84"/>
        <v>2915.3116427263267</v>
      </c>
      <c r="S360" s="1">
        <f t="shared" si="85"/>
        <v>133.95488981033165</v>
      </c>
      <c r="T360" s="1">
        <f t="shared" si="86"/>
        <v>1076505.3892158214</v>
      </c>
      <c r="U360" s="1">
        <f t="shared" si="87"/>
        <v>828.87209460561553</v>
      </c>
      <c r="V360" s="1">
        <f t="shared" si="88"/>
        <v>9259.3539665116259</v>
      </c>
      <c r="W360" s="1">
        <f t="shared" si="89"/>
        <v>402.66617889759988</v>
      </c>
      <c r="X360" s="1"/>
      <c r="Y360" s="1"/>
      <c r="Z360" s="1"/>
      <c r="AA360" s="1"/>
      <c r="AB360" s="1"/>
      <c r="AC360" s="1"/>
      <c r="AD360" s="1"/>
      <c r="AE360" s="1"/>
    </row>
    <row r="361" spans="1:31" ht="22.05" customHeight="1">
      <c r="A361" s="1">
        <f>'01 Traffic inputs'!B311</f>
        <v>0.59942254359393421</v>
      </c>
      <c r="B361" s="1">
        <f>'01 Traffic inputs'!C311</f>
        <v>4.0037129671293423E-3</v>
      </c>
      <c r="C361" s="1">
        <f>IF('01 Traffic inputs'!$B$16&lt;=2/3,(4*A361*(1-A361))^$B$16,1-ABS(2*A361-1)^$B$17)</f>
        <v>0.87195455657844634</v>
      </c>
      <c r="D361" s="1">
        <f>IF('01 Traffic inputs'!$B$16&lt;=2/3,4*$B$16*(1-2*A361)*(4*A361*(1-A361))^($B$16-1),-2*$B$17*SIGN(2*A361-1)*ABS(2*A361-1)^($B$17-1))</f>
        <v>-2.4524839499139559</v>
      </c>
      <c r="E361" s="1">
        <f t="shared" si="77"/>
        <v>18.568764910962635</v>
      </c>
      <c r="F361" s="1">
        <f t="shared" si="78"/>
        <v>6.6206784988064815E-2</v>
      </c>
      <c r="G361" s="1">
        <f t="shared" si="79"/>
        <v>1.2293782259540256</v>
      </c>
      <c r="H361" s="1">
        <f>'01 Traffic inputs'!$B$8/F361</f>
        <v>15.708359803115385</v>
      </c>
      <c r="I361" s="1">
        <f>MATCH(H361,'02 Emission rates'!$A$7:$A$15,1)</f>
        <v>1</v>
      </c>
      <c r="J361" s="1">
        <f>INDEX('02 Emission rates'!$D$7:$D$15,I361)</f>
        <v>6931.8463213424902</v>
      </c>
      <c r="K361" s="1">
        <f>INDEX('02 Emission rates'!$E$7:$E$15,I361)</f>
        <v>4.0758788464844926</v>
      </c>
      <c r="L361" s="1">
        <f>INDEX('02 Emission rates'!$F$7:$F$15,I361)</f>
        <v>62.680628166186985</v>
      </c>
      <c r="M361" s="1">
        <f>INDEX('02 Emission rates'!$G$7:$G$15,I361)</f>
        <v>2.7514068118353263</v>
      </c>
      <c r="N361" s="1">
        <f t="shared" si="80"/>
        <v>8521.8609331179687</v>
      </c>
      <c r="O361" s="1">
        <f t="shared" si="81"/>
        <v>5.0107967054946458</v>
      </c>
      <c r="P361" s="1">
        <f t="shared" si="82"/>
        <v>77.058199456630888</v>
      </c>
      <c r="Q361" s="1">
        <f t="shared" si="83"/>
        <v>3.3825196252119349</v>
      </c>
      <c r="R361" s="1">
        <f t="shared" si="84"/>
        <v>2933.8804076372894</v>
      </c>
      <c r="S361" s="1">
        <f t="shared" si="85"/>
        <v>135.18426803628569</v>
      </c>
      <c r="T361" s="1">
        <f t="shared" si="86"/>
        <v>1085027.2501489394</v>
      </c>
      <c r="U361" s="1">
        <f t="shared" si="87"/>
        <v>833.88289131111014</v>
      </c>
      <c r="V361" s="1">
        <f t="shared" si="88"/>
        <v>9336.4121659682569</v>
      </c>
      <c r="W361" s="1">
        <f t="shared" si="89"/>
        <v>406.04869852281183</v>
      </c>
      <c r="X361" s="1"/>
      <c r="Y361" s="1"/>
      <c r="Z361" s="1"/>
      <c r="AA361" s="1"/>
      <c r="AB361" s="1"/>
      <c r="AC361" s="1"/>
      <c r="AD361" s="1"/>
      <c r="AE361" s="1"/>
    </row>
    <row r="362" spans="1:31" ht="22.05" customHeight="1">
      <c r="A362" s="1">
        <f>'01 Traffic inputs'!B312</f>
        <v>0.60342289337898491</v>
      </c>
      <c r="B362" s="1">
        <f>'01 Traffic inputs'!C312</f>
        <v>3.9969420933141948E-3</v>
      </c>
      <c r="C362" s="1">
        <f>IF('01 Traffic inputs'!$B$16&lt;=2/3,(4*A362*(1-A362))^$B$16,1-ABS(2*A362-1)^$B$17)</f>
        <v>0.86198685161576072</v>
      </c>
      <c r="D362" s="1">
        <f>IF('01 Traffic inputs'!$B$16&lt;=2/3,4*$B$16*(1-2*A362)*(4*A362*(1-A362))^($B$16-1),-2*$B$17*SIGN(2*A362-1)*ABS(2*A362-1)^($B$17-1))</f>
        <v>-2.5305500499860503</v>
      </c>
      <c r="E362" s="1">
        <f t="shared" si="77"/>
        <v>18.518104583909601</v>
      </c>
      <c r="F362" s="1">
        <f t="shared" si="78"/>
        <v>6.5635239280461333E-2</v>
      </c>
      <c r="G362" s="1">
        <f t="shared" si="79"/>
        <v>1.2154402253855145</v>
      </c>
      <c r="H362" s="1">
        <f>'01 Traffic inputs'!$B$8/F362</f>
        <v>15.845146774830354</v>
      </c>
      <c r="I362" s="1">
        <f>MATCH(H362,'02 Emission rates'!$A$7:$A$15,1)</f>
        <v>1</v>
      </c>
      <c r="J362" s="1">
        <f>INDEX('02 Emission rates'!$D$7:$D$15,I362)</f>
        <v>6931.8463213424902</v>
      </c>
      <c r="K362" s="1">
        <f>INDEX('02 Emission rates'!$E$7:$E$15,I362)</f>
        <v>4.0758788464844926</v>
      </c>
      <c r="L362" s="1">
        <f>INDEX('02 Emission rates'!$F$7:$F$15,I362)</f>
        <v>62.680628166186985</v>
      </c>
      <c r="M362" s="1">
        <f>INDEX('02 Emission rates'!$G$7:$G$15,I362)</f>
        <v>2.7514068118353263</v>
      </c>
      <c r="N362" s="1">
        <f t="shared" si="80"/>
        <v>8425.2448551502657</v>
      </c>
      <c r="O362" s="1">
        <f t="shared" si="81"/>
        <v>4.9539871038151624</v>
      </c>
      <c r="P362" s="1">
        <f t="shared" si="82"/>
        <v>76.184556825615942</v>
      </c>
      <c r="Q362" s="1">
        <f t="shared" si="83"/>
        <v>3.3441705155043691</v>
      </c>
      <c r="R362" s="1">
        <f t="shared" si="84"/>
        <v>2952.3985122211989</v>
      </c>
      <c r="S362" s="1">
        <f t="shared" si="85"/>
        <v>136.39970826167121</v>
      </c>
      <c r="T362" s="1">
        <f t="shared" si="86"/>
        <v>1093452.4950040898</v>
      </c>
      <c r="U362" s="1">
        <f t="shared" si="87"/>
        <v>838.83687841492531</v>
      </c>
      <c r="V362" s="1">
        <f t="shared" si="88"/>
        <v>9412.5967227938727</v>
      </c>
      <c r="W362" s="1">
        <f t="shared" si="89"/>
        <v>409.39286903831618</v>
      </c>
      <c r="X362" s="1"/>
      <c r="Y362" s="1"/>
      <c r="Z362" s="1"/>
      <c r="AA362" s="1"/>
      <c r="AB362" s="1"/>
      <c r="AC362" s="1"/>
      <c r="AD362" s="1"/>
      <c r="AE362" s="1"/>
    </row>
    <row r="363" spans="1:31" ht="22.05" customHeight="1">
      <c r="A363" s="1">
        <f>'01 Traffic inputs'!B313</f>
        <v>0.60741633883747337</v>
      </c>
      <c r="B363" s="1">
        <f>'01 Traffic inputs'!C313</f>
        <v>3.9899043908254335E-3</v>
      </c>
      <c r="C363" s="1">
        <f>IF('01 Traffic inputs'!$B$16&lt;=2/3,(4*A363*(1-A363))^$B$16,1-ABS(2*A363-1)^$B$17)</f>
        <v>0.85172948941282534</v>
      </c>
      <c r="D363" s="1">
        <f>IF('01 Traffic inputs'!$B$16&lt;=2/3,4*$B$16*(1-2*A363)*(4*A363*(1-A363))^($B$16-1),-2*$B$17*SIGN(2*A363-1)*ABS(2*A363-1)^($B$17-1))</f>
        <v>-2.6061557620209133</v>
      </c>
      <c r="E363" s="1">
        <f t="shared" si="77"/>
        <v>18.466880426662389</v>
      </c>
      <c r="F363" s="1">
        <f t="shared" si="78"/>
        <v>6.5047084699204338E-2</v>
      </c>
      <c r="G363" s="1">
        <f t="shared" si="79"/>
        <v>1.2012167352431871</v>
      </c>
      <c r="H363" s="1">
        <f>'01 Traffic inputs'!$B$8/F363</f>
        <v>15.988418309740819</v>
      </c>
      <c r="I363" s="1">
        <f>MATCH(H363,'02 Emission rates'!$A$7:$A$15,1)</f>
        <v>1</v>
      </c>
      <c r="J363" s="1">
        <f>INDEX('02 Emission rates'!$D$7:$D$15,I363)</f>
        <v>6931.8463213424902</v>
      </c>
      <c r="K363" s="1">
        <f>INDEX('02 Emission rates'!$E$7:$E$15,I363)</f>
        <v>4.0758788464844926</v>
      </c>
      <c r="L363" s="1">
        <f>INDEX('02 Emission rates'!$F$7:$F$15,I363)</f>
        <v>62.680628166186985</v>
      </c>
      <c r="M363" s="1">
        <f>INDEX('02 Emission rates'!$G$7:$G$15,I363)</f>
        <v>2.7514068118353263</v>
      </c>
      <c r="N363" s="1">
        <f t="shared" si="80"/>
        <v>8326.6498073305229</v>
      </c>
      <c r="O363" s="1">
        <f t="shared" si="81"/>
        <v>4.8960138812208696</v>
      </c>
      <c r="P363" s="1">
        <f t="shared" si="82"/>
        <v>75.293019528779283</v>
      </c>
      <c r="Q363" s="1">
        <f t="shared" si="83"/>
        <v>3.3050359078386964</v>
      </c>
      <c r="R363" s="1">
        <f t="shared" si="84"/>
        <v>2970.8653926478614</v>
      </c>
      <c r="S363" s="1">
        <f t="shared" si="85"/>
        <v>137.60092499691439</v>
      </c>
      <c r="T363" s="1">
        <f t="shared" si="86"/>
        <v>1101779.1448114202</v>
      </c>
      <c r="U363" s="1">
        <f t="shared" si="87"/>
        <v>843.73289229614613</v>
      </c>
      <c r="V363" s="1">
        <f t="shared" si="88"/>
        <v>9487.8897423226517</v>
      </c>
      <c r="W363" s="1">
        <f t="shared" si="89"/>
        <v>412.69790494615489</v>
      </c>
      <c r="X363" s="1"/>
      <c r="Y363" s="1"/>
      <c r="Z363" s="1"/>
      <c r="AA363" s="1"/>
      <c r="AB363" s="1"/>
      <c r="AC363" s="1"/>
      <c r="AD363" s="1"/>
      <c r="AE363" s="1"/>
    </row>
    <row r="364" spans="1:31" ht="22.05" customHeight="1">
      <c r="A364" s="1">
        <f>'01 Traffic inputs'!B314</f>
        <v>0.61140261337415502</v>
      </c>
      <c r="B364" s="1">
        <f>'01 Traffic inputs'!C314</f>
        <v>3.9826003294874141E-3</v>
      </c>
      <c r="C364" s="1">
        <f>IF('01 Traffic inputs'!$B$16&lt;=2/3,(4*A364*(1-A364))^$B$16,1-ABS(2*A364-1)^$B$17)</f>
        <v>0.84119416838704875</v>
      </c>
      <c r="D364" s="1">
        <f>IF('01 Traffic inputs'!$B$16&lt;=2/3,4*$B$16*(1-2*A364)*(4*A364*(1-A364))^($B$16-1),-2*$B$17*SIGN(2*A364-1)*ABS(2*A364-1)^($B$17-1))</f>
        <v>-2.6792392401188683</v>
      </c>
      <c r="E364" s="1">
        <f t="shared" si="77"/>
        <v>18.415110342616984</v>
      </c>
      <c r="F364" s="1">
        <f t="shared" si="78"/>
        <v>6.4442992028619819E-2</v>
      </c>
      <c r="G364" s="1">
        <f t="shared" si="79"/>
        <v>1.1867248090154208</v>
      </c>
      <c r="H364" s="1">
        <f>'01 Traffic inputs'!$B$8/F364</f>
        <v>16.138294751090164</v>
      </c>
      <c r="I364" s="1">
        <f>MATCH(H364,'02 Emission rates'!$A$7:$A$15,1)</f>
        <v>1</v>
      </c>
      <c r="J364" s="1">
        <f>INDEX('02 Emission rates'!$D$7:$D$15,I364)</f>
        <v>6931.8463213424902</v>
      </c>
      <c r="K364" s="1">
        <f>INDEX('02 Emission rates'!$E$7:$E$15,I364)</f>
        <v>4.0758788464844926</v>
      </c>
      <c r="L364" s="1">
        <f>INDEX('02 Emission rates'!$F$7:$F$15,I364)</f>
        <v>62.680628166186985</v>
      </c>
      <c r="M364" s="1">
        <f>INDEX('02 Emission rates'!$G$7:$G$15,I364)</f>
        <v>2.7514068118353263</v>
      </c>
      <c r="N364" s="1">
        <f t="shared" si="80"/>
        <v>8226.1940018194146</v>
      </c>
      <c r="O364" s="1">
        <f t="shared" si="81"/>
        <v>4.8369465456643033</v>
      </c>
      <c r="P364" s="1">
        <f t="shared" si="82"/>
        <v>74.384656489484854</v>
      </c>
      <c r="Q364" s="1">
        <f t="shared" si="83"/>
        <v>3.2651627232990053</v>
      </c>
      <c r="R364" s="1">
        <f t="shared" si="84"/>
        <v>2989.2805029904785</v>
      </c>
      <c r="S364" s="1">
        <f t="shared" si="85"/>
        <v>138.78764980592982</v>
      </c>
      <c r="T364" s="1">
        <f t="shared" si="86"/>
        <v>1110005.3388132397</v>
      </c>
      <c r="U364" s="1">
        <f t="shared" si="87"/>
        <v>848.56983884181045</v>
      </c>
      <c r="V364" s="1">
        <f t="shared" si="88"/>
        <v>9562.2743988121365</v>
      </c>
      <c r="W364" s="1">
        <f t="shared" si="89"/>
        <v>415.96306766945389</v>
      </c>
      <c r="X364" s="1"/>
      <c r="Y364" s="1"/>
      <c r="Z364" s="1"/>
      <c r="AA364" s="1"/>
      <c r="AB364" s="1"/>
      <c r="AC364" s="1"/>
      <c r="AD364" s="1"/>
      <c r="AE364" s="1"/>
    </row>
    <row r="365" spans="1:31" ht="22.05" customHeight="1">
      <c r="A365" s="1">
        <f>'01 Traffic inputs'!B315</f>
        <v>0.61538145087250307</v>
      </c>
      <c r="B365" s="1">
        <f>'01 Traffic inputs'!C315</f>
        <v>3.9750303969061755E-3</v>
      </c>
      <c r="C365" s="1">
        <f>IF('01 Traffic inputs'!$B$16&lt;=2/3,(4*A365*(1-A365))^$B$16,1-ABS(2*A365-1)^$B$17)</f>
        <v>0.83039283039941703</v>
      </c>
      <c r="D365" s="1">
        <f>IF('01 Traffic inputs'!$B$16&lt;=2/3,4*$B$16*(1-2*A365)*(4*A365*(1-A365))^($B$16-1),-2*$B$17*SIGN(2*A365-1)*ABS(2*A365-1)^($B$17-1))</f>
        <v>-2.7497422659360926</v>
      </c>
      <c r="E365" s="1">
        <f t="shared" si="77"/>
        <v>18.362811060464281</v>
      </c>
      <c r="F365" s="1">
        <f t="shared" si="78"/>
        <v>6.3823646012027668E-2</v>
      </c>
      <c r="G365" s="1">
        <f t="shared" si="79"/>
        <v>1.1719815529088187</v>
      </c>
      <c r="H365" s="1">
        <f>'01 Traffic inputs'!$B$8/F365</f>
        <v>16.294901106151642</v>
      </c>
      <c r="I365" s="1">
        <f>MATCH(H365,'02 Emission rates'!$A$7:$A$15,1)</f>
        <v>1</v>
      </c>
      <c r="J365" s="1">
        <f>INDEX('02 Emission rates'!$D$7:$D$15,I365)</f>
        <v>6931.8463213424902</v>
      </c>
      <c r="K365" s="1">
        <f>INDEX('02 Emission rates'!$E$7:$E$15,I365)</f>
        <v>4.0758788464844926</v>
      </c>
      <c r="L365" s="1">
        <f>INDEX('02 Emission rates'!$F$7:$F$15,I365)</f>
        <v>62.680628166186985</v>
      </c>
      <c r="M365" s="1">
        <f>INDEX('02 Emission rates'!$G$7:$G$15,I365)</f>
        <v>2.7514068118353263</v>
      </c>
      <c r="N365" s="1">
        <f t="shared" si="80"/>
        <v>8123.9960162122534</v>
      </c>
      <c r="O365" s="1">
        <f t="shared" si="81"/>
        <v>4.7768548199711001</v>
      </c>
      <c r="P365" s="1">
        <f t="shared" si="82"/>
        <v>73.460539935508066</v>
      </c>
      <c r="Q365" s="1">
        <f t="shared" si="83"/>
        <v>3.2245980280186677</v>
      </c>
      <c r="R365" s="1">
        <f t="shared" si="84"/>
        <v>3007.6433140509425</v>
      </c>
      <c r="S365" s="1">
        <f t="shared" si="85"/>
        <v>139.95963135883864</v>
      </c>
      <c r="T365" s="1">
        <f t="shared" si="86"/>
        <v>1118129.334829452</v>
      </c>
      <c r="U365" s="1">
        <f t="shared" si="87"/>
        <v>853.3466936617815</v>
      </c>
      <c r="V365" s="1">
        <f t="shared" si="88"/>
        <v>9635.7349387476443</v>
      </c>
      <c r="W365" s="1">
        <f t="shared" si="89"/>
        <v>419.18766569747254</v>
      </c>
      <c r="X365" s="1"/>
      <c r="Y365" s="1"/>
      <c r="Z365" s="1"/>
      <c r="AA365" s="1"/>
      <c r="AB365" s="1"/>
      <c r="AC365" s="1"/>
      <c r="AD365" s="1"/>
      <c r="AE365" s="1"/>
    </row>
    <row r="366" spans="1:31" ht="22.05" customHeight="1">
      <c r="A366" s="1">
        <f>'01 Traffic inputs'!B316</f>
        <v>0.61935258571247431</v>
      </c>
      <c r="B366" s="1">
        <f>'01 Traffic inputs'!C316</f>
        <v>3.9671950984367793E-3</v>
      </c>
      <c r="C366" s="1">
        <f>IF('01 Traffic inputs'!$B$16&lt;=2/3,(4*A366*(1-A366))^$B$16,1-ABS(2*A366-1)^$B$17)</f>
        <v>0.81933764018968014</v>
      </c>
      <c r="D366" s="1">
        <f>IF('01 Traffic inputs'!$B$16&lt;=2/3,4*$B$16*(1-2*A366)*(4*A366*(1-A366))^($B$16-1),-2*$B$17*SIGN(2*A366-1)*ABS(2*A366-1)^($B$17-1))</f>
        <v>-2.8176103191572675</v>
      </c>
      <c r="E366" s="1">
        <f t="shared" si="77"/>
        <v>18.309998115765218</v>
      </c>
      <c r="F366" s="1">
        <f t="shared" si="78"/>
        <v>6.3189744172560236E-2</v>
      </c>
      <c r="G366" s="1">
        <f t="shared" si="79"/>
        <v>1.1570040967352642</v>
      </c>
      <c r="H366" s="1">
        <f>'01 Traffic inputs'!$B$8/F366</f>
        <v>16.458366996390438</v>
      </c>
      <c r="I366" s="1">
        <f>MATCH(H366,'02 Emission rates'!$A$7:$A$15,1)</f>
        <v>1</v>
      </c>
      <c r="J366" s="1">
        <f>INDEX('02 Emission rates'!$D$7:$D$15,I366)</f>
        <v>6931.8463213424902</v>
      </c>
      <c r="K366" s="1">
        <f>INDEX('02 Emission rates'!$E$7:$E$15,I366)</f>
        <v>4.0758788464844926</v>
      </c>
      <c r="L366" s="1">
        <f>INDEX('02 Emission rates'!$F$7:$F$15,I366)</f>
        <v>62.680628166186985</v>
      </c>
      <c r="M366" s="1">
        <f>INDEX('02 Emission rates'!$G$7:$G$15,I366)</f>
        <v>2.7514068118353263</v>
      </c>
      <c r="N366" s="1">
        <f t="shared" si="80"/>
        <v>8020.1745917325316</v>
      </c>
      <c r="O366" s="1">
        <f t="shared" si="81"/>
        <v>4.7158085231791604</v>
      </c>
      <c r="P366" s="1">
        <f t="shared" si="82"/>
        <v>72.521743574218135</v>
      </c>
      <c r="Q366" s="1">
        <f t="shared" si="83"/>
        <v>3.1833889530787847</v>
      </c>
      <c r="R366" s="1">
        <f t="shared" si="84"/>
        <v>3025.9533121667077</v>
      </c>
      <c r="S366" s="1">
        <f t="shared" si="85"/>
        <v>141.11663545557391</v>
      </c>
      <c r="T366" s="1">
        <f t="shared" si="86"/>
        <v>1126149.5094211844</v>
      </c>
      <c r="U366" s="1">
        <f t="shared" si="87"/>
        <v>858.06250218496064</v>
      </c>
      <c r="V366" s="1">
        <f t="shared" si="88"/>
        <v>9708.2566823218622</v>
      </c>
      <c r="W366" s="1">
        <f t="shared" si="89"/>
        <v>422.37105465055134</v>
      </c>
      <c r="X366" s="1"/>
      <c r="Y366" s="1"/>
      <c r="Z366" s="1"/>
      <c r="AA366" s="1"/>
      <c r="AB366" s="1"/>
      <c r="AC366" s="1"/>
      <c r="AD366" s="1"/>
      <c r="AE366" s="1"/>
    </row>
    <row r="367" spans="1:31" ht="22.05" customHeight="1">
      <c r="A367" s="1">
        <f>'01 Traffic inputs'!B317</f>
        <v>0.62331575278824092</v>
      </c>
      <c r="B367" s="1">
        <f>'01 Traffic inputs'!C317</f>
        <v>3.959094957149723E-3</v>
      </c>
      <c r="C367" s="1">
        <f>IF('01 Traffic inputs'!$B$16&lt;=2/3,(4*A367*(1-A367))^$B$16,1-ABS(2*A367-1)^$B$17)</f>
        <v>0.80804096453806817</v>
      </c>
      <c r="D367" s="1">
        <f>IF('01 Traffic inputs'!$B$16&lt;=2/3,4*$B$16*(1-2*A367)*(4*A367*(1-A367))^($B$16-1),-2*$B$17*SIGN(2*A367-1)*ABS(2*A367-1)^($B$17-1))</f>
        <v>-2.8827926414123892</v>
      </c>
      <c r="E367" s="1">
        <f t="shared" si="77"/>
        <v>18.256685835305589</v>
      </c>
      <c r="F367" s="1">
        <f t="shared" si="78"/>
        <v>6.2541995618300483E-2</v>
      </c>
      <c r="G367" s="1">
        <f t="shared" si="79"/>
        <v>1.1418095655163707</v>
      </c>
      <c r="H367" s="1">
        <f>'01 Traffic inputs'!$B$8/F367</f>
        <v>16.628826594329283</v>
      </c>
      <c r="I367" s="1">
        <f>MATCH(H367,'02 Emission rates'!$A$7:$A$15,1)</f>
        <v>1</v>
      </c>
      <c r="J367" s="1">
        <f>INDEX('02 Emission rates'!$D$7:$D$15,I367)</f>
        <v>6931.8463213424902</v>
      </c>
      <c r="K367" s="1">
        <f>INDEX('02 Emission rates'!$E$7:$E$15,I367)</f>
        <v>4.0758788464844926</v>
      </c>
      <c r="L367" s="1">
        <f>INDEX('02 Emission rates'!$F$7:$F$15,I367)</f>
        <v>62.680628166186985</v>
      </c>
      <c r="M367" s="1">
        <f>INDEX('02 Emission rates'!$G$7:$G$15,I367)</f>
        <v>2.7514068118353263</v>
      </c>
      <c r="N367" s="1">
        <f t="shared" si="80"/>
        <v>7914.8484363983216</v>
      </c>
      <c r="O367" s="1">
        <f t="shared" si="81"/>
        <v>4.6538774548018242</v>
      </c>
      <c r="P367" s="1">
        <f t="shared" si="82"/>
        <v>71.569340812727148</v>
      </c>
      <c r="Q367" s="1">
        <f t="shared" si="83"/>
        <v>3.1415826163804765</v>
      </c>
      <c r="R367" s="1">
        <f t="shared" si="84"/>
        <v>3044.2099980020134</v>
      </c>
      <c r="S367" s="1">
        <f t="shared" si="85"/>
        <v>142.2584450210903</v>
      </c>
      <c r="T367" s="1">
        <f t="shared" si="86"/>
        <v>1134064.3578575829</v>
      </c>
      <c r="U367" s="1">
        <f t="shared" si="87"/>
        <v>862.71637963976241</v>
      </c>
      <c r="V367" s="1">
        <f t="shared" si="88"/>
        <v>9779.8260231345885</v>
      </c>
      <c r="W367" s="1">
        <f t="shared" si="89"/>
        <v>425.51263726693185</v>
      </c>
      <c r="X367" s="1"/>
      <c r="Y367" s="1"/>
      <c r="Z367" s="1"/>
      <c r="AA367" s="1"/>
      <c r="AB367" s="1"/>
      <c r="AC367" s="1"/>
      <c r="AD367" s="1"/>
      <c r="AE367" s="1"/>
    </row>
    <row r="368" spans="1:31" ht="22.05" customHeight="1">
      <c r="A368" s="1">
        <f>'01 Traffic inputs'!B318</f>
        <v>0.62727068752588866</v>
      </c>
      <c r="B368" s="1">
        <f>'01 Traffic inputs'!C318</f>
        <v>3.9507305137958405E-3</v>
      </c>
      <c r="C368" s="1">
        <f>IF('01 Traffic inputs'!$B$16&lt;=2/3,(4*A368*(1-A368))^$B$16,1-ABS(2*A368-1)^$B$17)</f>
        <v>0.79651535119882722</v>
      </c>
      <c r="D368" s="1">
        <f>IF('01 Traffic inputs'!$B$16&lt;=2/3,4*$B$16*(1-2*A368)*(4*A368*(1-A368))^($B$16-1),-2*$B$17*SIGN(2*A368-1)*ABS(2*A368-1)^($B$17-1))</f>
        <v>-2.9452422935411566</v>
      </c>
      <c r="E368" s="1">
        <f t="shared" si="77"/>
        <v>18.20288732424989</v>
      </c>
      <c r="F368" s="1">
        <f t="shared" si="78"/>
        <v>6.1881119834336099E-2</v>
      </c>
      <c r="G368" s="1">
        <f t="shared" si="79"/>
        <v>1.1264150518428251</v>
      </c>
      <c r="H368" s="1">
        <f>'01 Traffic inputs'!$B$8/F368</f>
        <v>16.806418545498811</v>
      </c>
      <c r="I368" s="1">
        <f>MATCH(H368,'02 Emission rates'!$A$7:$A$15,1)</f>
        <v>1</v>
      </c>
      <c r="J368" s="1">
        <f>INDEX('02 Emission rates'!$D$7:$D$15,I368)</f>
        <v>6931.8463213424902</v>
      </c>
      <c r="K368" s="1">
        <f>INDEX('02 Emission rates'!$E$7:$E$15,I368)</f>
        <v>4.0758788464844926</v>
      </c>
      <c r="L368" s="1">
        <f>INDEX('02 Emission rates'!$F$7:$F$15,I368)</f>
        <v>62.680628166186985</v>
      </c>
      <c r="M368" s="1">
        <f>INDEX('02 Emission rates'!$G$7:$G$15,I368)</f>
        <v>2.7514068118353263</v>
      </c>
      <c r="N368" s="1">
        <f t="shared" si="80"/>
        <v>7808.1360334214978</v>
      </c>
      <c r="O368" s="1">
        <f t="shared" si="81"/>
        <v>4.591131282167904</v>
      </c>
      <c r="P368" s="1">
        <f t="shared" si="82"/>
        <v>70.604403025356348</v>
      </c>
      <c r="Q368" s="1">
        <f t="shared" si="83"/>
        <v>3.099226046594191</v>
      </c>
      <c r="R368" s="1">
        <f t="shared" si="84"/>
        <v>3062.4128853262632</v>
      </c>
      <c r="S368" s="1">
        <f t="shared" si="85"/>
        <v>143.38486007293312</v>
      </c>
      <c r="T368" s="1">
        <f t="shared" si="86"/>
        <v>1141872.4938910042</v>
      </c>
      <c r="U368" s="1">
        <f t="shared" si="87"/>
        <v>867.30751092193032</v>
      </c>
      <c r="V368" s="1">
        <f t="shared" si="88"/>
        <v>9850.4304261599445</v>
      </c>
      <c r="W368" s="1">
        <f t="shared" si="89"/>
        <v>428.61186331352604</v>
      </c>
      <c r="X368" s="1"/>
      <c r="Y368" s="1"/>
      <c r="Z368" s="1"/>
      <c r="AA368" s="1"/>
      <c r="AB368" s="1"/>
      <c r="AC368" s="1"/>
      <c r="AD368" s="1"/>
      <c r="AE368" s="1"/>
    </row>
    <row r="369" spans="1:31" ht="22.05" customHeight="1">
      <c r="A369" s="1">
        <f>'01 Traffic inputs'!B319</f>
        <v>0.63121712590107959</v>
      </c>
      <c r="B369" s="1">
        <f>'01 Traffic inputs'!C319</f>
        <v>3.9421023267703975E-3</v>
      </c>
      <c r="C369" s="1">
        <f>IF('01 Traffic inputs'!$B$16&lt;=2/3,(4*A369*(1-A369))^$B$16,1-ABS(2*A369-1)^$B$17)</f>
        <v>0.78477350765117793</v>
      </c>
      <c r="D369" s="1">
        <f>IF('01 Traffic inputs'!$B$16&lt;=2/3,4*$B$16*(1-2*A369)*(4*A369*(1-A369))^($B$16-1),-2*$B$17*SIGN(2*A369-1)*ABS(2*A369-1)^($B$17-1))</f>
        <v>-3.0049162061215409</v>
      </c>
      <c r="E369" s="1">
        <f t="shared" si="77"/>
        <v>18.148614456112519</v>
      </c>
      <c r="F369" s="1">
        <f t="shared" si="78"/>
        <v>6.1207845464344886E-2</v>
      </c>
      <c r="G369" s="1">
        <f t="shared" si="79"/>
        <v>1.1108375890217106</v>
      </c>
      <c r="H369" s="1">
        <f>'01 Traffic inputs'!$B$8/F369</f>
        <v>16.991285873734057</v>
      </c>
      <c r="I369" s="1">
        <f>MATCH(H369,'02 Emission rates'!$A$7:$A$15,1)</f>
        <v>1</v>
      </c>
      <c r="J369" s="1">
        <f>INDEX('02 Emission rates'!$D$7:$D$15,I369)</f>
        <v>6931.8463213424902</v>
      </c>
      <c r="K369" s="1">
        <f>INDEX('02 Emission rates'!$E$7:$E$15,I369)</f>
        <v>4.0758788464844926</v>
      </c>
      <c r="L369" s="1">
        <f>INDEX('02 Emission rates'!$F$7:$F$15,I369)</f>
        <v>62.680628166186985</v>
      </c>
      <c r="M369" s="1">
        <f>INDEX('02 Emission rates'!$G$7:$G$15,I369)</f>
        <v>2.7514068118353263</v>
      </c>
      <c r="N369" s="1">
        <f t="shared" si="80"/>
        <v>7700.1554550691053</v>
      </c>
      <c r="O369" s="1">
        <f t="shared" si="81"/>
        <v>4.5276394309734247</v>
      </c>
      <c r="P369" s="1">
        <f t="shared" si="82"/>
        <v>69.627997870493473</v>
      </c>
      <c r="Q369" s="1">
        <f t="shared" si="83"/>
        <v>3.0563661092770653</v>
      </c>
      <c r="R369" s="1">
        <f t="shared" si="84"/>
        <v>3080.5614997823759</v>
      </c>
      <c r="S369" s="1">
        <f t="shared" si="85"/>
        <v>144.49569766195484</v>
      </c>
      <c r="T369" s="1">
        <f t="shared" si="86"/>
        <v>1149572.6493460734</v>
      </c>
      <c r="U369" s="1">
        <f t="shared" si="87"/>
        <v>871.83515035290372</v>
      </c>
      <c r="V369" s="1">
        <f t="shared" si="88"/>
        <v>9920.0584240304379</v>
      </c>
      <c r="W369" s="1">
        <f t="shared" si="89"/>
        <v>431.66822942280311</v>
      </c>
      <c r="X369" s="1"/>
      <c r="Y369" s="1"/>
      <c r="Z369" s="1"/>
      <c r="AA369" s="1"/>
      <c r="AB369" s="1"/>
      <c r="AC369" s="1"/>
      <c r="AD369" s="1"/>
      <c r="AE369" s="1"/>
    </row>
    <row r="370" spans="1:31" ht="22.05" customHeight="1">
      <c r="A370" s="1">
        <f>'01 Traffic inputs'!B320</f>
        <v>0.63515480445667771</v>
      </c>
      <c r="B370" s="1">
        <f>'01 Traffic inputs'!C320</f>
        <v>3.933210972075594E-3</v>
      </c>
      <c r="C370" s="1">
        <f>IF('01 Traffic inputs'!$B$16&lt;=2/3,(4*A370*(1-A370))^$B$16,1-ABS(2*A370-1)^$B$17)</f>
        <v>0.77282827971348333</v>
      </c>
      <c r="D370" s="1">
        <f>IF('01 Traffic inputs'!$B$16&lt;=2/3,4*$B$16*(1-2*A370)*(4*A370*(1-A370))^($B$16-1),-2*$B$17*SIGN(2*A370-1)*ABS(2*A370-1)^($B$17-1))</f>
        <v>-3.0617752231925777</v>
      </c>
      <c r="E370" s="1">
        <f t="shared" si="77"/>
        <v>18.093877865550539</v>
      </c>
      <c r="F370" s="1">
        <f t="shared" si="78"/>
        <v>6.0522909084336413E-2</v>
      </c>
      <c r="G370" s="1">
        <f t="shared" si="79"/>
        <v>1.0950941250398023</v>
      </c>
      <c r="H370" s="1">
        <f>'01 Traffic inputs'!$B$8/F370</f>
        <v>17.183575867954715</v>
      </c>
      <c r="I370" s="1">
        <f>MATCH(H370,'02 Emission rates'!$A$7:$A$15,1)</f>
        <v>1</v>
      </c>
      <c r="J370" s="1">
        <f>INDEX('02 Emission rates'!$D$7:$D$15,I370)</f>
        <v>6931.8463213424902</v>
      </c>
      <c r="K370" s="1">
        <f>INDEX('02 Emission rates'!$E$7:$E$15,I370)</f>
        <v>4.0758788464844926</v>
      </c>
      <c r="L370" s="1">
        <f>INDEX('02 Emission rates'!$F$7:$F$15,I370)</f>
        <v>62.680628166186985</v>
      </c>
      <c r="M370" s="1">
        <f>INDEX('02 Emission rates'!$G$7:$G$15,I370)</f>
        <v>2.7514068118353263</v>
      </c>
      <c r="N370" s="1">
        <f t="shared" si="80"/>
        <v>7591.0241821809268</v>
      </c>
      <c r="O370" s="1">
        <f t="shared" si="81"/>
        <v>4.4634709791591742</v>
      </c>
      <c r="P370" s="1">
        <f t="shared" si="82"/>
        <v>68.641187658595726</v>
      </c>
      <c r="Q370" s="1">
        <f t="shared" si="83"/>
        <v>3.0130494352353585</v>
      </c>
      <c r="R370" s="1">
        <f t="shared" si="84"/>
        <v>3098.6553776479263</v>
      </c>
      <c r="S370" s="1">
        <f t="shared" si="85"/>
        <v>145.59079178699463</v>
      </c>
      <c r="T370" s="1">
        <f t="shared" si="86"/>
        <v>1157163.6735282543</v>
      </c>
      <c r="U370" s="1">
        <f t="shared" si="87"/>
        <v>876.29862133206291</v>
      </c>
      <c r="V370" s="1">
        <f t="shared" si="88"/>
        <v>9988.6996116890332</v>
      </c>
      <c r="W370" s="1">
        <f t="shared" si="89"/>
        <v>434.68127885803847</v>
      </c>
      <c r="X370" s="1"/>
      <c r="Y370" s="1"/>
      <c r="Z370" s="1"/>
      <c r="AA370" s="1"/>
      <c r="AB370" s="1"/>
      <c r="AC370" s="1"/>
      <c r="AD370" s="1"/>
      <c r="AE370" s="1"/>
    </row>
    <row r="371" spans="1:31" ht="22.05" customHeight="1">
      <c r="A371" s="1">
        <f>'01 Traffic inputs'!B321</f>
        <v>0.63908346032033647</v>
      </c>
      <c r="B371" s="1">
        <f>'01 Traffic inputs'!C321</f>
        <v>3.9240570432823411E-3</v>
      </c>
      <c r="C371" s="1">
        <f>IF('01 Traffic inputs'!$B$16&lt;=2/3,(4*A371*(1-A371))^$B$16,1-ABS(2*A371-1)^$B$17)</f>
        <v>0.76069263006648358</v>
      </c>
      <c r="D371" s="1">
        <f>IF('01 Traffic inputs'!$B$16&lt;=2/3,4*$B$16*(1-2*A371)*(4*A371*(1-A371))^($B$16-1),-2*$B$17*SIGN(2*A371-1)*ABS(2*A371-1)^($B$17-1))</f>
        <v>-3.1157841391149392</v>
      </c>
      <c r="E371" s="1">
        <f t="shared" si="77"/>
        <v>18.038686943983045</v>
      </c>
      <c r="F371" s="1">
        <f t="shared" si="78"/>
        <v>5.9827053971179704E-2</v>
      </c>
      <c r="G371" s="1">
        <f t="shared" si="79"/>
        <v>1.0792014973668882</v>
      </c>
      <c r="H371" s="1">
        <f>'01 Traffic inputs'!$B$8/F371</f>
        <v>17.383439948438983</v>
      </c>
      <c r="I371" s="1">
        <f>MATCH(H371,'02 Emission rates'!$A$7:$A$15,1)</f>
        <v>1</v>
      </c>
      <c r="J371" s="1">
        <f>INDEX('02 Emission rates'!$D$7:$D$15,I371)</f>
        <v>6931.8463213424902</v>
      </c>
      <c r="K371" s="1">
        <f>INDEX('02 Emission rates'!$E$7:$E$15,I371)</f>
        <v>4.0758788464844926</v>
      </c>
      <c r="L371" s="1">
        <f>INDEX('02 Emission rates'!$F$7:$F$15,I371)</f>
        <v>62.680628166186985</v>
      </c>
      <c r="M371" s="1">
        <f>INDEX('02 Emission rates'!$G$7:$G$15,I371)</f>
        <v>2.7514068118353263</v>
      </c>
      <c r="N371" s="1">
        <f t="shared" si="80"/>
        <v>7480.8589295099709</v>
      </c>
      <c r="O371" s="1">
        <f t="shared" si="81"/>
        <v>4.3986945542120894</v>
      </c>
      <c r="P371" s="1">
        <f t="shared" si="82"/>
        <v>67.645027772846134</v>
      </c>
      <c r="Q371" s="1">
        <f t="shared" si="83"/>
        <v>2.9693223511981404</v>
      </c>
      <c r="R371" s="1">
        <f t="shared" si="84"/>
        <v>3116.6940645919094</v>
      </c>
      <c r="S371" s="1">
        <f t="shared" si="85"/>
        <v>146.66999328436151</v>
      </c>
      <c r="T371" s="1">
        <f t="shared" si="86"/>
        <v>1164644.5324577643</v>
      </c>
      <c r="U371" s="1">
        <f t="shared" si="87"/>
        <v>880.69731588627496</v>
      </c>
      <c r="V371" s="1">
        <f t="shared" si="88"/>
        <v>10056.344639461879</v>
      </c>
      <c r="W371" s="1">
        <f t="shared" si="89"/>
        <v>437.65060120923658</v>
      </c>
      <c r="X371" s="1"/>
      <c r="Y371" s="1"/>
      <c r="Z371" s="1"/>
      <c r="AA371" s="1"/>
      <c r="AB371" s="1"/>
      <c r="AC371" s="1"/>
      <c r="AD371" s="1"/>
      <c r="AE371" s="1"/>
    </row>
    <row r="372" spans="1:31" ht="22.05" customHeight="1">
      <c r="A372" s="1">
        <f>'01 Traffic inputs'!B322</f>
        <v>0.64300283122204838</v>
      </c>
      <c r="B372" s="1">
        <f>'01 Traffic inputs'!C322</f>
        <v>3.9146411514904746E-3</v>
      </c>
      <c r="C372" s="1">
        <f>IF('01 Traffic inputs'!$B$16&lt;=2/3,(4*A372*(1-A372))^$B$16,1-ABS(2*A372-1)^$B$17)</f>
        <v>0.74837961673140418</v>
      </c>
      <c r="D372" s="1">
        <f>IF('01 Traffic inputs'!$B$16&lt;=2/3,4*$B$16*(1-2*A372)*(4*A372*(1-A372))^($B$16-1),-2*$B$17*SIGN(2*A372-1)*ABS(2*A372-1)^($B$17-1))</f>
        <v>-3.1669117285264567</v>
      </c>
      <c r="E372" s="1">
        <f t="shared" si="77"/>
        <v>17.983049838026943</v>
      </c>
      <c r="F372" s="1">
        <f t="shared" si="78"/>
        <v>5.9121028868543354E-2</v>
      </c>
      <c r="G372" s="1">
        <f t="shared" si="79"/>
        <v>1.0631764086184448</v>
      </c>
      <c r="H372" s="1">
        <f>'01 Traffic inputs'!$B$8/F372</f>
        <v>17.591033510470169</v>
      </c>
      <c r="I372" s="1">
        <f>MATCH(H372,'02 Emission rates'!$A$7:$A$15,1)</f>
        <v>1</v>
      </c>
      <c r="J372" s="1">
        <f>INDEX('02 Emission rates'!$D$7:$D$15,I372)</f>
        <v>6931.8463213424902</v>
      </c>
      <c r="K372" s="1">
        <f>INDEX('02 Emission rates'!$E$7:$E$15,I372)</f>
        <v>4.0758788464844926</v>
      </c>
      <c r="L372" s="1">
        <f>INDEX('02 Emission rates'!$F$7:$F$15,I372)</f>
        <v>62.680628166186985</v>
      </c>
      <c r="M372" s="1">
        <f>INDEX('02 Emission rates'!$G$7:$G$15,I372)</f>
        <v>2.7514068118353263</v>
      </c>
      <c r="N372" s="1">
        <f t="shared" si="80"/>
        <v>7369.7754770198862</v>
      </c>
      <c r="O372" s="1">
        <f t="shared" si="81"/>
        <v>4.3333782339692721</v>
      </c>
      <c r="P372" s="1">
        <f t="shared" si="82"/>
        <v>66.640565143674806</v>
      </c>
      <c r="Q372" s="1">
        <f t="shared" si="83"/>
        <v>2.9252308128554074</v>
      </c>
      <c r="R372" s="1">
        <f t="shared" si="84"/>
        <v>3134.6771144299364</v>
      </c>
      <c r="S372" s="1">
        <f t="shared" si="85"/>
        <v>147.73316969297994</v>
      </c>
      <c r="T372" s="1">
        <f t="shared" si="86"/>
        <v>1172014.3079347841</v>
      </c>
      <c r="U372" s="1">
        <f t="shared" si="87"/>
        <v>885.03069412024422</v>
      </c>
      <c r="V372" s="1">
        <f t="shared" si="88"/>
        <v>10122.985204605553</v>
      </c>
      <c r="W372" s="1">
        <f t="shared" si="89"/>
        <v>440.57583202209202</v>
      </c>
      <c r="X372" s="1"/>
      <c r="Y372" s="1"/>
      <c r="Z372" s="1"/>
      <c r="AA372" s="1"/>
      <c r="AB372" s="1"/>
      <c r="AC372" s="1"/>
      <c r="AD372" s="1"/>
      <c r="AE372" s="1"/>
    </row>
    <row r="373" spans="1:31" ht="22.05" customHeight="1">
      <c r="A373" s="1">
        <f>'01 Traffic inputs'!B323</f>
        <v>0.64691265551165322</v>
      </c>
      <c r="B373" s="1">
        <f>'01 Traffic inputs'!C323</f>
        <v>3.9049639252880046E-3</v>
      </c>
      <c r="C373" s="1">
        <f>IF('01 Traffic inputs'!$B$16&lt;=2/3,(4*A373*(1-A373))^$B$16,1-ABS(2*A373-1)^$B$17)</f>
        <v>0.73590237154860394</v>
      </c>
      <c r="D373" s="1">
        <f>IF('01 Traffic inputs'!$B$16&lt;=2/3,4*$B$16*(1-2*A373)*(4*A373*(1-A373))^($B$16-1),-2*$B$17*SIGN(2*A373-1)*ABS(2*A373-1)^($B$17-1))</f>
        <v>-3.2151307693633773</v>
      </c>
      <c r="E373" s="1">
        <f t="shared" si="77"/>
        <v>17.926973450738924</v>
      </c>
      <c r="F373" s="1">
        <f t="shared" si="78"/>
        <v>5.8405586752866598E-2</v>
      </c>
      <c r="G373" s="1">
        <f t="shared" si="79"/>
        <v>1.0470354030934685</v>
      </c>
      <c r="H373" s="1">
        <f>'01 Traffic inputs'!$B$8/F373</f>
        <v>17.806515743101858</v>
      </c>
      <c r="I373" s="1">
        <f>MATCH(H373,'02 Emission rates'!$A$7:$A$15,1)</f>
        <v>1</v>
      </c>
      <c r="J373" s="1">
        <f>INDEX('02 Emission rates'!$D$7:$D$15,I373)</f>
        <v>6931.8463213424902</v>
      </c>
      <c r="K373" s="1">
        <f>INDEX('02 Emission rates'!$E$7:$E$15,I373)</f>
        <v>4.0758788464844926</v>
      </c>
      <c r="L373" s="1">
        <f>INDEX('02 Emission rates'!$F$7:$F$15,I373)</f>
        <v>62.680628166186985</v>
      </c>
      <c r="M373" s="1">
        <f>INDEX('02 Emission rates'!$G$7:$G$15,I373)</f>
        <v>2.7514068118353263</v>
      </c>
      <c r="N373" s="1">
        <f t="shared" si="80"/>
        <v>7257.888507248811</v>
      </c>
      <c r="O373" s="1">
        <f t="shared" si="81"/>
        <v>4.267589450989032</v>
      </c>
      <c r="P373" s="1">
        <f t="shared" si="82"/>
        <v>65.628836778135408</v>
      </c>
      <c r="Q373" s="1">
        <f t="shared" si="83"/>
        <v>2.8808203403041159</v>
      </c>
      <c r="R373" s="1">
        <f t="shared" si="84"/>
        <v>3152.6040878806753</v>
      </c>
      <c r="S373" s="1">
        <f t="shared" si="85"/>
        <v>148.78020509607342</v>
      </c>
      <c r="T373" s="1">
        <f t="shared" si="86"/>
        <v>1179272.1964420329</v>
      </c>
      <c r="U373" s="1">
        <f t="shared" si="87"/>
        <v>889.29828357123324</v>
      </c>
      <c r="V373" s="1">
        <f t="shared" si="88"/>
        <v>10188.614041383689</v>
      </c>
      <c r="W373" s="1">
        <f t="shared" si="89"/>
        <v>443.45665236239614</v>
      </c>
      <c r="X373" s="1"/>
      <c r="Y373" s="1"/>
      <c r="Z373" s="1"/>
      <c r="AA373" s="1"/>
      <c r="AB373" s="1"/>
      <c r="AC373" s="1"/>
      <c r="AD373" s="1"/>
      <c r="AE373" s="1"/>
    </row>
    <row r="374" spans="1:31" ht="22.05" customHeight="1">
      <c r="A374" s="1">
        <f>'01 Traffic inputs'!B324</f>
        <v>0.65081267217630545</v>
      </c>
      <c r="B374" s="1">
        <f>'01 Traffic inputs'!C324</f>
        <v>3.8950260107091707E-3</v>
      </c>
      <c r="C374" s="1">
        <f>IF('01 Traffic inputs'!$B$16&lt;=2/3,(4*A374*(1-A374))^$B$16,1-ABS(2*A374-1)^$B$17)</f>
        <v>0.7232740787021501</v>
      </c>
      <c r="D374" s="1">
        <f>IF('01 Traffic inputs'!$B$16&lt;=2/3,4*$B$16*(1-2*A374)*(4*A374*(1-A374))^($B$16-1),-2*$B$17*SIGN(2*A374-1)*ABS(2*A374-1)^($B$17-1))</f>
        <v>-3.2604180589319283</v>
      </c>
      <c r="E374" s="1">
        <f t="shared" si="77"/>
        <v>17.870463445642333</v>
      </c>
      <c r="F374" s="1">
        <f t="shared" si="78"/>
        <v>5.7681483601963776E-2</v>
      </c>
      <c r="G374" s="1">
        <f t="shared" si="79"/>
        <v>1.0307948441993113</v>
      </c>
      <c r="H374" s="1">
        <f>'01 Traffic inputs'!$B$8/F374</f>
        <v>18.030049420653484</v>
      </c>
      <c r="I374" s="1">
        <f>MATCH(H374,'02 Emission rates'!$A$7:$A$15,1)</f>
        <v>1</v>
      </c>
      <c r="J374" s="1">
        <f>INDEX('02 Emission rates'!$D$7:$D$15,I374)</f>
        <v>6931.8463213424902</v>
      </c>
      <c r="K374" s="1">
        <f>INDEX('02 Emission rates'!$E$7:$E$15,I374)</f>
        <v>4.0758788464844926</v>
      </c>
      <c r="L374" s="1">
        <f>INDEX('02 Emission rates'!$F$7:$F$15,I374)</f>
        <v>62.680628166186985</v>
      </c>
      <c r="M374" s="1">
        <f>INDEX('02 Emission rates'!$G$7:$G$15,I374)</f>
        <v>2.7514068118353263</v>
      </c>
      <c r="N374" s="1">
        <f t="shared" si="80"/>
        <v>7145.3114488218016</v>
      </c>
      <c r="O374" s="1">
        <f t="shared" si="81"/>
        <v>4.2013949005372515</v>
      </c>
      <c r="P374" s="1">
        <f t="shared" si="82"/>
        <v>64.610868344879677</v>
      </c>
      <c r="Q374" s="1">
        <f t="shared" si="83"/>
        <v>2.836135955934719</v>
      </c>
      <c r="R374" s="1">
        <f t="shared" si="84"/>
        <v>3170.4745513263174</v>
      </c>
      <c r="S374" s="1">
        <f t="shared" si="85"/>
        <v>149.81099994027272</v>
      </c>
      <c r="T374" s="1">
        <f t="shared" si="86"/>
        <v>1186417.5078908547</v>
      </c>
      <c r="U374" s="1">
        <f t="shared" si="87"/>
        <v>893.49967847177049</v>
      </c>
      <c r="V374" s="1">
        <f t="shared" si="88"/>
        <v>10253.224909728569</v>
      </c>
      <c r="W374" s="1">
        <f t="shared" si="89"/>
        <v>446.29278831833085</v>
      </c>
      <c r="X374" s="1"/>
      <c r="Y374" s="1"/>
      <c r="Z374" s="1"/>
      <c r="AA374" s="1"/>
      <c r="AB374" s="1"/>
      <c r="AC374" s="1"/>
      <c r="AD374" s="1"/>
      <c r="AE374" s="1"/>
    </row>
    <row r="375" spans="1:31" ht="22.05" customHeight="1">
      <c r="A375" s="1">
        <f>'01 Traffic inputs'!B325</f>
        <v>0.65470262085789888</v>
      </c>
      <c r="B375" s="1">
        <f>'01 Traffic inputs'!C325</f>
        <v>3.8848280711912871E-3</v>
      </c>
      <c r="C375" s="1">
        <f>IF('01 Traffic inputs'!$B$16&lt;=2/3,(4*A375*(1-A375))^$B$16,1-ABS(2*A375-1)^$B$17)</f>
        <v>0.71050795333531946</v>
      </c>
      <c r="D375" s="1">
        <f>IF('01 Traffic inputs'!$B$16&lt;=2/3,4*$B$16*(1-2*A375)*(4*A375*(1-A375))^($B$16-1),-2*$B$17*SIGN(2*A375-1)*ABS(2*A375-1)^($B$17-1))</f>
        <v>-3.3027544230283499</v>
      </c>
      <c r="E375" s="1">
        <f t="shared" si="77"/>
        <v>17.813524253512039</v>
      </c>
      <c r="F375" s="1">
        <f t="shared" si="78"/>
        <v>5.6949477168842591E-2</v>
      </c>
      <c r="G375" s="1">
        <f t="shared" si="79"/>
        <v>1.0144708927720076</v>
      </c>
      <c r="H375" s="1">
        <f>'01 Traffic inputs'!$B$8/F375</f>
        <v>18.261800664414366</v>
      </c>
      <c r="I375" s="1">
        <f>MATCH(H375,'02 Emission rates'!$A$7:$A$15,1)</f>
        <v>1</v>
      </c>
      <c r="J375" s="1">
        <f>INDEX('02 Emission rates'!$D$7:$D$15,I375)</f>
        <v>6931.8463213424902</v>
      </c>
      <c r="K375" s="1">
        <f>INDEX('02 Emission rates'!$E$7:$E$15,I375)</f>
        <v>4.0758788464844926</v>
      </c>
      <c r="L375" s="1">
        <f>INDEX('02 Emission rates'!$F$7:$F$15,I375)</f>
        <v>62.680628166186985</v>
      </c>
      <c r="M375" s="1">
        <f>INDEX('02 Emission rates'!$G$7:$G$15,I375)</f>
        <v>2.7514068118353263</v>
      </c>
      <c r="N375" s="1">
        <f t="shared" si="80"/>
        <v>7032.1563261706733</v>
      </c>
      <c r="O375" s="1">
        <f t="shared" si="81"/>
        <v>4.1348604522236636</v>
      </c>
      <c r="P375" s="1">
        <f t="shared" si="82"/>
        <v>63.587672815261961</v>
      </c>
      <c r="Q375" s="1">
        <f t="shared" si="83"/>
        <v>2.7912221247815667</v>
      </c>
      <c r="R375" s="1">
        <f t="shared" si="84"/>
        <v>3188.2880755798296</v>
      </c>
      <c r="S375" s="1">
        <f t="shared" si="85"/>
        <v>150.82547083304473</v>
      </c>
      <c r="T375" s="1">
        <f t="shared" si="86"/>
        <v>1193449.6642170255</v>
      </c>
      <c r="U375" s="1">
        <f t="shared" si="87"/>
        <v>897.63453892399411</v>
      </c>
      <c r="V375" s="1">
        <f t="shared" si="88"/>
        <v>10316.812582543831</v>
      </c>
      <c r="W375" s="1">
        <f t="shared" si="89"/>
        <v>449.08401044311239</v>
      </c>
      <c r="X375" s="1"/>
      <c r="Y375" s="1"/>
      <c r="Z375" s="1"/>
      <c r="AA375" s="1"/>
      <c r="AB375" s="1"/>
      <c r="AC375" s="1"/>
      <c r="AD375" s="1"/>
      <c r="AE375" s="1"/>
    </row>
    <row r="376" spans="1:31" ht="22.05" customHeight="1">
      <c r="A376" s="1">
        <f>'01 Traffic inputs'!B326</f>
        <v>0.65858224187044789</v>
      </c>
      <c r="B376" s="1">
        <f>'01 Traffic inputs'!C326</f>
        <v>3.874370787530512E-3</v>
      </c>
      <c r="C376" s="1">
        <f>IF('01 Traffic inputs'!$B$16&lt;=2/3,(4*A376*(1-A376))^$B$16,1-ABS(2*A376-1)^$B$17)</f>
        <v>0.69761722030155171</v>
      </c>
      <c r="D376" s="1">
        <f>IF('01 Traffic inputs'!$B$16&lt;=2/3,4*$B$16*(1-2*A376)*(4*A376*(1-A376))^($B$16-1),-2*$B$17*SIGN(2*A376-1)*ABS(2*A376-1)^($B$17-1))</f>
        <v>-3.3421247181193352</v>
      </c>
      <c r="E376" s="1">
        <f t="shared" si="77"/>
        <v>17.756159081884157</v>
      </c>
      <c r="F376" s="1">
        <f t="shared" si="78"/>
        <v>5.6210325763289042E-2</v>
      </c>
      <c r="G376" s="1">
        <f t="shared" si="79"/>
        <v>0.99807948629749166</v>
      </c>
      <c r="H376" s="1">
        <f>'01 Traffic inputs'!$B$8/F376</f>
        <v>18.501938671902241</v>
      </c>
      <c r="I376" s="1">
        <f>MATCH(H376,'02 Emission rates'!$A$7:$A$15,1)</f>
        <v>1</v>
      </c>
      <c r="J376" s="1">
        <f>INDEX('02 Emission rates'!$D$7:$D$15,I376)</f>
        <v>6931.8463213424902</v>
      </c>
      <c r="K376" s="1">
        <f>INDEX('02 Emission rates'!$E$7:$E$15,I376)</f>
        <v>4.0758788464844926</v>
      </c>
      <c r="L376" s="1">
        <f>INDEX('02 Emission rates'!$F$7:$F$15,I376)</f>
        <v>62.680628166186985</v>
      </c>
      <c r="M376" s="1">
        <f>INDEX('02 Emission rates'!$G$7:$G$15,I376)</f>
        <v>2.7514068118353263</v>
      </c>
      <c r="N376" s="1">
        <f t="shared" si="80"/>
        <v>6918.5336154986699</v>
      </c>
      <c r="O376" s="1">
        <f t="shared" si="81"/>
        <v>4.0680510653100557</v>
      </c>
      <c r="P376" s="1">
        <f t="shared" si="82"/>
        <v>62.560249160911994</v>
      </c>
      <c r="Q376" s="1">
        <f t="shared" si="83"/>
        <v>2.7461226973520216</v>
      </c>
      <c r="R376" s="1">
        <f t="shared" si="84"/>
        <v>3206.0442346617137</v>
      </c>
      <c r="S376" s="1">
        <f t="shared" si="85"/>
        <v>151.82355031934222</v>
      </c>
      <c r="T376" s="1">
        <f t="shared" si="86"/>
        <v>1200368.1978325241</v>
      </c>
      <c r="U376" s="1">
        <f t="shared" si="87"/>
        <v>901.70258998930422</v>
      </c>
      <c r="V376" s="1">
        <f t="shared" si="88"/>
        <v>10379.372831704743</v>
      </c>
      <c r="W376" s="1">
        <f t="shared" si="89"/>
        <v>451.8301331404644</v>
      </c>
      <c r="X376" s="1"/>
      <c r="Y376" s="1"/>
      <c r="Z376" s="1"/>
      <c r="AA376" s="1"/>
      <c r="AB376" s="1"/>
      <c r="AC376" s="1"/>
      <c r="AD376" s="1"/>
      <c r="AE376" s="1"/>
    </row>
    <row r="377" spans="1:31" ht="22.05" customHeight="1">
      <c r="A377" s="1">
        <f>'01 Traffic inputs'!B327</f>
        <v>0.6624512762174235</v>
      </c>
      <c r="B377" s="1">
        <f>'01 Traffic inputs'!C327</f>
        <v>3.863654857836274E-3</v>
      </c>
      <c r="C377" s="1">
        <f>IF('01 Traffic inputs'!$B$16&lt;=2/3,(4*A377*(1-A377))^$B$16,1-ABS(2*A377-1)^$B$17)</f>
        <v>0.68461509309476387</v>
      </c>
      <c r="D377" s="1">
        <f>IF('01 Traffic inputs'!$B$16&lt;=2/3,4*$B$16*(1-2*A377)*(4*A377*(1-A377))^($B$16-1),-2*$B$17*SIGN(2*A377-1)*ABS(2*A377-1)^($B$17-1))</f>
        <v>-3.3785178266083395</v>
      </c>
      <c r="E377" s="1">
        <f t="shared" si="77"/>
        <v>17.698369927249079</v>
      </c>
      <c r="F377" s="1">
        <f t="shared" si="78"/>
        <v>5.5464787043736925E-2</v>
      </c>
      <c r="G377" s="1">
        <f t="shared" si="79"/>
        <v>0.9816363190361479</v>
      </c>
      <c r="H377" s="1">
        <f>'01 Traffic inputs'!$B$8/F377</f>
        <v>18.750635410894578</v>
      </c>
      <c r="I377" s="1">
        <f>MATCH(H377,'02 Emission rates'!$A$7:$A$15,1)</f>
        <v>1</v>
      </c>
      <c r="J377" s="1">
        <f>INDEX('02 Emission rates'!$D$7:$D$15,I377)</f>
        <v>6931.8463213424902</v>
      </c>
      <c r="K377" s="1">
        <f>INDEX('02 Emission rates'!$E$7:$E$15,I377)</f>
        <v>4.0758788464844926</v>
      </c>
      <c r="L377" s="1">
        <f>INDEX('02 Emission rates'!$F$7:$F$15,I377)</f>
        <v>62.680628166186985</v>
      </c>
      <c r="M377" s="1">
        <f>INDEX('02 Emission rates'!$G$7:$G$15,I377)</f>
        <v>2.7514068118353263</v>
      </c>
      <c r="N377" s="1">
        <f t="shared" si="80"/>
        <v>6804.5521070069053</v>
      </c>
      <c r="O377" s="1">
        <f t="shared" si="81"/>
        <v>4.0010307077003375</v>
      </c>
      <c r="P377" s="1">
        <f t="shared" si="82"/>
        <v>61.529581107929282</v>
      </c>
      <c r="Q377" s="1">
        <f t="shared" si="83"/>
        <v>2.7008808549410128</v>
      </c>
      <c r="R377" s="1">
        <f t="shared" si="84"/>
        <v>3223.7426045889629</v>
      </c>
      <c r="S377" s="1">
        <f t="shared" si="85"/>
        <v>152.80518663837836</v>
      </c>
      <c r="T377" s="1">
        <f t="shared" si="86"/>
        <v>1207172.7499395311</v>
      </c>
      <c r="U377" s="1">
        <f t="shared" si="87"/>
        <v>905.70362069700457</v>
      </c>
      <c r="V377" s="1">
        <f t="shared" si="88"/>
        <v>10440.902412812671</v>
      </c>
      <c r="W377" s="1">
        <f t="shared" si="89"/>
        <v>454.53101399540543</v>
      </c>
      <c r="X377" s="1"/>
      <c r="Y377" s="1"/>
      <c r="Z377" s="1"/>
      <c r="AA377" s="1"/>
      <c r="AB377" s="1"/>
      <c r="AC377" s="1"/>
      <c r="AD377" s="1"/>
      <c r="AE377" s="1"/>
    </row>
    <row r="378" spans="1:31" ht="22.05" customHeight="1">
      <c r="A378" s="1">
        <f>'01 Traffic inputs'!B328</f>
        <v>0.66630946560904336</v>
      </c>
      <c r="B378" s="1">
        <f>'01 Traffic inputs'!C328</f>
        <v>3.8526809974847934E-3</v>
      </c>
      <c r="C378" s="1">
        <f>IF('01 Traffic inputs'!$B$16&lt;=2/3,(4*A378*(1-A378))^$B$16,1-ABS(2*A378-1)^$B$17)</f>
        <v>0.67151475300223984</v>
      </c>
      <c r="D378" s="1">
        <f>IF('01 Traffic inputs'!$B$16&lt;=2/3,4*$B$16*(1-2*A378)*(4*A378*(1-A378))^($B$16-1),-2*$B$17*SIGN(2*A378-1)*ABS(2*A378-1)^($B$17-1))</f>
        <v>-3.4119266452268202</v>
      </c>
      <c r="E378" s="1">
        <f t="shared" si="77"/>
        <v>17.640157589882968</v>
      </c>
      <c r="F378" s="1">
        <f t="shared" si="78"/>
        <v>5.4713616821899777E-2</v>
      </c>
      <c r="G378" s="1">
        <f t="shared" si="79"/>
        <v>0.96515682305078376</v>
      </c>
      <c r="H378" s="1">
        <f>'01 Traffic inputs'!$B$8/F378</f>
        <v>19.008065275329194</v>
      </c>
      <c r="I378" s="1">
        <f>MATCH(H378,'02 Emission rates'!$A$7:$A$15,1)</f>
        <v>1</v>
      </c>
      <c r="J378" s="1">
        <f>INDEX('02 Emission rates'!$D$7:$D$15,I378)</f>
        <v>6931.8463213424902</v>
      </c>
      <c r="K378" s="1">
        <f>INDEX('02 Emission rates'!$E$7:$E$15,I378)</f>
        <v>4.0758788464844926</v>
      </c>
      <c r="L378" s="1">
        <f>INDEX('02 Emission rates'!$F$7:$F$15,I378)</f>
        <v>62.680628166186985</v>
      </c>
      <c r="M378" s="1">
        <f>INDEX('02 Emission rates'!$G$7:$G$15,I378)</f>
        <v>2.7514068118353263</v>
      </c>
      <c r="N378" s="1">
        <f t="shared" si="80"/>
        <v>6690.3187733831801</v>
      </c>
      <c r="O378" s="1">
        <f t="shared" si="81"/>
        <v>3.9338622786128661</v>
      </c>
      <c r="P378" s="1">
        <f t="shared" si="82"/>
        <v>60.496635947704505</v>
      </c>
      <c r="Q378" s="1">
        <f t="shared" si="83"/>
        <v>2.6555390574312692</v>
      </c>
      <c r="R378" s="1">
        <f t="shared" si="84"/>
        <v>3241.382762178846</v>
      </c>
      <c r="S378" s="1">
        <f t="shared" si="85"/>
        <v>153.77034346142915</v>
      </c>
      <c r="T378" s="1">
        <f t="shared" si="86"/>
        <v>1213863.0687129144</v>
      </c>
      <c r="U378" s="1">
        <f t="shared" si="87"/>
        <v>909.63748297561744</v>
      </c>
      <c r="V378" s="1">
        <f t="shared" si="88"/>
        <v>10501.399048760375</v>
      </c>
      <c r="W378" s="1">
        <f t="shared" si="89"/>
        <v>457.1865530528367</v>
      </c>
      <c r="X378" s="1"/>
      <c r="Y378" s="1"/>
      <c r="Z378" s="1"/>
      <c r="AA378" s="1"/>
      <c r="AB378" s="1"/>
      <c r="AC378" s="1"/>
      <c r="AD378" s="1"/>
      <c r="AE378" s="1"/>
    </row>
    <row r="379" spans="1:31" ht="22.05" customHeight="1">
      <c r="A379" s="1">
        <f>'01 Traffic inputs'!B329</f>
        <v>0.67015655247951489</v>
      </c>
      <c r="B379" s="1">
        <f>'01 Traffic inputs'!C329</f>
        <v>3.8414499390713158E-3</v>
      </c>
      <c r="C379" s="1">
        <f>IF('01 Traffic inputs'!$B$16&lt;=2/3,(4*A379*(1-A379))^$B$16,1-ABS(2*A379-1)^$B$17)</f>
        <v>0.65832932852248749</v>
      </c>
      <c r="D379" s="1">
        <f>IF('01 Traffic inputs'!$B$16&lt;=2/3,4*$B$16*(1-2*A379)*(4*A379*(1-A379))^($B$16-1),-2*$B$17*SIGN(2*A379-1)*ABS(2*A379-1)^($B$17-1))</f>
        <v>-3.4423480666028432</v>
      </c>
      <c r="E379" s="1">
        <f t="shared" si="77"/>
        <v>17.581521691262807</v>
      </c>
      <c r="F379" s="1">
        <f t="shared" si="78"/>
        <v>5.3957567882595932E-2</v>
      </c>
      <c r="G379" s="1">
        <f t="shared" si="79"/>
        <v>0.94865615013564575</v>
      </c>
      <c r="H379" s="1">
        <f>'01 Traffic inputs'!$B$8/F379</f>
        <v>19.274404700058277</v>
      </c>
      <c r="I379" s="1">
        <f>MATCH(H379,'02 Emission rates'!$A$7:$A$15,1)</f>
        <v>1</v>
      </c>
      <c r="J379" s="1">
        <f>INDEX('02 Emission rates'!$D$7:$D$15,I379)</f>
        <v>6931.8463213424902</v>
      </c>
      <c r="K379" s="1">
        <f>INDEX('02 Emission rates'!$E$7:$E$15,I379)</f>
        <v>4.0758788464844926</v>
      </c>
      <c r="L379" s="1">
        <f>INDEX('02 Emission rates'!$F$7:$F$15,I379)</f>
        <v>62.680628166186985</v>
      </c>
      <c r="M379" s="1">
        <f>INDEX('02 Emission rates'!$G$7:$G$15,I379)</f>
        <v>2.7514068118353263</v>
      </c>
      <c r="N379" s="1">
        <f t="shared" si="80"/>
        <v>6575.9386445367054</v>
      </c>
      <c r="O379" s="1">
        <f t="shared" si="81"/>
        <v>3.8666075349252953</v>
      </c>
      <c r="P379" s="1">
        <f t="shared" si="82"/>
        <v>59.462363404218863</v>
      </c>
      <c r="Q379" s="1">
        <f t="shared" si="83"/>
        <v>2.6101389935726917</v>
      </c>
      <c r="R379" s="1">
        <f t="shared" si="84"/>
        <v>3258.9642838701088</v>
      </c>
      <c r="S379" s="1">
        <f t="shared" si="85"/>
        <v>154.71899961156478</v>
      </c>
      <c r="T379" s="1">
        <f t="shared" si="86"/>
        <v>1220439.0073574511</v>
      </c>
      <c r="U379" s="1">
        <f t="shared" si="87"/>
        <v>913.50409051054271</v>
      </c>
      <c r="V379" s="1">
        <f t="shared" si="88"/>
        <v>10560.861412164593</v>
      </c>
      <c r="W379" s="1">
        <f t="shared" si="89"/>
        <v>459.79669204640942</v>
      </c>
      <c r="X379" s="1"/>
      <c r="Y379" s="1"/>
      <c r="Z379" s="1"/>
      <c r="AA379" s="1"/>
      <c r="AB379" s="1"/>
      <c r="AC379" s="1"/>
      <c r="AD379" s="1"/>
      <c r="AE379" s="1"/>
    </row>
    <row r="380" spans="1:31" ht="22.05" customHeight="1">
      <c r="A380" s="1">
        <f>'01 Traffic inputs'!B330</f>
        <v>0.67399228000423006</v>
      </c>
      <c r="B380" s="1">
        <f>'01 Traffic inputs'!C330</f>
        <v>3.8299624323610538E-3</v>
      </c>
      <c r="C380" s="1">
        <f>IF('01 Traffic inputs'!$B$16&lt;=2/3,(4*A380*(1-A380))^$B$16,1-ABS(2*A380-1)^$B$17)</f>
        <v>0.64507187508955521</v>
      </c>
      <c r="D380" s="1">
        <f>IF('01 Traffic inputs'!$B$16&lt;=2/3,4*$B$16*(1-2*A380)*(4*A380*(1-A380))^($B$16-1),-2*$B$17*SIGN(2*A380-1)*ABS(2*A380-1)^($B$17-1))</f>
        <v>-3.4697829540727843</v>
      </c>
      <c r="E380" s="1">
        <f t="shared" si="77"/>
        <v>17.522460694005535</v>
      </c>
      <c r="F380" s="1">
        <f t="shared" si="78"/>
        <v>5.3197388821145886E-2</v>
      </c>
      <c r="G380" s="1">
        <f t="shared" si="79"/>
        <v>0.93214915464225823</v>
      </c>
      <c r="H380" s="1">
        <f>'01 Traffic inputs'!$B$8/F380</f>
        <v>19.549831731339076</v>
      </c>
      <c r="I380" s="1">
        <f>MATCH(H380,'02 Emission rates'!$A$7:$A$15,1)</f>
        <v>1</v>
      </c>
      <c r="J380" s="1">
        <f>INDEX('02 Emission rates'!$D$7:$D$15,I380)</f>
        <v>6931.8463213424902</v>
      </c>
      <c r="K380" s="1">
        <f>INDEX('02 Emission rates'!$E$7:$E$15,I380)</f>
        <v>4.0758788464844926</v>
      </c>
      <c r="L380" s="1">
        <f>INDEX('02 Emission rates'!$F$7:$F$15,I380)</f>
        <v>62.680628166186985</v>
      </c>
      <c r="M380" s="1">
        <f>INDEX('02 Emission rates'!$G$7:$G$15,I380)</f>
        <v>2.7514068118353263</v>
      </c>
      <c r="N380" s="1">
        <f t="shared" si="80"/>
        <v>6461.5146885494496</v>
      </c>
      <c r="O380" s="1">
        <f t="shared" si="81"/>
        <v>3.7993270211747823</v>
      </c>
      <c r="P380" s="1">
        <f t="shared" si="82"/>
        <v>58.427694557556919</v>
      </c>
      <c r="Q380" s="1">
        <f t="shared" si="83"/>
        <v>2.5647215337292502</v>
      </c>
      <c r="R380" s="1">
        <f t="shared" si="84"/>
        <v>3276.4867445641144</v>
      </c>
      <c r="S380" s="1">
        <f t="shared" si="85"/>
        <v>155.65114876620703</v>
      </c>
      <c r="T380" s="1">
        <f t="shared" si="86"/>
        <v>1226900.5220460007</v>
      </c>
      <c r="U380" s="1">
        <f t="shared" si="87"/>
        <v>917.30341753171751</v>
      </c>
      <c r="V380" s="1">
        <f t="shared" si="88"/>
        <v>10619.28910672215</v>
      </c>
      <c r="W380" s="1">
        <f t="shared" si="89"/>
        <v>462.36141358013867</v>
      </c>
      <c r="X380" s="1"/>
      <c r="Y380" s="1"/>
      <c r="Z380" s="1"/>
      <c r="AA380" s="1"/>
      <c r="AB380" s="1"/>
      <c r="AC380" s="1"/>
      <c r="AD380" s="1"/>
      <c r="AE380" s="1"/>
    </row>
    <row r="381" spans="1:31" ht="22.05" customHeight="1">
      <c r="A381" s="1">
        <f>'01 Traffic inputs'!B331</f>
        <v>0.67781639211691014</v>
      </c>
      <c r="B381" s="1">
        <f>'01 Traffic inputs'!C331</f>
        <v>3.8182192442394181E-3</v>
      </c>
      <c r="C381" s="1">
        <f>IF('01 Traffic inputs'!$B$16&lt;=2/3,(4*A381*(1-A381))^$B$16,1-ABS(2*A381-1)^$B$17)</f>
        <v>0.63175535514428438</v>
      </c>
      <c r="D381" s="1">
        <f>IF('01 Traffic inputs'!$B$16&lt;=2/3,4*$B$16*(1-2*A381)*(4*A381*(1-A381))^($B$16-1),-2*$B$17*SIGN(2*A381-1)*ABS(2*A381-1)^($B$17-1))</f>
        <v>-3.4942361098149699</v>
      </c>
      <c r="E381" s="1">
        <f t="shared" si="77"/>
        <v>17.462971924268626</v>
      </c>
      <c r="F381" s="1">
        <f t="shared" si="78"/>
        <v>5.2433822900662931E-2</v>
      </c>
      <c r="G381" s="1">
        <f t="shared" si="79"/>
        <v>0.91565037719635012</v>
      </c>
      <c r="H381" s="1">
        <f>'01 Traffic inputs'!$B$8/F381</f>
        <v>19.834525549859755</v>
      </c>
      <c r="I381" s="1">
        <f>MATCH(H381,'02 Emission rates'!$A$7:$A$15,1)</f>
        <v>1</v>
      </c>
      <c r="J381" s="1">
        <f>INDEX('02 Emission rates'!$D$7:$D$15,I381)</f>
        <v>6931.8463213424902</v>
      </c>
      <c r="K381" s="1">
        <f>INDEX('02 Emission rates'!$E$7:$E$15,I381)</f>
        <v>4.0758788464844926</v>
      </c>
      <c r="L381" s="1">
        <f>INDEX('02 Emission rates'!$F$7:$F$15,I381)</f>
        <v>62.680628166186985</v>
      </c>
      <c r="M381" s="1">
        <f>INDEX('02 Emission rates'!$G$7:$G$15,I381)</f>
        <v>2.7514068118353263</v>
      </c>
      <c r="N381" s="1">
        <f t="shared" si="80"/>
        <v>6347.1476988043833</v>
      </c>
      <c r="O381" s="1">
        <f t="shared" si="81"/>
        <v>3.7320800031901502</v>
      </c>
      <c r="P381" s="1">
        <f t="shared" si="82"/>
        <v>57.393540823273277</v>
      </c>
      <c r="Q381" s="1">
        <f t="shared" si="83"/>
        <v>2.5193266850776235</v>
      </c>
      <c r="R381" s="1">
        <f t="shared" si="84"/>
        <v>3293.9497164883828</v>
      </c>
      <c r="S381" s="1">
        <f t="shared" si="85"/>
        <v>156.56679914340339</v>
      </c>
      <c r="T381" s="1">
        <f t="shared" si="86"/>
        <v>1233247.669744805</v>
      </c>
      <c r="U381" s="1">
        <f t="shared" si="87"/>
        <v>921.03549753490768</v>
      </c>
      <c r="V381" s="1">
        <f t="shared" si="88"/>
        <v>10676.682647545424</v>
      </c>
      <c r="W381" s="1">
        <f t="shared" si="89"/>
        <v>464.88074026521628</v>
      </c>
      <c r="X381" s="1"/>
      <c r="Y381" s="1"/>
      <c r="Z381" s="1"/>
      <c r="AA381" s="1"/>
      <c r="AB381" s="1"/>
      <c r="AC381" s="1"/>
      <c r="AD381" s="1"/>
      <c r="AE381" s="1"/>
    </row>
    <row r="382" spans="1:31" ht="22.05" customHeight="1">
      <c r="A382" s="1">
        <f>'01 Traffic inputs'!B332</f>
        <v>0.68162863352670056</v>
      </c>
      <c r="B382" s="1">
        <f>'01 Traffic inputs'!C332</f>
        <v>3.8062211586604592E-3</v>
      </c>
      <c r="C382" s="1">
        <f>IF('01 Traffic inputs'!$B$16&lt;=2/3,(4*A382*(1-A382))^$B$16,1-ABS(2*A382-1)^$B$17)</f>
        <v>0.61839261859185868</v>
      </c>
      <c r="D382" s="1">
        <f>IF('01 Traffic inputs'!$B$16&lt;=2/3,4*$B$16*(1-2*A382)*(4*A382*(1-A382))^($B$16-1),-2*$B$17*SIGN(2*A382-1)*ABS(2*A382-1)^($B$17-1))</f>
        <v>-3.5157162363969801</v>
      </c>
      <c r="E382" s="1">
        <f t="shared" si="77"/>
        <v>17.403051596535942</v>
      </c>
      <c r="F382" s="1">
        <f t="shared" si="78"/>
        <v>5.1667606931493922E-2</v>
      </c>
      <c r="G382" s="1">
        <f t="shared" si="79"/>
        <v>0.89917402929832679</v>
      </c>
      <c r="H382" s="1">
        <f>'01 Traffic inputs'!$B$8/F382</f>
        <v>20.128665943033834</v>
      </c>
      <c r="I382" s="1">
        <f>MATCH(H382,'02 Emission rates'!$A$7:$A$15,1)</f>
        <v>1</v>
      </c>
      <c r="J382" s="1">
        <f>INDEX('02 Emission rates'!$D$7:$D$15,I382)</f>
        <v>6931.8463213424902</v>
      </c>
      <c r="K382" s="1">
        <f>INDEX('02 Emission rates'!$E$7:$E$15,I382)</f>
        <v>4.0758788464844926</v>
      </c>
      <c r="L382" s="1">
        <f>INDEX('02 Emission rates'!$F$7:$F$15,I382)</f>
        <v>62.680628166186985</v>
      </c>
      <c r="M382" s="1">
        <f>INDEX('02 Emission rates'!$G$7:$G$15,I382)</f>
        <v>2.7514068118353263</v>
      </c>
      <c r="N382" s="1">
        <f t="shared" si="80"/>
        <v>6232.9361872383115</v>
      </c>
      <c r="O382" s="1">
        <f t="shared" si="81"/>
        <v>3.6649244053252774</v>
      </c>
      <c r="P382" s="1">
        <f t="shared" si="82"/>
        <v>56.360792987140542</v>
      </c>
      <c r="Q382" s="1">
        <f t="shared" si="83"/>
        <v>2.4739935492368335</v>
      </c>
      <c r="R382" s="1">
        <f t="shared" si="84"/>
        <v>3311.3527680849188</v>
      </c>
      <c r="S382" s="1">
        <f t="shared" si="85"/>
        <v>157.46597317270172</v>
      </c>
      <c r="T382" s="1">
        <f t="shared" si="86"/>
        <v>1239480.6059320432</v>
      </c>
      <c r="U382" s="1">
        <f t="shared" si="87"/>
        <v>924.7004219402329</v>
      </c>
      <c r="V382" s="1">
        <f t="shared" si="88"/>
        <v>10733.043440532565</v>
      </c>
      <c r="W382" s="1">
        <f t="shared" si="89"/>
        <v>467.35473381445308</v>
      </c>
      <c r="X382" s="1"/>
      <c r="Y382" s="1"/>
      <c r="Z382" s="1"/>
      <c r="AA382" s="1"/>
      <c r="AB382" s="1"/>
      <c r="AC382" s="1"/>
      <c r="AD382" s="1"/>
      <c r="AE382" s="1"/>
    </row>
    <row r="383" spans="1:31" ht="22.05" customHeight="1">
      <c r="A383" s="1">
        <f>'01 Traffic inputs'!B333</f>
        <v>0.68542874973521362</v>
      </c>
      <c r="B383" s="1">
        <f>'01 Traffic inputs'!C333</f>
        <v>3.793968976594841E-3</v>
      </c>
      <c r="C383" s="1">
        <f>IF('01 Traffic inputs'!$B$16&lt;=2/3,(4*A383*(1-A383))^$B$16,1-ABS(2*A383-1)^$B$17)</f>
        <v>0.60499638368382869</v>
      </c>
      <c r="D383" s="1">
        <f>IF('01 Traffic inputs'!$B$16&lt;=2/3,4*$B$16*(1-2*A383)*(4*A383*(1-A383))^($B$16-1),-2*$B$17*SIGN(2*A383-1)*ABS(2*A383-1)^($B$17-1))</f>
        <v>-3.5342358918410799</v>
      </c>
      <c r="E383" s="1">
        <f t="shared" si="77"/>
        <v>17.342694840718213</v>
      </c>
      <c r="F383" s="1">
        <f t="shared" si="78"/>
        <v>5.0899470174999337E-2</v>
      </c>
      <c r="G383" s="1">
        <f t="shared" si="79"/>
        <v>0.88273397879925153</v>
      </c>
      <c r="H383" s="1">
        <f>'01 Traffic inputs'!$B$8/F383</f>
        <v>20.432432723255435</v>
      </c>
      <c r="I383" s="1">
        <f>MATCH(H383,'02 Emission rates'!$A$7:$A$15,1)</f>
        <v>1</v>
      </c>
      <c r="J383" s="1">
        <f>INDEX('02 Emission rates'!$D$7:$D$15,I383)</f>
        <v>6931.8463213424902</v>
      </c>
      <c r="K383" s="1">
        <f>INDEX('02 Emission rates'!$E$7:$E$15,I383)</f>
        <v>4.0758788464844926</v>
      </c>
      <c r="L383" s="1">
        <f>INDEX('02 Emission rates'!$F$7:$F$15,I383)</f>
        <v>62.680628166186985</v>
      </c>
      <c r="M383" s="1">
        <f>INDEX('02 Emission rates'!$G$7:$G$15,I383)</f>
        <v>2.7514068118353263</v>
      </c>
      <c r="N383" s="1">
        <f t="shared" si="80"/>
        <v>6118.9762836636119</v>
      </c>
      <c r="O383" s="1">
        <f t="shared" si="81"/>
        <v>3.5979167512609598</v>
      </c>
      <c r="P383" s="1">
        <f t="shared" si="82"/>
        <v>55.330320294774673</v>
      </c>
      <c r="Q383" s="1">
        <f t="shared" si="83"/>
        <v>2.4287602823067611</v>
      </c>
      <c r="R383" s="1">
        <f t="shared" si="84"/>
        <v>3328.695462925637</v>
      </c>
      <c r="S383" s="1">
        <f t="shared" si="85"/>
        <v>158.34870715150097</v>
      </c>
      <c r="T383" s="1">
        <f t="shared" si="86"/>
        <v>1245599.5822157068</v>
      </c>
      <c r="U383" s="1">
        <f t="shared" si="87"/>
        <v>928.29833869149388</v>
      </c>
      <c r="V383" s="1">
        <f t="shared" si="88"/>
        <v>10788.37376082734</v>
      </c>
      <c r="W383" s="1">
        <f t="shared" si="89"/>
        <v>469.78349409675985</v>
      </c>
      <c r="X383" s="1"/>
      <c r="Y383" s="1"/>
      <c r="Z383" s="1"/>
      <c r="AA383" s="1"/>
      <c r="AB383" s="1"/>
      <c r="AC383" s="1"/>
      <c r="AD383" s="1"/>
      <c r="AE383" s="1"/>
    </row>
    <row r="384" spans="1:31" ht="22.05" customHeight="1">
      <c r="A384" s="1">
        <f>'01 Traffic inputs'!B334</f>
        <v>0.6892164870535179</v>
      </c>
      <c r="B384" s="1">
        <f>'01 Traffic inputs'!C334</f>
        <v>3.7814635159762319E-3</v>
      </c>
      <c r="C384" s="1">
        <f>IF('01 Traffic inputs'!$B$16&lt;=2/3,(4*A384*(1-A384))^$B$16,1-ABS(2*A384-1)^$B$17)</f>
        <v>0.59157921836149308</v>
      </c>
      <c r="D384" s="1">
        <f>IF('01 Traffic inputs'!$B$16&lt;=2/3,4*$B$16*(1-2*A384)*(4*A384*(1-A384))^($B$16-1),-2*$B$17*SIGN(2*A384-1)*ABS(2*A384-1)^($B$17-1))</f>
        <v>-3.5498114383246002</v>
      </c>
      <c r="E384" s="1">
        <f t="shared" si="77"/>
        <v>17.281895731480883</v>
      </c>
      <c r="F384" s="1">
        <f t="shared" si="78"/>
        <v>5.0130133273787431E-2</v>
      </c>
      <c r="G384" s="1">
        <f t="shared" si="79"/>
        <v>0.86634373624283478</v>
      </c>
      <c r="H384" s="1">
        <f>'01 Traffic inputs'!$B$8/F384</f>
        <v>20.746005088796096</v>
      </c>
      <c r="I384" s="1">
        <f>MATCH(H384,'02 Emission rates'!$A$7:$A$15,1)</f>
        <v>1</v>
      </c>
      <c r="J384" s="1">
        <f>INDEX('02 Emission rates'!$D$7:$D$15,I384)</f>
        <v>6931.8463213424902</v>
      </c>
      <c r="K384" s="1">
        <f>INDEX('02 Emission rates'!$E$7:$E$15,I384)</f>
        <v>4.0758788464844926</v>
      </c>
      <c r="L384" s="1">
        <f>INDEX('02 Emission rates'!$F$7:$F$15,I384)</f>
        <v>62.680628166186985</v>
      </c>
      <c r="M384" s="1">
        <f>INDEX('02 Emission rates'!$G$7:$G$15,I384)</f>
        <v>2.7514068118353263</v>
      </c>
      <c r="N384" s="1">
        <f t="shared" si="80"/>
        <v>6005.3616410930026</v>
      </c>
      <c r="O384" s="1">
        <f t="shared" si="81"/>
        <v>3.5311121083365111</v>
      </c>
      <c r="P384" s="1">
        <f t="shared" si="82"/>
        <v>54.302969595542301</v>
      </c>
      <c r="Q384" s="1">
        <f t="shared" si="83"/>
        <v>2.383664057289403</v>
      </c>
      <c r="R384" s="1">
        <f t="shared" si="84"/>
        <v>3345.9773586571177</v>
      </c>
      <c r="S384" s="1">
        <f t="shared" si="85"/>
        <v>159.21505088774381</v>
      </c>
      <c r="T384" s="1">
        <f t="shared" si="86"/>
        <v>1251604.9438567997</v>
      </c>
      <c r="U384" s="1">
        <f t="shared" si="87"/>
        <v>931.8294507998304</v>
      </c>
      <c r="V384" s="1">
        <f t="shared" si="88"/>
        <v>10842.676730422883</v>
      </c>
      <c r="W384" s="1">
        <f t="shared" si="89"/>
        <v>472.16715815404928</v>
      </c>
      <c r="X384" s="1"/>
      <c r="Y384" s="1"/>
      <c r="Z384" s="1"/>
      <c r="AA384" s="1"/>
      <c r="AB384" s="1"/>
      <c r="AC384" s="1"/>
      <c r="AD384" s="1"/>
      <c r="AE384" s="1"/>
    </row>
    <row r="385" spans="1:31" ht="22.05" customHeight="1">
      <c r="A385" s="1">
        <f>'01 Traffic inputs'!B335</f>
        <v>0.69299159261907506</v>
      </c>
      <c r="B385" s="1">
        <f>'01 Traffic inputs'!C335</f>
        <v>3.7687056116467448E-3</v>
      </c>
      <c r="C385" s="1">
        <f>IF('01 Traffic inputs'!$B$16&lt;=2/3,(4*A385*(1-A385))^$B$16,1-ABS(2*A385-1)^$B$17)</f>
        <v>0.57815352209614068</v>
      </c>
      <c r="D385" s="1">
        <f>IF('01 Traffic inputs'!$B$16&lt;=2/3,4*$B$16*(1-2*A385)*(4*A385*(1-A385))^($B$16-1),-2*$B$17*SIGN(2*A385-1)*ABS(2*A385-1)^($B$17-1))</f>
        <v>-3.5624629846443656</v>
      </c>
      <c r="E385" s="1">
        <f t="shared" si="77"/>
        <v>17.220647319715059</v>
      </c>
      <c r="F385" s="1">
        <f t="shared" si="78"/>
        <v>4.9360307210438277E-2</v>
      </c>
      <c r="G385" s="1">
        <f t="shared" si="79"/>
        <v>0.85001644206374583</v>
      </c>
      <c r="H385" s="1">
        <f>'01 Traffic inputs'!$B$8/F385</f>
        <v>21.069560924047298</v>
      </c>
      <c r="I385" s="1">
        <f>MATCH(H385,'02 Emission rates'!$A$7:$A$15,1)</f>
        <v>1</v>
      </c>
      <c r="J385" s="1">
        <f>INDEX('02 Emission rates'!$D$7:$D$15,I385)</f>
        <v>6931.8463213424902</v>
      </c>
      <c r="K385" s="1">
        <f>INDEX('02 Emission rates'!$E$7:$E$15,I385)</f>
        <v>4.0758788464844926</v>
      </c>
      <c r="L385" s="1">
        <f>INDEX('02 Emission rates'!$F$7:$F$15,I385)</f>
        <v>62.680628166186985</v>
      </c>
      <c r="M385" s="1">
        <f>INDEX('02 Emission rates'!$G$7:$G$15,I385)</f>
        <v>2.7514068118353263</v>
      </c>
      <c r="N385" s="1">
        <f t="shared" si="80"/>
        <v>5892.1833470002084</v>
      </c>
      <c r="O385" s="1">
        <f t="shared" si="81"/>
        <v>3.4645640353716329</v>
      </c>
      <c r="P385" s="1">
        <f t="shared" si="82"/>
        <v>53.279564540142871</v>
      </c>
      <c r="Q385" s="1">
        <f t="shared" si="83"/>
        <v>2.338741028866218</v>
      </c>
      <c r="R385" s="1">
        <f t="shared" si="84"/>
        <v>3363.198005976833</v>
      </c>
      <c r="S385" s="1">
        <f t="shared" si="85"/>
        <v>160.06506732980756</v>
      </c>
      <c r="T385" s="1">
        <f t="shared" si="86"/>
        <v>1257497.1272038</v>
      </c>
      <c r="U385" s="1">
        <f t="shared" si="87"/>
        <v>935.29401483520201</v>
      </c>
      <c r="V385" s="1">
        <f t="shared" si="88"/>
        <v>10895.956294963025</v>
      </c>
      <c r="W385" s="1">
        <f t="shared" si="89"/>
        <v>474.50589918291547</v>
      </c>
      <c r="X385" s="1"/>
      <c r="Y385" s="1"/>
      <c r="Z385" s="1"/>
      <c r="AA385" s="1"/>
      <c r="AB385" s="1"/>
      <c r="AC385" s="1"/>
      <c r="AD385" s="1"/>
      <c r="AE385" s="1"/>
    </row>
    <row r="386" spans="1:31" ht="22.05" customHeight="1">
      <c r="A386" s="1">
        <f>'01 Traffic inputs'!B336</f>
        <v>0.6967538144126193</v>
      </c>
      <c r="B386" s="1">
        <f>'01 Traffic inputs'!C336</f>
        <v>3.7556961153010901E-3</v>
      </c>
      <c r="C386" s="1">
        <f>IF('01 Traffic inputs'!$B$16&lt;=2/3,(4*A386*(1-A386))^$B$16,1-ABS(2*A386-1)^$B$17)</f>
        <v>0.56473150826022511</v>
      </c>
      <c r="D386" s="1">
        <f>IF('01 Traffic inputs'!$B$16&lt;=2/3,4*$B$16*(1-2*A386)*(4*A386*(1-A386))^($B$16-1),-2*$B$17*SIGN(2*A386-1)*ABS(2*A386-1)^($B$17-1))</f>
        <v>-3.5722143225859901</v>
      </c>
      <c r="E386" s="1">
        <f t="shared" si="77"/>
        <v>17.158941666057931</v>
      </c>
      <c r="F386" s="1">
        <f t="shared" si="78"/>
        <v>4.8590692296671303E-2</v>
      </c>
      <c r="G386" s="1">
        <f t="shared" si="79"/>
        <v>0.83376485463195338</v>
      </c>
      <c r="H386" s="1">
        <f>'01 Traffic inputs'!$B$8/F386</f>
        <v>21.403276035877049</v>
      </c>
      <c r="I386" s="1">
        <f>MATCH(H386,'02 Emission rates'!$A$7:$A$15,1)</f>
        <v>1</v>
      </c>
      <c r="J386" s="1">
        <f>INDEX('02 Emission rates'!$D$7:$D$15,I386)</f>
        <v>6931.8463213424902</v>
      </c>
      <c r="K386" s="1">
        <f>INDEX('02 Emission rates'!$E$7:$E$15,I386)</f>
        <v>4.0758788464844926</v>
      </c>
      <c r="L386" s="1">
        <f>INDEX('02 Emission rates'!$F$7:$F$15,I386)</f>
        <v>62.680628166186985</v>
      </c>
      <c r="M386" s="1">
        <f>INDEX('02 Emission rates'!$G$7:$G$15,I386)</f>
        <v>2.7514068118353263</v>
      </c>
      <c r="N386" s="1">
        <f t="shared" si="80"/>
        <v>5779.5298404451623</v>
      </c>
      <c r="O386" s="1">
        <f t="shared" si="81"/>
        <v>3.3983245339365968</v>
      </c>
      <c r="P386" s="1">
        <f t="shared" si="82"/>
        <v>52.260904831220415</v>
      </c>
      <c r="Q386" s="1">
        <f t="shared" si="83"/>
        <v>2.2940263005032473</v>
      </c>
      <c r="R386" s="1">
        <f t="shared" si="84"/>
        <v>3380.3569476428911</v>
      </c>
      <c r="S386" s="1">
        <f t="shared" si="85"/>
        <v>160.89883218443953</v>
      </c>
      <c r="T386" s="1">
        <f t="shared" si="86"/>
        <v>1263276.6570442452</v>
      </c>
      <c r="U386" s="1">
        <f t="shared" si="87"/>
        <v>938.69233936913861</v>
      </c>
      <c r="V386" s="1">
        <f t="shared" si="88"/>
        <v>10948.217199794246</v>
      </c>
      <c r="W386" s="1">
        <f t="shared" si="89"/>
        <v>476.79992548341869</v>
      </c>
      <c r="X386" s="1"/>
      <c r="Y386" s="1"/>
      <c r="Z386" s="1"/>
      <c r="AA386" s="1"/>
      <c r="AB386" s="1"/>
      <c r="AC386" s="1"/>
      <c r="AD386" s="1"/>
      <c r="AE386" s="1"/>
    </row>
    <row r="387" spans="1:31" ht="22.05" customHeight="1">
      <c r="A387" s="1">
        <f>'01 Traffic inputs'!B337</f>
        <v>0.7005029012749826</v>
      </c>
      <c r="B387" s="1">
        <f>'01 Traffic inputs'!C337</f>
        <v>3.7424358954299282E-3</v>
      </c>
      <c r="C387" s="1">
        <f>IF('01 Traffic inputs'!$B$16&lt;=2/3,(4*A387*(1-A387))^$B$16,1-ABS(2*A387-1)^$B$17)</f>
        <v>0.55132518706198608</v>
      </c>
      <c r="D387" s="1">
        <f>IF('01 Traffic inputs'!$B$16&lt;=2/3,4*$B$16*(1-2*A387)*(4*A387*(1-A387))^($B$16-1),-2*$B$17*SIGN(2*A387-1)*ABS(2*A387-1)^($B$17-1))</f>
        <v>-3.5790928573505263</v>
      </c>
      <c r="E387" s="1">
        <f t="shared" si="77"/>
        <v>17.096769876368324</v>
      </c>
      <c r="F387" s="1">
        <f t="shared" si="78"/>
        <v>4.7821977194820772E-2</v>
      </c>
      <c r="G387" s="1">
        <f t="shared" si="79"/>
        <v>0.81760133913278477</v>
      </c>
      <c r="H387" s="1">
        <f>'01 Traffic inputs'!$B$8/F387</f>
        <v>21.747323322981611</v>
      </c>
      <c r="I387" s="1">
        <f>MATCH(H387,'02 Emission rates'!$A$7:$A$15,1)</f>
        <v>1</v>
      </c>
      <c r="J387" s="1">
        <f>INDEX('02 Emission rates'!$D$7:$D$15,I387)</f>
        <v>6931.8463213424902</v>
      </c>
      <c r="K387" s="1">
        <f>INDEX('02 Emission rates'!$E$7:$E$15,I387)</f>
        <v>4.0758788464844926</v>
      </c>
      <c r="L387" s="1">
        <f>INDEX('02 Emission rates'!$F$7:$F$15,I387)</f>
        <v>62.680628166186985</v>
      </c>
      <c r="M387" s="1">
        <f>INDEX('02 Emission rates'!$G$7:$G$15,I387)</f>
        <v>2.7514068118353263</v>
      </c>
      <c r="N387" s="1">
        <f t="shared" si="80"/>
        <v>5667.4868349922881</v>
      </c>
      <c r="O387" s="1">
        <f t="shared" si="81"/>
        <v>3.3324440030287112</v>
      </c>
      <c r="P387" s="1">
        <f t="shared" si="82"/>
        <v>51.247765526358627</v>
      </c>
      <c r="Q387" s="1">
        <f t="shared" si="83"/>
        <v>2.2495538938556288</v>
      </c>
      <c r="R387" s="1">
        <f t="shared" si="84"/>
        <v>3397.4537175192595</v>
      </c>
      <c r="S387" s="1">
        <f t="shared" si="85"/>
        <v>161.71643352357231</v>
      </c>
      <c r="T387" s="1">
        <f t="shared" si="86"/>
        <v>1268944.1438792374</v>
      </c>
      <c r="U387" s="1">
        <f t="shared" si="87"/>
        <v>942.02478337216735</v>
      </c>
      <c r="V387" s="1">
        <f t="shared" si="88"/>
        <v>10999.464965320605</v>
      </c>
      <c r="W387" s="1">
        <f t="shared" si="89"/>
        <v>479.04947937727434</v>
      </c>
      <c r="X387" s="1"/>
      <c r="Y387" s="1"/>
      <c r="Z387" s="1"/>
      <c r="AA387" s="1"/>
      <c r="AB387" s="1"/>
      <c r="AC387" s="1"/>
      <c r="AD387" s="1"/>
      <c r="AE387" s="1"/>
    </row>
    <row r="388" spans="1:31" ht="22.05" customHeight="1">
      <c r="A388" s="1">
        <f>'01 Traffic inputs'!B338</f>
        <v>0.70423860292386142</v>
      </c>
      <c r="B388" s="1">
        <f>'01 Traffic inputs'!C338</f>
        <v>3.7289258372617119E-3</v>
      </c>
      <c r="C388" s="1">
        <f>IF('01 Traffic inputs'!$B$16&lt;=2/3,(4*A388*(1-A388))^$B$16,1-ABS(2*A388-1)^$B$17)</f>
        <v>0.53794634907445893</v>
      </c>
      <c r="D388" s="1">
        <f>IF('01 Traffic inputs'!$B$16&lt;=2/3,4*$B$16*(1-2*A388)*(4*A388*(1-A388))^($B$16-1),-2*$B$17*SIGN(2*A388-1)*ABS(2*A388-1)^($B$17-1))</f>
        <v>-3.5831295322020464</v>
      </c>
      <c r="E388" s="1">
        <f t="shared" si="77"/>
        <v>17.034122139053171</v>
      </c>
      <c r="F388" s="1">
        <f t="shared" si="78"/>
        <v>4.7054837973393299E-2</v>
      </c>
      <c r="G388" s="1">
        <f t="shared" si="79"/>
        <v>0.80153785727213867</v>
      </c>
      <c r="H388" s="1">
        <f>'01 Traffic inputs'!$B$8/F388</f>
        <v>22.101871875280462</v>
      </c>
      <c r="I388" s="1">
        <f>MATCH(H388,'02 Emission rates'!$A$7:$A$15,1)</f>
        <v>1</v>
      </c>
      <c r="J388" s="1">
        <f>INDEX('02 Emission rates'!$D$7:$D$15,I388)</f>
        <v>6931.8463213424902</v>
      </c>
      <c r="K388" s="1">
        <f>INDEX('02 Emission rates'!$E$7:$E$15,I388)</f>
        <v>4.0758788464844926</v>
      </c>
      <c r="L388" s="1">
        <f>INDEX('02 Emission rates'!$F$7:$F$15,I388)</f>
        <v>62.680628166186985</v>
      </c>
      <c r="M388" s="1">
        <f>INDEX('02 Emission rates'!$G$7:$G$15,I388)</f>
        <v>2.7514068118353263</v>
      </c>
      <c r="N388" s="1">
        <f t="shared" si="80"/>
        <v>5556.1372473486163</v>
      </c>
      <c r="O388" s="1">
        <f t="shared" si="81"/>
        <v>3.2669711971120163</v>
      </c>
      <c r="P388" s="1">
        <f t="shared" si="82"/>
        <v>50.240896392797175</v>
      </c>
      <c r="Q388" s="1">
        <f t="shared" si="83"/>
        <v>2.2053567204424538</v>
      </c>
      <c r="R388" s="1">
        <f t="shared" si="84"/>
        <v>3414.4878396583126</v>
      </c>
      <c r="S388" s="1">
        <f t="shared" si="85"/>
        <v>162.51797138084444</v>
      </c>
      <c r="T388" s="1">
        <f t="shared" si="86"/>
        <v>1274500.281126586</v>
      </c>
      <c r="U388" s="1">
        <f t="shared" si="87"/>
        <v>945.29175456927942</v>
      </c>
      <c r="V388" s="1">
        <f t="shared" si="88"/>
        <v>11049.705861713403</v>
      </c>
      <c r="W388" s="1">
        <f t="shared" si="89"/>
        <v>481.2548360977168</v>
      </c>
      <c r="X388" s="1"/>
      <c r="Y388" s="1"/>
      <c r="Z388" s="1"/>
      <c r="AA388" s="1"/>
      <c r="AB388" s="1"/>
      <c r="AC388" s="1"/>
      <c r="AD388" s="1"/>
      <c r="AE388" s="1"/>
    </row>
    <row r="389" spans="1:31" ht="22.05" customHeight="1">
      <c r="A389" s="1">
        <f>'01 Traffic inputs'!B339</f>
        <v>0.70796066997052476</v>
      </c>
      <c r="B389" s="1">
        <f>'01 Traffic inputs'!C339</f>
        <v>3.7151668427036484E-3</v>
      </c>
      <c r="C389" s="1">
        <f>IF('01 Traffic inputs'!$B$16&lt;=2/3,(4*A389*(1-A389))^$B$16,1-ABS(2*A389-1)^$B$17)</f>
        <v>0.52460654938812845</v>
      </c>
      <c r="D389" s="1">
        <f>IF('01 Traffic inputs'!$B$16&lt;=2/3,4*$B$16*(1-2*A389)*(4*A389*(1-A389))^($B$16-1),-2*$B$17*SIGN(2*A389-1)*ABS(2*A389-1)^($B$17-1))</f>
        <v>-3.5843587475106018</v>
      </c>
      <c r="E389" s="1">
        <f t="shared" si="77"/>
        <v>16.970987764142901</v>
      </c>
      <c r="F389" s="1">
        <f t="shared" si="78"/>
        <v>4.6289937198384999E-2</v>
      </c>
      <c r="G389" s="1">
        <f t="shared" si="79"/>
        <v>0.78558595779673512</v>
      </c>
      <c r="H389" s="1">
        <f>'01 Traffic inputs'!$B$8/F389</f>
        <v>22.467086000633088</v>
      </c>
      <c r="I389" s="1">
        <f>MATCH(H389,'02 Emission rates'!$A$7:$A$15,1)</f>
        <v>1</v>
      </c>
      <c r="J389" s="1">
        <f>INDEX('02 Emission rates'!$D$7:$D$15,I389)</f>
        <v>6931.8463213424902</v>
      </c>
      <c r="K389" s="1">
        <f>INDEX('02 Emission rates'!$E$7:$E$15,I389)</f>
        <v>4.0758788464844926</v>
      </c>
      <c r="L389" s="1">
        <f>INDEX('02 Emission rates'!$F$7:$F$15,I389)</f>
        <v>62.680628166186985</v>
      </c>
      <c r="M389" s="1">
        <f>INDEX('02 Emission rates'!$G$7:$G$15,I389)</f>
        <v>2.7514068118353263</v>
      </c>
      <c r="N389" s="1">
        <f t="shared" si="80"/>
        <v>5445.5611316516151</v>
      </c>
      <c r="O389" s="1">
        <f t="shared" si="81"/>
        <v>3.201953187478972</v>
      </c>
      <c r="P389" s="1">
        <f t="shared" si="82"/>
        <v>49.241021313235017</v>
      </c>
      <c r="Q389" s="1">
        <f t="shared" si="83"/>
        <v>2.1614665555641164</v>
      </c>
      <c r="R389" s="1">
        <f t="shared" si="84"/>
        <v>3431.4588274224557</v>
      </c>
      <c r="S389" s="1">
        <f t="shared" si="85"/>
        <v>163.30355733864118</v>
      </c>
      <c r="T389" s="1">
        <f t="shared" si="86"/>
        <v>1279945.8422582375</v>
      </c>
      <c r="U389" s="1">
        <f t="shared" si="87"/>
        <v>948.49370775675834</v>
      </c>
      <c r="V389" s="1">
        <f t="shared" si="88"/>
        <v>11098.946883026638</v>
      </c>
      <c r="W389" s="1">
        <f t="shared" si="89"/>
        <v>483.41630265328092</v>
      </c>
      <c r="X389" s="1"/>
      <c r="Y389" s="1"/>
      <c r="Z389" s="1"/>
      <c r="AA389" s="1"/>
      <c r="AB389" s="1"/>
      <c r="AC389" s="1"/>
      <c r="AD389" s="1"/>
      <c r="AE389" s="1"/>
    </row>
    <row r="390" spans="1:31" ht="22.05" customHeight="1">
      <c r="A390" s="1">
        <f>'01 Traffic inputs'!B340</f>
        <v>0.71166885393646329</v>
      </c>
      <c r="B390" s="1">
        <f>'01 Traffic inputs'!C340</f>
        <v>3.7011598302814628E-3</v>
      </c>
      <c r="C390" s="1">
        <f>IF('01 Traffic inputs'!$B$16&lt;=2/3,(4*A390*(1-A390))^$B$16,1-ABS(2*A390-1)^$B$17)</f>
        <v>0.51131709241475543</v>
      </c>
      <c r="D390" s="1">
        <f>IF('01 Traffic inputs'!$B$16&lt;=2/3,4*$B$16*(1-2*A390)*(4*A390*(1-A390))^($B$16-1),-2*$B$17*SIGN(2*A390-1)*ABS(2*A390-1)^($B$17-1))</f>
        <v>-3.5828182743754002</v>
      </c>
      <c r="E390" s="1">
        <f t="shared" si="77"/>
        <v>16.907355224005673</v>
      </c>
      <c r="F390" s="1">
        <f t="shared" si="78"/>
        <v>4.5527923061936697E-2</v>
      </c>
      <c r="G390" s="1">
        <f t="shared" si="79"/>
        <v>0.76975676781936375</v>
      </c>
      <c r="H390" s="1">
        <f>'01 Traffic inputs'!$B$8/F390</f>
        <v>22.84312417645744</v>
      </c>
      <c r="I390" s="1">
        <f>MATCH(H390,'02 Emission rates'!$A$7:$A$15,1)</f>
        <v>1</v>
      </c>
      <c r="J390" s="1">
        <f>INDEX('02 Emission rates'!$D$7:$D$15,I390)</f>
        <v>6931.8463213424902</v>
      </c>
      <c r="K390" s="1">
        <f>INDEX('02 Emission rates'!$E$7:$E$15,I390)</f>
        <v>4.0758788464844926</v>
      </c>
      <c r="L390" s="1">
        <f>INDEX('02 Emission rates'!$F$7:$F$15,I390)</f>
        <v>62.680628166186985</v>
      </c>
      <c r="M390" s="1">
        <f>INDEX('02 Emission rates'!$G$7:$G$15,I390)</f>
        <v>2.7514068118353263</v>
      </c>
      <c r="N390" s="1">
        <f t="shared" si="80"/>
        <v>5335.8356193371419</v>
      </c>
      <c r="O390" s="1">
        <f t="shared" si="81"/>
        <v>3.1374353268932196</v>
      </c>
      <c r="P390" s="1">
        <f t="shared" si="82"/>
        <v>48.248837742091467</v>
      </c>
      <c r="Q390" s="1">
        <f t="shared" si="83"/>
        <v>2.117914014434541</v>
      </c>
      <c r="R390" s="1">
        <f t="shared" si="84"/>
        <v>3448.3661826464613</v>
      </c>
      <c r="S390" s="1">
        <f t="shared" si="85"/>
        <v>164.07331410646054</v>
      </c>
      <c r="T390" s="1">
        <f t="shared" si="86"/>
        <v>1285281.6778775747</v>
      </c>
      <c r="U390" s="1">
        <f t="shared" si="87"/>
        <v>951.63114308365152</v>
      </c>
      <c r="V390" s="1">
        <f t="shared" si="88"/>
        <v>11147.19572076873</v>
      </c>
      <c r="W390" s="1">
        <f t="shared" si="89"/>
        <v>485.53421666771544</v>
      </c>
      <c r="X390" s="1"/>
      <c r="Y390" s="1"/>
      <c r="Z390" s="1"/>
      <c r="AA390" s="1"/>
      <c r="AB390" s="1"/>
      <c r="AC390" s="1"/>
      <c r="AD390" s="1"/>
      <c r="AE390" s="1"/>
    </row>
    <row r="391" spans="1:31" ht="22.05" customHeight="1">
      <c r="A391" s="1">
        <f>'01 Traffic inputs'!B341</f>
        <v>0.7153629072699772</v>
      </c>
      <c r="B391" s="1">
        <f>'01 Traffic inputs'!C341</f>
        <v>3.6869057350781618E-3</v>
      </c>
      <c r="C391" s="1">
        <f>IF('01 Traffic inputs'!$B$16&lt;=2/3,(4*A391*(1-A391))^$B$16,1-ABS(2*A391-1)^$B$17)</f>
        <v>0.49808901736812461</v>
      </c>
      <c r="D391" s="1">
        <f>IF('01 Traffic inputs'!$B$16&lt;=2/3,4*$B$16*(1-2*A391)*(4*A391*(1-A391))^($B$16-1),-2*$B$17*SIGN(2*A391-1)*ABS(2*A391-1)^($B$17-1))</f>
        <v>-3.5785491630230477</v>
      </c>
      <c r="E391" s="1">
        <f t="shared" si="77"/>
        <v>16.843212195589384</v>
      </c>
      <c r="F391" s="1">
        <f t="shared" si="78"/>
        <v>4.4769428549803647E-2</v>
      </c>
      <c r="G391" s="1">
        <f t="shared" si="79"/>
        <v>0.75406098493962037</v>
      </c>
      <c r="H391" s="1">
        <f>'01 Traffic inputs'!$B$8/F391</f>
        <v>23.230137924210375</v>
      </c>
      <c r="I391" s="1">
        <f>MATCH(H391,'02 Emission rates'!$A$7:$A$15,1)</f>
        <v>1</v>
      </c>
      <c r="J391" s="1">
        <f>INDEX('02 Emission rates'!$D$7:$D$15,I391)</f>
        <v>6931.8463213424902</v>
      </c>
      <c r="K391" s="1">
        <f>INDEX('02 Emission rates'!$E$7:$E$15,I391)</f>
        <v>4.0758788464844926</v>
      </c>
      <c r="L391" s="1">
        <f>INDEX('02 Emission rates'!$F$7:$F$15,I391)</f>
        <v>62.680628166186985</v>
      </c>
      <c r="M391" s="1">
        <f>INDEX('02 Emission rates'!$G$7:$G$15,I391)</f>
        <v>2.7514068118353263</v>
      </c>
      <c r="N391" s="1">
        <f t="shared" si="80"/>
        <v>5227.0348645216027</v>
      </c>
      <c r="O391" s="1">
        <f t="shared" si="81"/>
        <v>3.0734612174746601</v>
      </c>
      <c r="P391" s="1">
        <f t="shared" si="82"/>
        <v>47.265016211629067</v>
      </c>
      <c r="Q391" s="1">
        <f t="shared" si="83"/>
        <v>2.074728530502127</v>
      </c>
      <c r="R391" s="1">
        <f t="shared" si="84"/>
        <v>3465.2093948420506</v>
      </c>
      <c r="S391" s="1">
        <f t="shared" si="85"/>
        <v>164.82737509140017</v>
      </c>
      <c r="T391" s="1">
        <f t="shared" si="86"/>
        <v>1290508.7127420963</v>
      </c>
      <c r="U391" s="1">
        <f t="shared" si="87"/>
        <v>954.70460430112621</v>
      </c>
      <c r="V391" s="1">
        <f t="shared" si="88"/>
        <v>11194.46073698036</v>
      </c>
      <c r="W391" s="1">
        <f t="shared" si="89"/>
        <v>487.60894519821755</v>
      </c>
      <c r="X391" s="1"/>
      <c r="Y391" s="1"/>
      <c r="Z391" s="1"/>
      <c r="AA391" s="1"/>
      <c r="AB391" s="1"/>
      <c r="AC391" s="1"/>
      <c r="AD391" s="1"/>
      <c r="AE391" s="1"/>
    </row>
    <row r="392" spans="1:31" ht="22.05" customHeight="1">
      <c r="A392" s="1">
        <f>'01 Traffic inputs'!B342</f>
        <v>0.71904258336270255</v>
      </c>
      <c r="B392" s="1">
        <f>'01 Traffic inputs'!C342</f>
        <v>3.6724055086715594E-3</v>
      </c>
      <c r="C392" s="1">
        <f>IF('01 Traffic inputs'!$B$16&lt;=2/3,(4*A392*(1-A392))^$B$16,1-ABS(2*A392-1)^$B$17)</f>
        <v>0.48493308444561223</v>
      </c>
      <c r="D392" s="1">
        <f>IF('01 Traffic inputs'!$B$16&lt;=2/3,4*$B$16*(1-2*A392)*(4*A392*(1-A392))^($B$16-1),-2*$B$17*SIGN(2*A392-1)*ABS(2*A392-1)^($B$17-1))</f>
        <v>-3.5715956461852736</v>
      </c>
      <c r="E392" s="1">
        <f t="shared" si="77"/>
        <v>16.778545604075269</v>
      </c>
      <c r="F392" s="1">
        <f t="shared" si="78"/>
        <v>4.4015070649010078E-2</v>
      </c>
      <c r="G392" s="1">
        <f t="shared" si="79"/>
        <v>0.73850887015101041</v>
      </c>
      <c r="H392" s="1">
        <f>'01 Traffic inputs'!$B$8/F392</f>
        <v>23.628270605159432</v>
      </c>
      <c r="I392" s="1">
        <f>MATCH(H392,'02 Emission rates'!$A$7:$A$15,1)</f>
        <v>1</v>
      </c>
      <c r="J392" s="1">
        <f>INDEX('02 Emission rates'!$D$7:$D$15,I392)</f>
        <v>6931.8463213424902</v>
      </c>
      <c r="K392" s="1">
        <f>INDEX('02 Emission rates'!$E$7:$E$15,I392)</f>
        <v>4.0758788464844926</v>
      </c>
      <c r="L392" s="1">
        <f>INDEX('02 Emission rates'!$F$7:$F$15,I392)</f>
        <v>62.680628166186985</v>
      </c>
      <c r="M392" s="1">
        <f>INDEX('02 Emission rates'!$G$7:$G$15,I392)</f>
        <v>2.7514068118353263</v>
      </c>
      <c r="N392" s="1">
        <f t="shared" si="80"/>
        <v>5119.2299948350801</v>
      </c>
      <c r="O392" s="1">
        <f t="shared" si="81"/>
        <v>3.0100726817896661</v>
      </c>
      <c r="P392" s="1">
        <f t="shared" si="82"/>
        <v>46.290199887366349</v>
      </c>
      <c r="Q392" s="1">
        <f t="shared" si="83"/>
        <v>2.0319383359343006</v>
      </c>
      <c r="R392" s="1">
        <f t="shared" si="84"/>
        <v>3481.9879404461258</v>
      </c>
      <c r="S392" s="1">
        <f t="shared" si="85"/>
        <v>165.56588396155118</v>
      </c>
      <c r="T392" s="1">
        <f t="shared" si="86"/>
        <v>1295627.9427369314</v>
      </c>
      <c r="U392" s="1">
        <f t="shared" si="87"/>
        <v>957.71467698291588</v>
      </c>
      <c r="V392" s="1">
        <f t="shared" si="88"/>
        <v>11240.750936867726</v>
      </c>
      <c r="W392" s="1">
        <f t="shared" si="89"/>
        <v>489.64088353415184</v>
      </c>
      <c r="X392" s="1"/>
      <c r="Y392" s="1"/>
      <c r="Z392" s="1"/>
      <c r="AA392" s="1"/>
      <c r="AB392" s="1"/>
      <c r="AC392" s="1"/>
      <c r="AD392" s="1"/>
      <c r="AE392" s="1"/>
    </row>
    <row r="393" spans="1:31" ht="22.05" customHeight="1">
      <c r="A393" s="1">
        <f>'01 Traffic inputs'!B343</f>
        <v>0.72270763656607362</v>
      </c>
      <c r="B393" s="1">
        <f>'01 Traffic inputs'!C343</f>
        <v>3.6576601190707013E-3</v>
      </c>
      <c r="C393" s="1">
        <f>IF('01 Traffic inputs'!$B$16&lt;=2/3,(4*A393*(1-A393))^$B$16,1-ABS(2*A393-1)^$B$17)</f>
        <v>0.47185976173259819</v>
      </c>
      <c r="D393" s="1">
        <f>IF('01 Traffic inputs'!$B$16&lt;=2/3,4*$B$16*(1-2*A393)*(4*A393*(1-A393))^($B$16-1),-2*$B$17*SIGN(2*A393-1)*ABS(2*A393-1)^($B$17-1))</f>
        <v>-3.562005037669675</v>
      </c>
      <c r="E393" s="1">
        <f t="shared" si="77"/>
        <v>16.713341667826018</v>
      </c>
      <c r="F393" s="1">
        <f t="shared" si="78"/>
        <v>4.3265449596951479E-2</v>
      </c>
      <c r="G393" s="1">
        <f t="shared" si="79"/>
        <v>0.7231102415259556</v>
      </c>
      <c r="H393" s="1">
        <f>'01 Traffic inputs'!$B$8/F393</f>
        <v>24.03765613644056</v>
      </c>
      <c r="I393" s="1">
        <f>MATCH(H393,'02 Emission rates'!$A$7:$A$15,1)</f>
        <v>1</v>
      </c>
      <c r="J393" s="1">
        <f>INDEX('02 Emission rates'!$D$7:$D$15,I393)</f>
        <v>6931.8463213424902</v>
      </c>
      <c r="K393" s="1">
        <f>INDEX('02 Emission rates'!$E$7:$E$15,I393)</f>
        <v>4.0758788464844926</v>
      </c>
      <c r="L393" s="1">
        <f>INDEX('02 Emission rates'!$F$7:$F$15,I393)</f>
        <v>62.680628166186985</v>
      </c>
      <c r="M393" s="1">
        <f>INDEX('02 Emission rates'!$G$7:$G$15,I393)</f>
        <v>2.7514068118353263</v>
      </c>
      <c r="N393" s="1">
        <f t="shared" si="80"/>
        <v>5012.4890676467749</v>
      </c>
      <c r="O393" s="1">
        <f t="shared" si="81"/>
        <v>2.9473097371119348</v>
      </c>
      <c r="P393" s="1">
        <f t="shared" si="82"/>
        <v>45.325004172250082</v>
      </c>
      <c r="Q393" s="1">
        <f t="shared" si="83"/>
        <v>1.9895704442424023</v>
      </c>
      <c r="R393" s="1">
        <f t="shared" si="84"/>
        <v>3498.7012821139519</v>
      </c>
      <c r="S393" s="1">
        <f t="shared" si="85"/>
        <v>166.28899420307712</v>
      </c>
      <c r="T393" s="1">
        <f t="shared" si="86"/>
        <v>1300640.4318045781</v>
      </c>
      <c r="U393" s="1">
        <f t="shared" si="87"/>
        <v>960.66198672002781</v>
      </c>
      <c r="V393" s="1">
        <f t="shared" si="88"/>
        <v>11286.075941039975</v>
      </c>
      <c r="W393" s="1">
        <f t="shared" si="89"/>
        <v>491.63045397839426</v>
      </c>
      <c r="X393" s="1"/>
      <c r="Y393" s="1"/>
      <c r="Z393" s="1"/>
      <c r="AA393" s="1"/>
      <c r="AB393" s="1"/>
      <c r="AC393" s="1"/>
      <c r="AD393" s="1"/>
      <c r="AE393" s="1"/>
    </row>
    <row r="394" spans="1:31" ht="22.05" customHeight="1">
      <c r="A394" s="1">
        <f>'01 Traffic inputs'!B344</f>
        <v>0.72635782220772316</v>
      </c>
      <c r="B394" s="1">
        <f>'01 Traffic inputs'!C344</f>
        <v>3.6426705506513151E-3</v>
      </c>
      <c r="C394" s="1">
        <f>IF('01 Traffic inputs'!$B$16&lt;=2/3,(4*A394*(1-A394))^$B$16,1-ABS(2*A394-1)^$B$17)</f>
        <v>0.45887921284979577</v>
      </c>
      <c r="D394" s="1">
        <f>IF('01 Traffic inputs'!$B$16&lt;=2/3,4*$B$16*(1-2*A394)*(4*A394*(1-A394))^($B$16-1),-2*$B$17*SIGN(2*A394-1)*ABS(2*A394-1)^($B$17-1))</f>
        <v>-3.5498276263456257</v>
      </c>
      <c r="E394" s="1">
        <f t="shared" si="77"/>
        <v>16.647585944508645</v>
      </c>
      <c r="F394" s="1">
        <f t="shared" si="78"/>
        <v>4.2521148173095547E-2</v>
      </c>
      <c r="G394" s="1">
        <f t="shared" si="79"/>
        <v>0.70787446867079484</v>
      </c>
      <c r="H394" s="1">
        <f>'01 Traffic inputs'!$B$8/F394</f>
        <v>24.458417627068236</v>
      </c>
      <c r="I394" s="1">
        <f>MATCH(H394,'02 Emission rates'!$A$7:$A$15,1)</f>
        <v>1</v>
      </c>
      <c r="J394" s="1">
        <f>INDEX('02 Emission rates'!$D$7:$D$15,I394)</f>
        <v>6931.8463213424902</v>
      </c>
      <c r="K394" s="1">
        <f>INDEX('02 Emission rates'!$E$7:$E$15,I394)</f>
        <v>4.0758788464844926</v>
      </c>
      <c r="L394" s="1">
        <f>INDEX('02 Emission rates'!$F$7:$F$15,I394)</f>
        <v>62.680628166186985</v>
      </c>
      <c r="M394" s="1">
        <f>INDEX('02 Emission rates'!$G$7:$G$15,I394)</f>
        <v>2.7514068118353263</v>
      </c>
      <c r="N394" s="1">
        <f t="shared" si="80"/>
        <v>4906.8770316279188</v>
      </c>
      <c r="O394" s="1">
        <f t="shared" si="81"/>
        <v>2.8852105728217423</v>
      </c>
      <c r="P394" s="1">
        <f t="shared" si="82"/>
        <v>44.370016359091267</v>
      </c>
      <c r="Q394" s="1">
        <f t="shared" si="83"/>
        <v>1.9476506350251372</v>
      </c>
      <c r="R394" s="1">
        <f t="shared" si="84"/>
        <v>3515.3488680584605</v>
      </c>
      <c r="S394" s="1">
        <f t="shared" si="85"/>
        <v>166.9968686717479</v>
      </c>
      <c r="T394" s="1">
        <f t="shared" si="86"/>
        <v>1305547.3088362059</v>
      </c>
      <c r="U394" s="1">
        <f t="shared" si="87"/>
        <v>963.54719729284955</v>
      </c>
      <c r="V394" s="1">
        <f t="shared" si="88"/>
        <v>11330.445957399066</v>
      </c>
      <c r="W394" s="1">
        <f t="shared" si="89"/>
        <v>493.57810461341938</v>
      </c>
      <c r="X394" s="1"/>
      <c r="Y394" s="1"/>
      <c r="Z394" s="1"/>
      <c r="AA394" s="1"/>
      <c r="AB394" s="1"/>
      <c r="AC394" s="1"/>
      <c r="AD394" s="1"/>
      <c r="AE394" s="1"/>
    </row>
    <row r="395" spans="1:31" ht="22.05" customHeight="1">
      <c r="A395" s="1">
        <f>'01 Traffic inputs'!B345</f>
        <v>0.72999289660781519</v>
      </c>
      <c r="B395" s="1">
        <f>'01 Traffic inputs'!C345</f>
        <v>3.6274378040900513E-3</v>
      </c>
      <c r="C395" s="1">
        <f>IF('01 Traffic inputs'!$B$16&lt;=2/3,(4*A395*(1-A395))^$B$16,1-ABS(2*A395-1)^$B$17)</f>
        <v>0.44600128536164296</v>
      </c>
      <c r="D395" s="1">
        <f>IF('01 Traffic inputs'!$B$16&lt;=2/3,4*$B$16*(1-2*A395)*(4*A395*(1-A395))^($B$16-1),-2*$B$17*SIGN(2*A395-1)*ABS(2*A395-1)^($B$17-1))</f>
        <v>-3.5351165657756805</v>
      </c>
      <c r="E395" s="1">
        <f t="shared" si="77"/>
        <v>16.581263378268922</v>
      </c>
      <c r="F395" s="1">
        <f t="shared" si="78"/>
        <v>4.1782731034322271E-2</v>
      </c>
      <c r="G395" s="1">
        <f t="shared" si="79"/>
        <v>0.69281046794346823</v>
      </c>
      <c r="H395" s="1">
        <f>'01 Traffic inputs'!$B$8/F395</f>
        <v>24.890665934347766</v>
      </c>
      <c r="I395" s="1">
        <f>MATCH(H395,'02 Emission rates'!$A$7:$A$15,1)</f>
        <v>1</v>
      </c>
      <c r="J395" s="1">
        <f>INDEX('02 Emission rates'!$D$7:$D$15,I395)</f>
        <v>6931.8463213424902</v>
      </c>
      <c r="K395" s="1">
        <f>INDEX('02 Emission rates'!$E$7:$E$15,I395)</f>
        <v>4.0758788464844926</v>
      </c>
      <c r="L395" s="1">
        <f>INDEX('02 Emission rates'!$F$7:$F$15,I395)</f>
        <v>62.680628166186985</v>
      </c>
      <c r="M395" s="1">
        <f>INDEX('02 Emission rates'!$G$7:$G$15,I395)</f>
        <v>2.7514068118353263</v>
      </c>
      <c r="N395" s="1">
        <f t="shared" si="80"/>
        <v>4802.4556936014997</v>
      </c>
      <c r="O395" s="1">
        <f t="shared" si="81"/>
        <v>2.823811530913805</v>
      </c>
      <c r="P395" s="1">
        <f t="shared" si="82"/>
        <v>43.425795330806537</v>
      </c>
      <c r="Q395" s="1">
        <f t="shared" si="83"/>
        <v>1.9062034408104784</v>
      </c>
      <c r="R395" s="1">
        <f t="shared" si="84"/>
        <v>3531.9301314367294</v>
      </c>
      <c r="S395" s="1">
        <f t="shared" si="85"/>
        <v>167.68967913969138</v>
      </c>
      <c r="T395" s="1">
        <f t="shared" si="86"/>
        <v>1310349.7645298073</v>
      </c>
      <c r="U395" s="1">
        <f t="shared" si="87"/>
        <v>966.3710088237633</v>
      </c>
      <c r="V395" s="1">
        <f t="shared" si="88"/>
        <v>11373.871752729872</v>
      </c>
      <c r="W395" s="1">
        <f t="shared" si="89"/>
        <v>495.48430805422987</v>
      </c>
      <c r="X395" s="1"/>
      <c r="Y395" s="1"/>
      <c r="Z395" s="1"/>
      <c r="AA395" s="1"/>
      <c r="AB395" s="1"/>
      <c r="AC395" s="1"/>
      <c r="AD395" s="1"/>
      <c r="AE395" s="1"/>
    </row>
    <row r="396" spans="1:31" ht="22.05" customHeight="1">
      <c r="A396" s="1">
        <f>'01 Traffic inputs'!B346</f>
        <v>0.73361261709531322</v>
      </c>
      <c r="B396" s="1">
        <f>'01 Traffic inputs'!C346</f>
        <v>3.6119628962976769E-3</v>
      </c>
      <c r="C396" s="1">
        <f>IF('01 Traffic inputs'!$B$16&lt;=2/3,(4*A396*(1-A396))^$B$16,1-ABS(2*A396-1)^$B$17)</f>
        <v>0.43323549996186356</v>
      </c>
      <c r="D396" s="1">
        <f>IF('01 Traffic inputs'!$B$16&lt;=2/3,4*$B$16*(1-2*A396)*(4*A396*(1-A396))^($B$16-1),-2*$B$17*SIGN(2*A396-1)*ABS(2*A396-1)^($B$17-1))</f>
        <v>-3.5179277597304002</v>
      </c>
      <c r="E396" s="1">
        <f t="shared" si="77"/>
        <v>16.514358347834047</v>
      </c>
      <c r="F396" s="1">
        <f t="shared" si="78"/>
        <v>4.1050744094826709E-2</v>
      </c>
      <c r="G396" s="1">
        <f t="shared" si="79"/>
        <v>0.67792669842720066</v>
      </c>
      <c r="H396" s="1">
        <f>'01 Traffic inputs'!$B$8/F396</f>
        <v>25.334498142046666</v>
      </c>
      <c r="I396" s="1">
        <f>MATCH(H396,'02 Emission rates'!$A$7:$A$15,1)</f>
        <v>2</v>
      </c>
      <c r="J396" s="1">
        <f>INDEX('02 Emission rates'!$D$7:$D$15,I396)</f>
        <v>7854.4376436942921</v>
      </c>
      <c r="K396" s="1">
        <f>INDEX('02 Emission rates'!$E$7:$E$15,I396)</f>
        <v>6.0728066686336852</v>
      </c>
      <c r="L396" s="1">
        <f>INDEX('02 Emission rates'!$F$7:$F$15,I396)</f>
        <v>70.349021642583381</v>
      </c>
      <c r="M396" s="1">
        <f>INDEX('02 Emission rates'!$G$7:$G$15,I396)</f>
        <v>3.0627467972070308</v>
      </c>
      <c r="N396" s="1">
        <f t="shared" si="80"/>
        <v>5324.7329797919929</v>
      </c>
      <c r="O396" s="1">
        <f t="shared" si="81"/>
        <v>4.1169177750535217</v>
      </c>
      <c r="P396" s="1">
        <f t="shared" si="82"/>
        <v>47.691479979740237</v>
      </c>
      <c r="Q396" s="1">
        <f t="shared" si="83"/>
        <v>2.0763178243490454</v>
      </c>
      <c r="R396" s="1">
        <f t="shared" si="84"/>
        <v>3548.4444897845633</v>
      </c>
      <c r="S396" s="1">
        <f t="shared" si="85"/>
        <v>168.36760583811858</v>
      </c>
      <c r="T396" s="1">
        <f t="shared" si="86"/>
        <v>1315674.4975095992</v>
      </c>
      <c r="U396" s="1">
        <f t="shared" si="87"/>
        <v>970.48792659881678</v>
      </c>
      <c r="V396" s="1">
        <f t="shared" si="88"/>
        <v>11421.563232709612</v>
      </c>
      <c r="W396" s="1">
        <f t="shared" si="89"/>
        <v>497.56062587857889</v>
      </c>
      <c r="X396" s="1"/>
      <c r="Y396" s="1"/>
      <c r="Z396" s="1"/>
      <c r="AA396" s="1"/>
      <c r="AB396" s="1"/>
      <c r="AC396" s="1"/>
      <c r="AD396" s="1"/>
      <c r="AE396" s="1"/>
    </row>
    <row r="397" spans="1:31" ht="22.05" customHeight="1">
      <c r="A397" s="1">
        <f>'01 Traffic inputs'!B347</f>
        <v>0.7372167420241803</v>
      </c>
      <c r="B397" s="1">
        <f>'01 Traffic inputs'!C347</f>
        <v>3.5962468603513067E-3</v>
      </c>
      <c r="C397" s="1">
        <f>IF('01 Traffic inputs'!$B$16&lt;=2/3,(4*A397*(1-A397))^$B$16,1-ABS(2*A397-1)^$B$17)</f>
        <v>0.42059104045031948</v>
      </c>
      <c r="D397" s="1">
        <f>IF('01 Traffic inputs'!$B$16&lt;=2/3,4*$B$16*(1-2*A397)*(4*A397*(1-A397))^($B$16-1),-2*$B$17*SIGN(2*A397-1)*ABS(2*A397-1)^($B$17-1))</f>
        <v>-3.498319743831686</v>
      </c>
      <c r="E397" s="1">
        <f t="shared" si="77"/>
        <v>16.44685471541856</v>
      </c>
      <c r="F397" s="1">
        <f t="shared" si="78"/>
        <v>4.0325713951394199E-2</v>
      </c>
      <c r="G397" s="1">
        <f t="shared" si="79"/>
        <v>0.66323115865410764</v>
      </c>
      <c r="H397" s="1">
        <f>'01 Traffic inputs'!$B$8/F397</f>
        <v>25.789995962714112</v>
      </c>
      <c r="I397" s="1">
        <f>MATCH(H397,'02 Emission rates'!$A$7:$A$15,1)</f>
        <v>2</v>
      </c>
      <c r="J397" s="1">
        <f>INDEX('02 Emission rates'!$D$7:$D$15,I397)</f>
        <v>7854.4376436942921</v>
      </c>
      <c r="K397" s="1">
        <f>INDEX('02 Emission rates'!$E$7:$E$15,I397)</f>
        <v>6.0728066686336852</v>
      </c>
      <c r="L397" s="1">
        <f>INDEX('02 Emission rates'!$F$7:$F$15,I397)</f>
        <v>70.349021642583381</v>
      </c>
      <c r="M397" s="1">
        <f>INDEX('02 Emission rates'!$G$7:$G$15,I397)</f>
        <v>3.0627467972070308</v>
      </c>
      <c r="N397" s="1">
        <f t="shared" si="80"/>
        <v>5209.3077790038042</v>
      </c>
      <c r="O397" s="1">
        <f t="shared" si="81"/>
        <v>4.0276746031203103</v>
      </c>
      <c r="P397" s="1">
        <f t="shared" si="82"/>
        <v>46.65766313419347</v>
      </c>
      <c r="Q397" s="1">
        <f t="shared" si="83"/>
        <v>2.0313091069757765</v>
      </c>
      <c r="R397" s="1">
        <f t="shared" si="84"/>
        <v>3564.8913444999816</v>
      </c>
      <c r="S397" s="1">
        <f t="shared" si="85"/>
        <v>169.03083699677268</v>
      </c>
      <c r="T397" s="1">
        <f t="shared" si="86"/>
        <v>1320883.8052886031</v>
      </c>
      <c r="U397" s="1">
        <f t="shared" si="87"/>
        <v>974.5156012019371</v>
      </c>
      <c r="V397" s="1">
        <f t="shared" si="88"/>
        <v>11468.220895843806</v>
      </c>
      <c r="W397" s="1">
        <f t="shared" si="89"/>
        <v>499.59193498555464</v>
      </c>
      <c r="X397" s="1"/>
      <c r="Y397" s="1"/>
      <c r="Z397" s="1"/>
      <c r="AA397" s="1"/>
      <c r="AB397" s="1"/>
      <c r="AC397" s="1"/>
      <c r="AD397" s="1"/>
      <c r="AE397" s="1"/>
    </row>
    <row r="398" spans="1:31" ht="22.05" customHeight="1">
      <c r="A398" s="1">
        <f>'01 Traffic inputs'!B348</f>
        <v>0.7408050307895111</v>
      </c>
      <c r="B398" s="1">
        <f>'01 Traffic inputs'!C348</f>
        <v>3.5802907454252084E-3</v>
      </c>
      <c r="C398" s="1">
        <f>IF('01 Traffic inputs'!$B$16&lt;=2/3,(4*A398*(1-A398))^$B$16,1-ABS(2*A398-1)^$B$17)</f>
        <v>0.40807674451321485</v>
      </c>
      <c r="D398" s="1">
        <f>IF('01 Traffic inputs'!$B$16&lt;=2/3,4*$B$16*(1-2*A398)*(4*A398*(1-A398))^($B$16-1),-2*$B$17*SIGN(2*A398-1)*ABS(2*A398-1)^($B$17-1))</f>
        <v>-3.476353563576243</v>
      </c>
      <c r="E398" s="1">
        <f t="shared" si="77"/>
        <v>16.378735876305058</v>
      </c>
      <c r="F398" s="1">
        <f t="shared" si="78"/>
        <v>3.9608147354739581E-2</v>
      </c>
      <c r="G398" s="1">
        <f t="shared" si="79"/>
        <v>0.64873138407305042</v>
      </c>
      <c r="H398" s="1">
        <f>'01 Traffic inputs'!$B$8/F398</f>
        <v>26.257224067703643</v>
      </c>
      <c r="I398" s="1">
        <f>MATCH(H398,'02 Emission rates'!$A$7:$A$15,1)</f>
        <v>2</v>
      </c>
      <c r="J398" s="1">
        <f>INDEX('02 Emission rates'!$D$7:$D$15,I398)</f>
        <v>7854.4376436942921</v>
      </c>
      <c r="K398" s="1">
        <f>INDEX('02 Emission rates'!$E$7:$E$15,I398)</f>
        <v>6.0728066686336852</v>
      </c>
      <c r="L398" s="1">
        <f>INDEX('02 Emission rates'!$F$7:$F$15,I398)</f>
        <v>70.349021642583381</v>
      </c>
      <c r="M398" s="1">
        <f>INDEX('02 Emission rates'!$G$7:$G$15,I398)</f>
        <v>3.0627467972070308</v>
      </c>
      <c r="N398" s="1">
        <f t="shared" si="80"/>
        <v>5095.4202037092673</v>
      </c>
      <c r="O398" s="1">
        <f t="shared" si="81"/>
        <v>3.939620275350781</v>
      </c>
      <c r="P398" s="1">
        <f t="shared" si="82"/>
        <v>45.637618178378098</v>
      </c>
      <c r="Q398" s="1">
        <f t="shared" si="83"/>
        <v>1.9868999688174194</v>
      </c>
      <c r="R398" s="1">
        <f t="shared" si="84"/>
        <v>3581.2700803762868</v>
      </c>
      <c r="S398" s="1">
        <f t="shared" si="85"/>
        <v>169.67956838084572</v>
      </c>
      <c r="T398" s="1">
        <f t="shared" si="86"/>
        <v>1325979.2254923123</v>
      </c>
      <c r="U398" s="1">
        <f t="shared" si="87"/>
        <v>978.45522147728786</v>
      </c>
      <c r="V398" s="1">
        <f t="shared" si="88"/>
        <v>11513.858514022184</v>
      </c>
      <c r="W398" s="1">
        <f t="shared" si="89"/>
        <v>501.57883495437204</v>
      </c>
      <c r="X398" s="1"/>
      <c r="Y398" s="1"/>
      <c r="Z398" s="1"/>
      <c r="AA398" s="1"/>
      <c r="AB398" s="1"/>
      <c r="AC398" s="1"/>
      <c r="AD398" s="1"/>
      <c r="AE398" s="1"/>
    </row>
    <row r="399" spans="1:31" ht="22.05" customHeight="1">
      <c r="A399" s="1">
        <f>'01 Traffic inputs'!B349</f>
        <v>0.74437724384359394</v>
      </c>
      <c r="B399" s="1">
        <f>'01 Traffic inputs'!C349</f>
        <v>3.5640956167209805E-3</v>
      </c>
      <c r="C399" s="1">
        <f>IF('01 Traffic inputs'!$B$16&lt;=2/3,(4*A399*(1-A399))^$B$16,1-ABS(2*A399-1)^$B$17)</f>
        <v>0.3957010953166667</v>
      </c>
      <c r="D399" s="1">
        <f>IF('01 Traffic inputs'!$B$16&lt;=2/3,4*$B$16*(1-2*A399)*(4*A399*(1-A399))^($B$16-1),-2*$B$17*SIGN(2*A399-1)*ABS(2*A399-1)^($B$17-1))</f>
        <v>-3.452092648996846</v>
      </c>
      <c r="E399" s="1">
        <f t="shared" si="77"/>
        <v>16.309984808976211</v>
      </c>
      <c r="F399" s="1">
        <f t="shared" si="78"/>
        <v>3.8898530727484629E-2</v>
      </c>
      <c r="G399" s="1">
        <f t="shared" si="79"/>
        <v>0.63443444525676862</v>
      </c>
      <c r="H399" s="1">
        <f>'01 Traffic inputs'!$B$8/F399</f>
        <v>26.73622834975577</v>
      </c>
      <c r="I399" s="1">
        <f>MATCH(H399,'02 Emission rates'!$A$7:$A$15,1)</f>
        <v>2</v>
      </c>
      <c r="J399" s="1">
        <f>INDEX('02 Emission rates'!$D$7:$D$15,I399)</f>
        <v>7854.4376436942921</v>
      </c>
      <c r="K399" s="1">
        <f>INDEX('02 Emission rates'!$E$7:$E$15,I399)</f>
        <v>6.0728066686336852</v>
      </c>
      <c r="L399" s="1">
        <f>INDEX('02 Emission rates'!$F$7:$F$15,I399)</f>
        <v>70.349021642583381</v>
      </c>
      <c r="M399" s="1">
        <f>INDEX('02 Emission rates'!$G$7:$G$15,I399)</f>
        <v>3.0627467972070308</v>
      </c>
      <c r="N399" s="1">
        <f t="shared" si="80"/>
        <v>4983.125789281069</v>
      </c>
      <c r="O399" s="1">
        <f t="shared" si="81"/>
        <v>3.8527977299662171</v>
      </c>
      <c r="P399" s="1">
        <f t="shared" si="82"/>
        <v>44.631842520168796</v>
      </c>
      <c r="Q399" s="1">
        <f t="shared" si="83"/>
        <v>1.9431120652479874</v>
      </c>
      <c r="R399" s="1">
        <f t="shared" si="84"/>
        <v>3597.5800651852633</v>
      </c>
      <c r="S399" s="1">
        <f t="shared" si="85"/>
        <v>170.3140028261025</v>
      </c>
      <c r="T399" s="1">
        <f t="shared" si="86"/>
        <v>1330962.3512815933</v>
      </c>
      <c r="U399" s="1">
        <f t="shared" si="87"/>
        <v>982.30801920725412</v>
      </c>
      <c r="V399" s="1">
        <f t="shared" si="88"/>
        <v>11558.490356542352</v>
      </c>
      <c r="W399" s="1">
        <f t="shared" si="89"/>
        <v>503.52194701962003</v>
      </c>
      <c r="X399" s="1"/>
      <c r="Y399" s="1"/>
      <c r="Z399" s="1"/>
      <c r="AA399" s="1"/>
      <c r="AB399" s="1"/>
      <c r="AC399" s="1"/>
      <c r="AD399" s="1"/>
      <c r="AE399" s="1"/>
    </row>
    <row r="400" spans="1:31" ht="22.05" customHeight="1">
      <c r="A400" s="1">
        <f>'01 Traffic inputs'!B350</f>
        <v>0.74793314271190292</v>
      </c>
      <c r="B400" s="1">
        <f>'01 Traffic inputs'!C350</f>
        <v>3.5476625553962624E-3</v>
      </c>
      <c r="C400" s="1">
        <f>IF('01 Traffic inputs'!$B$16&lt;=2/3,(4*A400*(1-A400))^$B$16,1-ABS(2*A400-1)^$B$17)</f>
        <v>0.38347221392159542</v>
      </c>
      <c r="D400" s="1">
        <f>IF('01 Traffic inputs'!$B$16&lt;=2/3,4*$B$16*(1-2*A400)*(4*A400*(1-A400))^($B$16-1),-2*$B$17*SIGN(2*A400-1)*ABS(2*A400-1)^($B$17-1))</f>
        <v>-3.425602686224571</v>
      </c>
      <c r="E400" s="1">
        <f t="shared" si="77"/>
        <v>16.24058412566686</v>
      </c>
      <c r="F400" s="1">
        <f t="shared" si="78"/>
        <v>3.8197329729229776E-2</v>
      </c>
      <c r="G400" s="1">
        <f t="shared" si="79"/>
        <v>0.62034694684339198</v>
      </c>
      <c r="H400" s="1">
        <f>'01 Traffic inputs'!$B$8/F400</f>
        <v>27.227034124434628</v>
      </c>
      <c r="I400" s="1">
        <f>MATCH(H400,'02 Emission rates'!$A$7:$A$15,1)</f>
        <v>2</v>
      </c>
      <c r="J400" s="1">
        <f>INDEX('02 Emission rates'!$D$7:$D$15,I400)</f>
        <v>7854.4376436942921</v>
      </c>
      <c r="K400" s="1">
        <f>INDEX('02 Emission rates'!$E$7:$E$15,I400)</f>
        <v>6.0728066686336852</v>
      </c>
      <c r="L400" s="1">
        <f>INDEX('02 Emission rates'!$F$7:$F$15,I400)</f>
        <v>70.349021642583381</v>
      </c>
      <c r="M400" s="1">
        <f>INDEX('02 Emission rates'!$G$7:$G$15,I400)</f>
        <v>3.0627467972070308</v>
      </c>
      <c r="N400" s="1">
        <f t="shared" si="80"/>
        <v>4872.4764114375603</v>
      </c>
      <c r="O400" s="1">
        <f t="shared" si="81"/>
        <v>3.7672470756570973</v>
      </c>
      <c r="P400" s="1">
        <f t="shared" si="82"/>
        <v>43.640800789396302</v>
      </c>
      <c r="Q400" s="1">
        <f t="shared" si="83"/>
        <v>1.8999656246017589</v>
      </c>
      <c r="R400" s="1">
        <f t="shared" si="84"/>
        <v>3613.8206493109301</v>
      </c>
      <c r="S400" s="1">
        <f t="shared" si="85"/>
        <v>170.93434977294589</v>
      </c>
      <c r="T400" s="1">
        <f t="shared" si="86"/>
        <v>1335834.8276930309</v>
      </c>
      <c r="U400" s="1">
        <f t="shared" si="87"/>
        <v>986.07526628291123</v>
      </c>
      <c r="V400" s="1">
        <f t="shared" si="88"/>
        <v>11602.131157331749</v>
      </c>
      <c r="W400" s="1">
        <f t="shared" si="89"/>
        <v>505.42191264422178</v>
      </c>
      <c r="X400" s="1"/>
      <c r="Y400" s="1"/>
      <c r="Z400" s="1"/>
      <c r="AA400" s="1"/>
      <c r="AB400" s="1"/>
      <c r="AC400" s="1"/>
      <c r="AD400" s="1"/>
      <c r="AE400" s="1"/>
    </row>
    <row r="401" spans="1:31" ht="22.05" customHeight="1">
      <c r="A401" s="1">
        <f>'01 Traffic inputs'!B351</f>
        <v>0.75147249000901772</v>
      </c>
      <c r="B401" s="1">
        <f>'01 Traffic inputs'!C351</f>
        <v>3.5309926584928117E-3</v>
      </c>
      <c r="C401" s="1">
        <f>IF('01 Traffic inputs'!$B$16&lt;=2/3,(4*A401*(1-A401))^$B$16,1-ABS(2*A401-1)^$B$17)</f>
        <v>0.37139785252581764</v>
      </c>
      <c r="D401" s="1">
        <f>IF('01 Traffic inputs'!$B$16&lt;=2/3,4*$B$16*(1-2*A401)*(4*A401*(1-A401))^($B$16-1),-2*$B$17*SIGN(2*A401-1)*ABS(2*A401-1)^($B$17-1))</f>
        <v>-3.3969514862199834</v>
      </c>
      <c r="E401" s="1">
        <f t="shared" ref="E401:E464" si="90">$B$7*B401*(1+$B$11/$B$9*D401)</f>
        <v>16.170516123212604</v>
      </c>
      <c r="F401" s="1">
        <f t="shared" ref="F401:F464" si="91">$B$10+$B$11*C401</f>
        <v>3.750498886905744E-2</v>
      </c>
      <c r="G401" s="1">
        <f t="shared" ref="G401:G464" si="92">E401*F401</f>
        <v>0.60647502720800261</v>
      </c>
      <c r="H401" s="1">
        <f>'01 Traffic inputs'!$B$8/F401</f>
        <v>27.729644278285512</v>
      </c>
      <c r="I401" s="1">
        <f>MATCH(H401,'02 Emission rates'!$A$7:$A$15,1)</f>
        <v>2</v>
      </c>
      <c r="J401" s="1">
        <f>INDEX('02 Emission rates'!$D$7:$D$15,I401)</f>
        <v>7854.4376436942921</v>
      </c>
      <c r="K401" s="1">
        <f>INDEX('02 Emission rates'!$E$7:$E$15,I401)</f>
        <v>6.0728066686336852</v>
      </c>
      <c r="L401" s="1">
        <f>INDEX('02 Emission rates'!$F$7:$F$15,I401)</f>
        <v>70.349021642583381</v>
      </c>
      <c r="M401" s="1">
        <f>INDEX('02 Emission rates'!$G$7:$G$15,I401)</f>
        <v>3.0627467972070308</v>
      </c>
      <c r="N401" s="1">
        <f t="shared" ref="N401:N464" si="93">G401*J401</f>
        <v>4763.520283663056</v>
      </c>
      <c r="O401" s="1">
        <f t="shared" ref="O401:O464" si="94">G401*K401</f>
        <v>3.6830055895885541</v>
      </c>
      <c r="P401" s="1">
        <f t="shared" ref="P401:P464" si="95">G401*L401</f>
        <v>42.664924814742122</v>
      </c>
      <c r="Q401" s="1">
        <f t="shared" ref="Q401:Q464" si="96">G401*M401</f>
        <v>1.8574794471673568</v>
      </c>
      <c r="R401" s="1">
        <f t="shared" ref="R401:R464" si="97">R400+E401</f>
        <v>3629.9911654341427</v>
      </c>
      <c r="S401" s="1">
        <f t="shared" ref="S401:S464" si="98">S400+G401</f>
        <v>171.5408248001539</v>
      </c>
      <c r="T401" s="1">
        <f t="shared" ref="T401:T464" si="99">T400+N401</f>
        <v>1340598.3479766939</v>
      </c>
      <c r="U401" s="1">
        <f t="shared" ref="U401:U464" si="100">U400+O401</f>
        <v>989.75827187249979</v>
      </c>
      <c r="V401" s="1">
        <f t="shared" ref="V401:V464" si="101">V400+P401</f>
        <v>11644.796082146491</v>
      </c>
      <c r="W401" s="1">
        <f t="shared" ref="W401:W464" si="102">W400+Q401</f>
        <v>507.27939209138913</v>
      </c>
      <c r="X401" s="1"/>
      <c r="Y401" s="1"/>
      <c r="Z401" s="1"/>
      <c r="AA401" s="1"/>
      <c r="AB401" s="1"/>
      <c r="AC401" s="1"/>
      <c r="AD401" s="1"/>
      <c r="AE401" s="1"/>
    </row>
    <row r="402" spans="1:31" ht="22.05" customHeight="1">
      <c r="A402" s="1">
        <f>'01 Traffic inputs'!B352</f>
        <v>0.75499504945447149</v>
      </c>
      <c r="B402" s="1">
        <f>'01 Traffic inputs'!C352</f>
        <v>3.5140870388629302E-3</v>
      </c>
      <c r="C402" s="1">
        <f>IF('01 Traffic inputs'!$B$16&lt;=2/3,(4*A402*(1-A402))^$B$16,1-ABS(2*A402-1)^$B$17)</f>
        <v>0.35948538853716944</v>
      </c>
      <c r="D402" s="1">
        <f>IF('01 Traffic inputs'!$B$16&lt;=2/3,4*$B$16*(1-2*A402)*(4*A402*(1-A402))^($B$16-1),-2*$B$17*SIGN(2*A402-1)*ABS(2*A402-1)^($B$17-1))</f>
        <v>-3.3662088509456782</v>
      </c>
      <c r="E402" s="1">
        <f t="shared" si="90"/>
        <v>16.099762834063164</v>
      </c>
      <c r="F402" s="1">
        <f t="shared" si="91"/>
        <v>3.6821931165686342E-2</v>
      </c>
      <c r="G402" s="1">
        <f t="shared" si="92"/>
        <v>0.59282435885974905</v>
      </c>
      <c r="H402" s="1">
        <f>'01 Traffic inputs'!$B$8/F402</f>
        <v>28.244037373280865</v>
      </c>
      <c r="I402" s="1">
        <f>MATCH(H402,'02 Emission rates'!$A$7:$A$15,1)</f>
        <v>2</v>
      </c>
      <c r="J402" s="1">
        <f>INDEX('02 Emission rates'!$D$7:$D$15,I402)</f>
        <v>7854.4376436942921</v>
      </c>
      <c r="K402" s="1">
        <f>INDEX('02 Emission rates'!$E$7:$E$15,I402)</f>
        <v>6.0728066686336852</v>
      </c>
      <c r="L402" s="1">
        <f>INDEX('02 Emission rates'!$F$7:$F$15,I402)</f>
        <v>70.349021642583381</v>
      </c>
      <c r="M402" s="1">
        <f>INDEX('02 Emission rates'!$G$7:$G$15,I402)</f>
        <v>3.0627467972070308</v>
      </c>
      <c r="N402" s="1">
        <f t="shared" si="93"/>
        <v>4656.3019603269468</v>
      </c>
      <c r="O402" s="1">
        <f t="shared" si="94"/>
        <v>3.6001077198119731</v>
      </c>
      <c r="P402" s="1">
        <f t="shared" si="95"/>
        <v>41.704613651675103</v>
      </c>
      <c r="Q402" s="1">
        <f t="shared" si="96"/>
        <v>1.815670906404008</v>
      </c>
      <c r="R402" s="1">
        <f t="shared" si="97"/>
        <v>3646.090928268206</v>
      </c>
      <c r="S402" s="1">
        <f t="shared" si="98"/>
        <v>172.13364915901366</v>
      </c>
      <c r="T402" s="1">
        <f t="shared" si="99"/>
        <v>1345254.6499370208</v>
      </c>
      <c r="U402" s="1">
        <f t="shared" si="100"/>
        <v>993.35837959231173</v>
      </c>
      <c r="V402" s="1">
        <f t="shared" si="101"/>
        <v>11686.500695798166</v>
      </c>
      <c r="W402" s="1">
        <f t="shared" si="102"/>
        <v>509.09506299779315</v>
      </c>
      <c r="X402" s="1"/>
      <c r="Y402" s="1"/>
      <c r="Z402" s="1"/>
      <c r="AA402" s="1"/>
      <c r="AB402" s="1"/>
      <c r="AC402" s="1"/>
      <c r="AD402" s="1"/>
      <c r="AE402" s="1"/>
    </row>
    <row r="403" spans="1:31" ht="22.05" customHeight="1">
      <c r="A403" s="1">
        <f>'01 Traffic inputs'!B353</f>
        <v>0.75850058588852365</v>
      </c>
      <c r="B403" s="1">
        <f>'01 Traffic inputs'!C353</f>
        <v>3.496946825095347E-3</v>
      </c>
      <c r="C403" s="1">
        <f>IF('01 Traffic inputs'!$B$16&lt;=2/3,(4*A403*(1-A403))^$B$16,1-ABS(2*A403-1)^$B$17)</f>
        <v>0.34774181947943111</v>
      </c>
      <c r="D403" s="1">
        <f>IF('01 Traffic inputs'!$B$16&lt;=2/3,4*$B$16*(1-2*A403)*(4*A403*(1-A403))^($B$16-1),-2*$B$17*SIGN(2*A403-1)*ABS(2*A403-1)^($B$17-1))</f>
        <v>-3.3334464372562249</v>
      </c>
      <c r="E403" s="1">
        <f t="shared" si="90"/>
        <v>16.028306077339298</v>
      </c>
      <c r="F403" s="1">
        <f t="shared" si="91"/>
        <v>3.6148557855378523E-2</v>
      </c>
      <c r="G403" s="1">
        <f t="shared" si="92"/>
        <v>0.57940014956041486</v>
      </c>
      <c r="H403" s="1">
        <f>'01 Traffic inputs'!$B$8/F403</f>
        <v>28.77016571894249</v>
      </c>
      <c r="I403" s="1">
        <f>MATCH(H403,'02 Emission rates'!$A$7:$A$15,1)</f>
        <v>2</v>
      </c>
      <c r="J403" s="1">
        <f>INDEX('02 Emission rates'!$D$7:$D$15,I403)</f>
        <v>7854.4376436942921</v>
      </c>
      <c r="K403" s="1">
        <f>INDEX('02 Emission rates'!$E$7:$E$15,I403)</f>
        <v>6.0728066686336852</v>
      </c>
      <c r="L403" s="1">
        <f>INDEX('02 Emission rates'!$F$7:$F$15,I403)</f>
        <v>70.349021642583381</v>
      </c>
      <c r="M403" s="1">
        <f>INDEX('02 Emission rates'!$G$7:$G$15,I403)</f>
        <v>3.0627467972070308</v>
      </c>
      <c r="N403" s="1">
        <f t="shared" si="93"/>
        <v>4550.8623454694252</v>
      </c>
      <c r="O403" s="1">
        <f t="shared" si="94"/>
        <v>3.5185850920578421</v>
      </c>
      <c r="P403" s="1">
        <f t="shared" si="95"/>
        <v>40.760233661141669</v>
      </c>
      <c r="Q403" s="1">
        <f t="shared" si="96"/>
        <v>1.7745559523674352</v>
      </c>
      <c r="R403" s="1">
        <f t="shared" si="97"/>
        <v>3662.1192343455455</v>
      </c>
      <c r="S403" s="1">
        <f t="shared" si="98"/>
        <v>172.71304930857409</v>
      </c>
      <c r="T403" s="1">
        <f t="shared" si="99"/>
        <v>1349805.5122824903</v>
      </c>
      <c r="U403" s="1">
        <f t="shared" si="100"/>
        <v>996.87696468436957</v>
      </c>
      <c r="V403" s="1">
        <f t="shared" si="101"/>
        <v>11727.260929459308</v>
      </c>
      <c r="W403" s="1">
        <f t="shared" si="102"/>
        <v>510.8696189501606</v>
      </c>
      <c r="X403" s="1"/>
      <c r="Y403" s="1"/>
      <c r="Z403" s="1"/>
      <c r="AA403" s="1"/>
      <c r="AB403" s="1"/>
      <c r="AC403" s="1"/>
      <c r="AD403" s="1"/>
      <c r="AE403" s="1"/>
    </row>
    <row r="404" spans="1:31" ht="22.05" customHeight="1">
      <c r="A404" s="1">
        <f>'01 Traffic inputs'!B354</f>
        <v>0.7619888652878597</v>
      </c>
      <c r="B404" s="1">
        <f>'01 Traffic inputs'!C354</f>
        <v>3.4795731614401652E-3</v>
      </c>
      <c r="C404" s="1">
        <f>IF('01 Traffic inputs'!$B$16&lt;=2/3,(4*A404*(1-A404))^$B$16,1-ABS(2*A404-1)^$B$17)</f>
        <v>0.3361737587307817</v>
      </c>
      <c r="D404" s="1">
        <f>IF('01 Traffic inputs'!$B$16&lt;=2/3,4*$B$16*(1-2*A404)*(4*A404*(1-A404))^($B$16-1),-2*$B$17*SIGN(2*A404-1)*ABS(2*A404-1)^($B$17-1))</f>
        <v>-3.2987376187847488</v>
      </c>
      <c r="E404" s="1">
        <f t="shared" si="90"/>
        <v>15.956127509806121</v>
      </c>
      <c r="F404" s="1">
        <f t="shared" si="91"/>
        <v>3.5485248147583422E-2</v>
      </c>
      <c r="G404" s="1">
        <f t="shared" si="92"/>
        <v>0.56620714415995255</v>
      </c>
      <c r="H404" s="1">
        <f>'01 Traffic inputs'!$B$8/F404</f>
        <v>29.307953425453089</v>
      </c>
      <c r="I404" s="1">
        <f>MATCH(H404,'02 Emission rates'!$A$7:$A$15,1)</f>
        <v>2</v>
      </c>
      <c r="J404" s="1">
        <f>INDEX('02 Emission rates'!$D$7:$D$15,I404)</f>
        <v>7854.4376436942921</v>
      </c>
      <c r="K404" s="1">
        <f>INDEX('02 Emission rates'!$E$7:$E$15,I404)</f>
        <v>6.0728066686336852</v>
      </c>
      <c r="L404" s="1">
        <f>INDEX('02 Emission rates'!$F$7:$F$15,I404)</f>
        <v>70.349021642583381</v>
      </c>
      <c r="M404" s="1">
        <f>INDEX('02 Emission rates'!$G$7:$G$15,I404)</f>
        <v>3.0627467972070308</v>
      </c>
      <c r="N404" s="1">
        <f t="shared" si="93"/>
        <v>4447.238707218572</v>
      </c>
      <c r="O404" s="1">
        <f t="shared" si="94"/>
        <v>3.4384665208825944</v>
      </c>
      <c r="P404" s="1">
        <f t="shared" si="95"/>
        <v>39.832118638693828</v>
      </c>
      <c r="Q404" s="1">
        <f t="shared" si="96"/>
        <v>1.7341491173316341</v>
      </c>
      <c r="R404" s="1">
        <f t="shared" si="97"/>
        <v>3678.0753618553517</v>
      </c>
      <c r="S404" s="1">
        <f t="shared" si="98"/>
        <v>173.27925645273405</v>
      </c>
      <c r="T404" s="1">
        <f t="shared" si="99"/>
        <v>1354252.7509897088</v>
      </c>
      <c r="U404" s="1">
        <f t="shared" si="100"/>
        <v>1000.3154312052521</v>
      </c>
      <c r="V404" s="1">
        <f t="shared" si="101"/>
        <v>11767.093048098002</v>
      </c>
      <c r="W404" s="1">
        <f t="shared" si="102"/>
        <v>512.60376806749218</v>
      </c>
      <c r="X404" s="1"/>
      <c r="Y404" s="1"/>
      <c r="Z404" s="1"/>
      <c r="AA404" s="1"/>
      <c r="AB404" s="1"/>
      <c r="AC404" s="1"/>
      <c r="AD404" s="1"/>
      <c r="AE404" s="1"/>
    </row>
    <row r="405" spans="1:31" ht="22.05" customHeight="1">
      <c r="A405" s="1">
        <f>'01 Traffic inputs'!B355</f>
        <v>0.76545965478121381</v>
      </c>
      <c r="B405" s="1">
        <f>'01 Traffic inputs'!C355</f>
        <v>3.4619672077316828E-3</v>
      </c>
      <c r="C405" s="1">
        <f>IF('01 Traffic inputs'!$B$16&lt;=2/3,(4*A405*(1-A405))^$B$16,1-ABS(2*A405-1)^$B$17)</f>
        <v>0.32478743209250233</v>
      </c>
      <c r="D405" s="1">
        <f>IF('01 Traffic inputs'!$B$16&lt;=2/3,4*$B$16*(1-2*A405)*(4*A405*(1-A405))^($B$16-1),-2*$B$17*SIGN(2*A405-1)*ABS(2*A405-1)^($B$17-1))</f>
        <v>-3.2621573461078786</v>
      </c>
      <c r="E405" s="1">
        <f t="shared" si="90"/>
        <v>15.883208676633494</v>
      </c>
      <c r="F405" s="1">
        <f t="shared" si="91"/>
        <v>3.4832359028188153E-2</v>
      </c>
      <c r="G405" s="1">
        <f t="shared" si="92"/>
        <v>0.55324962714413106</v>
      </c>
      <c r="H405" s="1">
        <f>'01 Traffic inputs'!$B$8/F405</f>
        <v>29.857294453080208</v>
      </c>
      <c r="I405" s="1">
        <f>MATCH(H405,'02 Emission rates'!$A$7:$A$15,1)</f>
        <v>2</v>
      </c>
      <c r="J405" s="1">
        <f>INDEX('02 Emission rates'!$D$7:$D$15,I405)</f>
        <v>7854.4376436942921</v>
      </c>
      <c r="K405" s="1">
        <f>INDEX('02 Emission rates'!$E$7:$E$15,I405)</f>
        <v>6.0728066686336852</v>
      </c>
      <c r="L405" s="1">
        <f>INDEX('02 Emission rates'!$F$7:$F$15,I405)</f>
        <v>70.349021642583381</v>
      </c>
      <c r="M405" s="1">
        <f>INDEX('02 Emission rates'!$G$7:$G$15,I405)</f>
        <v>3.0627467972070308</v>
      </c>
      <c r="N405" s="1">
        <f t="shared" si="93"/>
        <v>4345.464697800694</v>
      </c>
      <c r="O405" s="1">
        <f t="shared" si="94"/>
        <v>3.3597780251399789</v>
      </c>
      <c r="P405" s="1">
        <f t="shared" si="95"/>
        <v>38.920569993713663</v>
      </c>
      <c r="Q405" s="1">
        <f t="shared" si="96"/>
        <v>1.6944635235916714</v>
      </c>
      <c r="R405" s="1">
        <f t="shared" si="97"/>
        <v>3693.9585705319851</v>
      </c>
      <c r="S405" s="1">
        <f t="shared" si="98"/>
        <v>173.83250607987819</v>
      </c>
      <c r="T405" s="1">
        <f t="shared" si="99"/>
        <v>1358598.2156875096</v>
      </c>
      <c r="U405" s="1">
        <f t="shared" si="100"/>
        <v>1003.6752092303922</v>
      </c>
      <c r="V405" s="1">
        <f t="shared" si="101"/>
        <v>11806.013618091716</v>
      </c>
      <c r="W405" s="1">
        <f t="shared" si="102"/>
        <v>514.29823159108389</v>
      </c>
      <c r="X405" s="1"/>
      <c r="Y405" s="1"/>
      <c r="Z405" s="1"/>
      <c r="AA405" s="1"/>
      <c r="AB405" s="1"/>
      <c r="AC405" s="1"/>
      <c r="AD405" s="1"/>
      <c r="AE405" s="1"/>
    </row>
    <row r="406" spans="1:31" ht="22.05" customHeight="1">
      <c r="A406" s="1">
        <f>'01 Traffic inputs'!B356</f>
        <v>0.76891272266491439</v>
      </c>
      <c r="B406" s="1">
        <f>'01 Traffic inputs'!C356</f>
        <v>3.4441301393119401E-3</v>
      </c>
      <c r="C406" s="1">
        <f>IF('01 Traffic inputs'!$B$16&lt;=2/3,(4*A406*(1-A406))^$B$16,1-ABS(2*A406-1)^$B$17)</f>
        <v>0.31358867518364403</v>
      </c>
      <c r="D406" s="1">
        <f>IF('01 Traffic inputs'!$B$16&lt;=2/3,4*$B$16*(1-2*A406)*(4*A406*(1-A406))^($B$16-1),-2*$B$17*SIGN(2*A406-1)*ABS(2*A406-1)^($B$17-1))</f>
        <v>-3.2237820054727613</v>
      </c>
      <c r="E406" s="1">
        <f t="shared" si="90"/>
        <v>15.809531061834305</v>
      </c>
      <c r="F406" s="1">
        <f t="shared" si="91"/>
        <v>3.4190225110128439E-2</v>
      </c>
      <c r="G406" s="1">
        <f t="shared" si="92"/>
        <v>0.54053142588968273</v>
      </c>
      <c r="H406" s="1">
        <f>'01 Traffic inputs'!$B$8/F406</f>
        <v>30.418050675306407</v>
      </c>
      <c r="I406" s="1">
        <f>MATCH(H406,'02 Emission rates'!$A$7:$A$15,1)</f>
        <v>2</v>
      </c>
      <c r="J406" s="1">
        <f>INDEX('02 Emission rates'!$D$7:$D$15,I406)</f>
        <v>7854.4376436942921</v>
      </c>
      <c r="K406" s="1">
        <f>INDEX('02 Emission rates'!$E$7:$E$15,I406)</f>
        <v>6.0728066686336852</v>
      </c>
      <c r="L406" s="1">
        <f>INDEX('02 Emission rates'!$F$7:$F$15,I406)</f>
        <v>70.349021642583381</v>
      </c>
      <c r="M406" s="1">
        <f>INDEX('02 Emission rates'!$G$7:$G$15,I406)</f>
        <v>3.0627467972070308</v>
      </c>
      <c r="N406" s="1">
        <f t="shared" si="93"/>
        <v>4245.5703791076758</v>
      </c>
      <c r="O406" s="1">
        <f t="shared" si="94"/>
        <v>3.2825428477489398</v>
      </c>
      <c r="P406" s="1">
        <f t="shared" si="95"/>
        <v>38.025856978409742</v>
      </c>
      <c r="Q406" s="1">
        <f t="shared" si="96"/>
        <v>1.6555108934333753</v>
      </c>
      <c r="R406" s="1">
        <f t="shared" si="97"/>
        <v>3709.7681015938192</v>
      </c>
      <c r="S406" s="1">
        <f t="shared" si="98"/>
        <v>174.37303750576788</v>
      </c>
      <c r="T406" s="1">
        <f t="shared" si="99"/>
        <v>1362843.7860666174</v>
      </c>
      <c r="U406" s="1">
        <f t="shared" si="100"/>
        <v>1006.9577520781411</v>
      </c>
      <c r="V406" s="1">
        <f t="shared" si="101"/>
        <v>11844.039475070125</v>
      </c>
      <c r="W406" s="1">
        <f t="shared" si="102"/>
        <v>515.95374248451731</v>
      </c>
      <c r="X406" s="1"/>
      <c r="Y406" s="1"/>
      <c r="Z406" s="1"/>
      <c r="AA406" s="1"/>
      <c r="AB406" s="1"/>
      <c r="AC406" s="1"/>
      <c r="AD406" s="1"/>
      <c r="AE406" s="1"/>
    </row>
    <row r="407" spans="1:31" ht="22.05" customHeight="1">
      <c r="A407" s="1">
        <f>'01 Traffic inputs'!B357</f>
        <v>0.77234783841835342</v>
      </c>
      <c r="B407" s="1">
        <f>'01 Traffic inputs'!C357</f>
        <v>3.4260631469514484E-3</v>
      </c>
      <c r="C407" s="1">
        <f>IF('01 Traffic inputs'!$B$16&lt;=2/3,(4*A407*(1-A407))^$B$16,1-ABS(2*A407-1)^$B$17)</f>
        <v>0.30258293165540923</v>
      </c>
      <c r="D407" s="1">
        <f>IF('01 Traffic inputs'!$B$16&lt;=2/3,4*$B$16*(1-2*A407)*(4*A407*(1-A407))^($B$16-1),-2*$B$17*SIGN(2*A407-1)*ABS(2*A407-1)^($B$17-1))</f>
        <v>-3.1836892763711235</v>
      </c>
      <c r="E407" s="1">
        <f t="shared" si="90"/>
        <v>15.735076138244267</v>
      </c>
      <c r="F407" s="1">
        <f t="shared" si="91"/>
        <v>3.355915853100163E-2</v>
      </c>
      <c r="G407" s="1">
        <f t="shared" si="92"/>
        <v>0.52805591462072032</v>
      </c>
      <c r="H407" s="1">
        <f>'01 Traffic inputs'!$B$8/F407</f>
        <v>30.990049975158893</v>
      </c>
      <c r="I407" s="1">
        <f>MATCH(H407,'02 Emission rates'!$A$7:$A$15,1)</f>
        <v>2</v>
      </c>
      <c r="J407" s="1">
        <f>INDEX('02 Emission rates'!$D$7:$D$15,I407)</f>
        <v>7854.4376436942921</v>
      </c>
      <c r="K407" s="1">
        <f>INDEX('02 Emission rates'!$E$7:$E$15,I407)</f>
        <v>6.0728066686336852</v>
      </c>
      <c r="L407" s="1">
        <f>INDEX('02 Emission rates'!$F$7:$F$15,I407)</f>
        <v>70.349021642583381</v>
      </c>
      <c r="M407" s="1">
        <f>INDEX('02 Emission rates'!$G$7:$G$15,I407)</f>
        <v>3.0627467972070308</v>
      </c>
      <c r="N407" s="1">
        <f t="shared" si="93"/>
        <v>4147.5822537724052</v>
      </c>
      <c r="O407" s="1">
        <f t="shared" si="94"/>
        <v>3.2067814797201701</v>
      </c>
      <c r="P407" s="1">
        <f t="shared" si="95"/>
        <v>37.148216966147217</v>
      </c>
      <c r="Q407" s="1">
        <f t="shared" si="96"/>
        <v>1.6173015612508406</v>
      </c>
      <c r="R407" s="1">
        <f t="shared" si="97"/>
        <v>3725.5031777320637</v>
      </c>
      <c r="S407" s="1">
        <f t="shared" si="98"/>
        <v>174.90109342038861</v>
      </c>
      <c r="T407" s="1">
        <f t="shared" si="99"/>
        <v>1366991.3683203897</v>
      </c>
      <c r="U407" s="1">
        <f t="shared" si="100"/>
        <v>1010.1645335578612</v>
      </c>
      <c r="V407" s="1">
        <f t="shared" si="101"/>
        <v>11881.187692036272</v>
      </c>
      <c r="W407" s="1">
        <f t="shared" si="102"/>
        <v>517.57104404576819</v>
      </c>
      <c r="X407" s="1"/>
      <c r="Y407" s="1"/>
      <c r="Z407" s="1"/>
      <c r="AA407" s="1"/>
      <c r="AB407" s="1"/>
      <c r="AC407" s="1"/>
      <c r="AD407" s="1"/>
      <c r="AE407" s="1"/>
    </row>
    <row r="408" spans="1:31" ht="22.05" customHeight="1">
      <c r="A408" s="1">
        <f>'01 Traffic inputs'!B358</f>
        <v>0.77576477271937416</v>
      </c>
      <c r="B408" s="1">
        <f>'01 Traffic inputs'!C358</f>
        <v>3.4077674367702653E-3</v>
      </c>
      <c r="C408" s="1">
        <f>IF('01 Traffic inputs'!$B$16&lt;=2/3,(4*A408*(1-A408))^$B$16,1-ABS(2*A408-1)^$B$17)</f>
        <v>0.29177525221708606</v>
      </c>
      <c r="D408" s="1">
        <f>IF('01 Traffic inputs'!$B$16&lt;=2/3,4*$B$16*(1-2*A408)*(4*A408*(1-A408))^($B$16-1),-2*$B$17*SIGN(2*A408-1)*ABS(2*A408-1)^($B$17-1))</f>
        <v>-3.141957988246141</v>
      </c>
      <c r="E408" s="1">
        <f t="shared" si="90"/>
        <v>15.659825416939809</v>
      </c>
      <c r="F408" s="1">
        <f t="shared" si="91"/>
        <v>3.2939448897214119E-2</v>
      </c>
      <c r="G408" s="1">
        <f t="shared" si="92"/>
        <v>0.51582601906058356</v>
      </c>
      <c r="H408" s="1">
        <f>'01 Traffic inputs'!$B$8/F408</f>
        <v>31.573084396320283</v>
      </c>
      <c r="I408" s="1">
        <f>MATCH(H408,'02 Emission rates'!$A$7:$A$15,1)</f>
        <v>2</v>
      </c>
      <c r="J408" s="1">
        <f>INDEX('02 Emission rates'!$D$7:$D$15,I408)</f>
        <v>7854.4376436942921</v>
      </c>
      <c r="K408" s="1">
        <f>INDEX('02 Emission rates'!$E$7:$E$15,I408)</f>
        <v>6.0728066686336852</v>
      </c>
      <c r="L408" s="1">
        <f>INDEX('02 Emission rates'!$F$7:$F$15,I408)</f>
        <v>70.349021642583381</v>
      </c>
      <c r="M408" s="1">
        <f>INDEX('02 Emission rates'!$G$7:$G$15,I408)</f>
        <v>3.0627467972070308</v>
      </c>
      <c r="N408" s="1">
        <f t="shared" si="93"/>
        <v>4051.523301706417</v>
      </c>
      <c r="O408" s="1">
        <f t="shared" si="94"/>
        <v>3.1325116884058781</v>
      </c>
      <c r="P408" s="1">
        <f t="shared" si="95"/>
        <v>36.287855778700617</v>
      </c>
      <c r="Q408" s="1">
        <f t="shared" si="96"/>
        <v>1.5798444877938551</v>
      </c>
      <c r="R408" s="1">
        <f t="shared" si="97"/>
        <v>3741.1630031490035</v>
      </c>
      <c r="S408" s="1">
        <f t="shared" si="98"/>
        <v>175.4169194394492</v>
      </c>
      <c r="T408" s="1">
        <f t="shared" si="99"/>
        <v>1371042.8916220961</v>
      </c>
      <c r="U408" s="1">
        <f t="shared" si="100"/>
        <v>1013.2970452462671</v>
      </c>
      <c r="V408" s="1">
        <f t="shared" si="101"/>
        <v>11917.475547814973</v>
      </c>
      <c r="W408" s="1">
        <f t="shared" si="102"/>
        <v>519.15088853356201</v>
      </c>
      <c r="X408" s="1"/>
      <c r="Y408" s="1"/>
      <c r="Z408" s="1"/>
      <c r="AA408" s="1"/>
      <c r="AB408" s="1"/>
      <c r="AC408" s="1"/>
      <c r="AD408" s="1"/>
      <c r="AE408" s="1"/>
    </row>
    <row r="409" spans="1:31" ht="22.05" customHeight="1">
      <c r="A409" s="1">
        <f>'01 Traffic inputs'!B359</f>
        <v>0.77916329745958113</v>
      </c>
      <c r="B409" s="1">
        <f>'01 Traffic inputs'!C359</f>
        <v>3.3892442301571846E-3</v>
      </c>
      <c r="C409" s="1">
        <f>IF('01 Traffic inputs'!$B$16&lt;=2/3,(4*A409*(1-A409))^$B$16,1-ABS(2*A409-1)^$B$17)</f>
        <v>0.28117029446345543</v>
      </c>
      <c r="D409" s="1">
        <f>IF('01 Traffic inputs'!$B$16&lt;=2/3,4*$B$16*(1-2*A409)*(4*A409*(1-A409))^($B$16-1),-2*$B$17*SIGN(2*A409-1)*ABS(2*A409-1)^($B$17-1))</f>
        <v>-3.0986679766178988</v>
      </c>
      <c r="E409" s="1">
        <f t="shared" si="90"/>
        <v>15.583760495968683</v>
      </c>
      <c r="F409" s="1">
        <f t="shared" si="91"/>
        <v>3.2331363274084812E-2</v>
      </c>
      <c r="G409" s="1">
        <f t="shared" si="92"/>
        <v>0.50384422177149557</v>
      </c>
      <c r="H409" s="1">
        <f>'01 Traffic inputs'!$B$8/F409</f>
        <v>32.166908372639888</v>
      </c>
      <c r="I409" s="1">
        <f>MATCH(H409,'02 Emission rates'!$A$7:$A$15,1)</f>
        <v>2</v>
      </c>
      <c r="J409" s="1">
        <f>INDEX('02 Emission rates'!$D$7:$D$15,I409)</f>
        <v>7854.4376436942921</v>
      </c>
      <c r="K409" s="1">
        <f>INDEX('02 Emission rates'!$E$7:$E$15,I409)</f>
        <v>6.0728066686336852</v>
      </c>
      <c r="L409" s="1">
        <f>INDEX('02 Emission rates'!$F$7:$F$15,I409)</f>
        <v>70.349021642583381</v>
      </c>
      <c r="M409" s="1">
        <f>INDEX('02 Emission rates'!$G$7:$G$15,I409)</f>
        <v>3.0627467972070308</v>
      </c>
      <c r="N409" s="1">
        <f t="shared" si="93"/>
        <v>3957.4130220398902</v>
      </c>
      <c r="O409" s="1">
        <f t="shared" si="94"/>
        <v>3.0597485499264878</v>
      </c>
      <c r="P409" s="1">
        <f t="shared" si="95"/>
        <v>35.44494806189352</v>
      </c>
      <c r="Q409" s="1">
        <f t="shared" si="96"/>
        <v>1.543147276521917</v>
      </c>
      <c r="R409" s="1">
        <f t="shared" si="97"/>
        <v>3756.7467636449724</v>
      </c>
      <c r="S409" s="1">
        <f t="shared" si="98"/>
        <v>175.92076366122069</v>
      </c>
      <c r="T409" s="1">
        <f t="shared" si="99"/>
        <v>1375000.304644136</v>
      </c>
      <c r="U409" s="1">
        <f t="shared" si="100"/>
        <v>1016.3567937961935</v>
      </c>
      <c r="V409" s="1">
        <f t="shared" si="101"/>
        <v>11952.920495876866</v>
      </c>
      <c r="W409" s="1">
        <f t="shared" si="102"/>
        <v>520.69403581008396</v>
      </c>
      <c r="X409" s="1"/>
      <c r="Y409" s="1"/>
      <c r="Z409" s="1"/>
      <c r="AA409" s="1"/>
      <c r="AB409" s="1"/>
      <c r="AC409" s="1"/>
      <c r="AD409" s="1"/>
      <c r="AE409" s="1"/>
    </row>
    <row r="410" spans="1:31" ht="22.05" customHeight="1">
      <c r="A410" s="1">
        <f>'01 Traffic inputs'!B360</f>
        <v>0.78254318575956838</v>
      </c>
      <c r="B410" s="1">
        <f>'01 Traffic inputs'!C360</f>
        <v>3.3704947636879409E-3</v>
      </c>
      <c r="C410" s="1">
        <f>IF('01 Traffic inputs'!$B$16&lt;=2/3,(4*A410*(1-A410))^$B$16,1-ABS(2*A410-1)^$B$17)</f>
        <v>0.27077232349177488</v>
      </c>
      <c r="D410" s="1">
        <f>IF('01 Traffic inputs'!$B$16&lt;=2/3,4*$B$16*(1-2*A410)*(4*A410*(1-A410))^($B$16-1),-2*$B$17*SIGN(2*A410-1)*ABS(2*A410-1)^($B$17-1))</f>
        <v>-3.0538999389128056</v>
      </c>
      <c r="E410" s="1">
        <f t="shared" si="90"/>
        <v>15.506863108285136</v>
      </c>
      <c r="F410" s="1">
        <f t="shared" si="91"/>
        <v>3.17351462212229E-2</v>
      </c>
      <c r="G410" s="1">
        <f t="shared" si="92"/>
        <v>0.49211256817391585</v>
      </c>
      <c r="H410" s="1">
        <f>'01 Traffic inputs'!$B$8/F410</f>
        <v>32.77123706159324</v>
      </c>
      <c r="I410" s="1">
        <f>MATCH(H410,'02 Emission rates'!$A$7:$A$15,1)</f>
        <v>2</v>
      </c>
      <c r="J410" s="1">
        <f>INDEX('02 Emission rates'!$D$7:$D$15,I410)</f>
        <v>7854.4376436942921</v>
      </c>
      <c r="K410" s="1">
        <f>INDEX('02 Emission rates'!$E$7:$E$15,I410)</f>
        <v>6.0728066686336852</v>
      </c>
      <c r="L410" s="1">
        <f>INDEX('02 Emission rates'!$F$7:$F$15,I410)</f>
        <v>70.349021642583381</v>
      </c>
      <c r="M410" s="1">
        <f>INDEX('02 Emission rates'!$G$7:$G$15,I410)</f>
        <v>3.0627467972070308</v>
      </c>
      <c r="N410" s="1">
        <f t="shared" si="93"/>
        <v>3865.2674804002781</v>
      </c>
      <c r="O410" s="1">
        <f t="shared" si="94"/>
        <v>2.9885044857250054</v>
      </c>
      <c r="P410" s="1">
        <f t="shared" si="95"/>
        <v>34.619637709054096</v>
      </c>
      <c r="Q410" s="1">
        <f t="shared" si="96"/>
        <v>1.5072161920399874</v>
      </c>
      <c r="R410" s="1">
        <f t="shared" si="97"/>
        <v>3772.2536267532573</v>
      </c>
      <c r="S410" s="1">
        <f t="shared" si="98"/>
        <v>176.41287622939461</v>
      </c>
      <c r="T410" s="1">
        <f t="shared" si="99"/>
        <v>1378865.5721245364</v>
      </c>
      <c r="U410" s="1">
        <f t="shared" si="100"/>
        <v>1019.3452982819185</v>
      </c>
      <c r="V410" s="1">
        <f t="shared" si="101"/>
        <v>11987.540133585921</v>
      </c>
      <c r="W410" s="1">
        <f t="shared" si="102"/>
        <v>522.20125200212397</v>
      </c>
      <c r="X410" s="1"/>
      <c r="Y410" s="1"/>
      <c r="Z410" s="1"/>
      <c r="AA410" s="1"/>
      <c r="AB410" s="1"/>
      <c r="AC410" s="1"/>
      <c r="AD410" s="1"/>
      <c r="AE410" s="1"/>
    </row>
    <row r="411" spans="1:31" ht="22.05" customHeight="1">
      <c r="A411" s="1">
        <f>'01 Traffic inputs'!B361</f>
        <v>0.78590421198406502</v>
      </c>
      <c r="B411" s="1">
        <f>'01 Traffic inputs'!C361</f>
        <v>3.3515202890434768E-3</v>
      </c>
      <c r="C411" s="1">
        <f>IF('01 Traffic inputs'!$B$16&lt;=2/3,(4*A411*(1-A411))^$B$16,1-ABS(2*A411-1)^$B$17)</f>
        <v>0.26058521329464168</v>
      </c>
      <c r="D411" s="1">
        <f>IF('01 Traffic inputs'!$B$16&lt;=2/3,4*$B$16*(1-2*A411)*(4*A411*(1-A411))^($B$16-1),-2*$B$17*SIGN(2*A411-1)*ABS(2*A411-1)^($B$17-1))</f>
        <v>-3.0077352902812224</v>
      </c>
      <c r="E411" s="1">
        <f t="shared" si="90"/>
        <v>15.429115168785424</v>
      </c>
      <c r="F411" s="1">
        <f t="shared" si="91"/>
        <v>3.1151019872394221E-2</v>
      </c>
      <c r="G411" s="1">
        <f t="shared" si="92"/>
        <v>0.48063267323629388</v>
      </c>
      <c r="H411" s="1">
        <f>'01 Traffic inputs'!$B$8/F411</f>
        <v>33.385744809005757</v>
      </c>
      <c r="I411" s="1">
        <f>MATCH(H411,'02 Emission rates'!$A$7:$A$15,1)</f>
        <v>2</v>
      </c>
      <c r="J411" s="1">
        <f>INDEX('02 Emission rates'!$D$7:$D$15,I411)</f>
        <v>7854.4376436942921</v>
      </c>
      <c r="K411" s="1">
        <f>INDEX('02 Emission rates'!$E$7:$E$15,I411)</f>
        <v>6.0728066686336852</v>
      </c>
      <c r="L411" s="1">
        <f>INDEX('02 Emission rates'!$F$7:$F$15,I411)</f>
        <v>70.349021642583381</v>
      </c>
      <c r="M411" s="1">
        <f>INDEX('02 Emission rates'!$G$7:$G$15,I411)</f>
        <v>3.0627467972070308</v>
      </c>
      <c r="N411" s="1">
        <f t="shared" si="93"/>
        <v>3775.0993614565646</v>
      </c>
      <c r="O411" s="1">
        <f t="shared" si="94"/>
        <v>2.9187893031926007</v>
      </c>
      <c r="P411" s="1">
        <f t="shared" si="95"/>
        <v>33.812038331632742</v>
      </c>
      <c r="Q411" s="1">
        <f t="shared" si="96"/>
        <v>1.4720561805875125</v>
      </c>
      <c r="R411" s="1">
        <f t="shared" si="97"/>
        <v>3787.6827419220426</v>
      </c>
      <c r="S411" s="1">
        <f t="shared" si="98"/>
        <v>176.89350890263091</v>
      </c>
      <c r="T411" s="1">
        <f t="shared" si="99"/>
        <v>1382640.6714859928</v>
      </c>
      <c r="U411" s="1">
        <f t="shared" si="100"/>
        <v>1022.2640875851112</v>
      </c>
      <c r="V411" s="1">
        <f t="shared" si="101"/>
        <v>12021.352171917553</v>
      </c>
      <c r="W411" s="1">
        <f t="shared" si="102"/>
        <v>523.67330818271148</v>
      </c>
      <c r="X411" s="1"/>
      <c r="Y411" s="1"/>
      <c r="Z411" s="1"/>
      <c r="AA411" s="1"/>
      <c r="AB411" s="1"/>
      <c r="AC411" s="1"/>
      <c r="AD411" s="1"/>
      <c r="AE411" s="1"/>
    </row>
    <row r="412" spans="1:31" ht="22.05" customHeight="1">
      <c r="A412" s="1">
        <f>'01 Traffic inputs'!B362</f>
        <v>0.78924615175699819</v>
      </c>
      <c r="B412" s="1">
        <f>'01 Traffic inputs'!C362</f>
        <v>3.3323220729256481E-3</v>
      </c>
      <c r="C412" s="1">
        <f>IF('01 Traffic inputs'!$B$16&lt;=2/3,(4*A412*(1-A412))^$B$16,1-ABS(2*A412-1)^$B$17)</f>
        <v>0.25061244891328932</v>
      </c>
      <c r="D412" s="1">
        <f>IF('01 Traffic inputs'!$B$16&lt;=2/3,4*$B$16*(1-2*A412)*(4*A412*(1-A412))^($B$16-1),-2*$B$17*SIGN(2*A412-1)*ABS(2*A412-1)^($B$17-1))</f>
        <v>-2.9602560196858123</v>
      </c>
      <c r="E412" s="1">
        <f t="shared" si="90"/>
        <v>15.350498820326097</v>
      </c>
      <c r="F412" s="1">
        <f t="shared" si="91"/>
        <v>3.0579184058990794E-2</v>
      </c>
      <c r="G412" s="1">
        <f t="shared" si="92"/>
        <v>0.46940572882407278</v>
      </c>
      <c r="H412" s="1">
        <f>'01 Traffic inputs'!$B$8/F412</f>
        <v>34.010063773897294</v>
      </c>
      <c r="I412" s="1">
        <f>MATCH(H412,'02 Emission rates'!$A$7:$A$15,1)</f>
        <v>3</v>
      </c>
      <c r="J412" s="1">
        <f>INDEX('02 Emission rates'!$D$7:$D$15,I412)</f>
        <v>9725.5949630613486</v>
      </c>
      <c r="K412" s="1">
        <f>INDEX('02 Emission rates'!$E$7:$E$15,I412)</f>
        <v>9.2521191106683567</v>
      </c>
      <c r="L412" s="1">
        <f>INDEX('02 Emission rates'!$F$7:$F$15,I412)</f>
        <v>91.70580434039428</v>
      </c>
      <c r="M412" s="1">
        <f>INDEX('02 Emission rates'!$G$7:$G$15,I412)</f>
        <v>3.6129593672116069</v>
      </c>
      <c r="N412" s="1">
        <f t="shared" si="93"/>
        <v>4565.2499918835438</v>
      </c>
      <c r="O412" s="1">
        <f t="shared" si="94"/>
        <v>4.3429977143104121</v>
      </c>
      <c r="P412" s="1">
        <f t="shared" si="95"/>
        <v>43.047229923800593</v>
      </c>
      <c r="Q412" s="1">
        <f t="shared" si="96"/>
        <v>1.6959438249777252</v>
      </c>
      <c r="R412" s="1">
        <f t="shared" si="97"/>
        <v>3803.0332407423689</v>
      </c>
      <c r="S412" s="1">
        <f t="shared" si="98"/>
        <v>177.362914631455</v>
      </c>
      <c r="T412" s="1">
        <f t="shared" si="99"/>
        <v>1387205.9214778764</v>
      </c>
      <c r="U412" s="1">
        <f t="shared" si="100"/>
        <v>1026.6070852994217</v>
      </c>
      <c r="V412" s="1">
        <f t="shared" si="101"/>
        <v>12064.399401841354</v>
      </c>
      <c r="W412" s="1">
        <f t="shared" si="102"/>
        <v>525.36925200768917</v>
      </c>
      <c r="X412" s="1"/>
      <c r="Y412" s="1"/>
      <c r="Z412" s="1"/>
      <c r="AA412" s="1"/>
      <c r="AB412" s="1"/>
      <c r="AC412" s="1"/>
      <c r="AD412" s="1"/>
      <c r="AE412" s="1"/>
    </row>
    <row r="413" spans="1:31" ht="22.05" customHeight="1">
      <c r="A413" s="1">
        <f>'01 Traffic inputs'!B363</f>
        <v>0.79256878197647285</v>
      </c>
      <c r="B413" s="1">
        <f>'01 Traffic inputs'!C363</f>
        <v>3.3129013969727208E-3</v>
      </c>
      <c r="C413" s="1">
        <f>IF('01 Traffic inputs'!$B$16&lt;=2/3,(4*A413*(1-A413))^$B$16,1-ABS(2*A413-1)^$B$17)</f>
        <v>0.24085712933420242</v>
      </c>
      <c r="D413" s="1">
        <f>IF('01 Traffic inputs'!$B$16&lt;=2/3,4*$B$16*(1-2*A413)*(4*A413*(1-A413))^($B$16-1),-2*$B$17*SIGN(2*A413-1)*ABS(2*A413-1)^($B$17-1))</f>
        <v>-2.911544546540866</v>
      </c>
      <c r="E413" s="1">
        <f t="shared" si="90"/>
        <v>15.270996478634078</v>
      </c>
      <c r="F413" s="1">
        <f t="shared" si="91"/>
        <v>3.0019816476121952E-2</v>
      </c>
      <c r="G413" s="1">
        <f t="shared" si="92"/>
        <v>0.45843251169609961</v>
      </c>
      <c r="H413" s="1">
        <f>'01 Traffic inputs'!$B$8/F413</f>
        <v>34.643782743550297</v>
      </c>
      <c r="I413" s="1">
        <f>MATCH(H413,'02 Emission rates'!$A$7:$A$15,1)</f>
        <v>3</v>
      </c>
      <c r="J413" s="1">
        <f>INDEX('02 Emission rates'!$D$7:$D$15,I413)</f>
        <v>9725.5949630613486</v>
      </c>
      <c r="K413" s="1">
        <f>INDEX('02 Emission rates'!$E$7:$E$15,I413)</f>
        <v>9.2521191106683567</v>
      </c>
      <c r="L413" s="1">
        <f>INDEX('02 Emission rates'!$F$7:$F$15,I413)</f>
        <v>91.70580434039428</v>
      </c>
      <c r="M413" s="1">
        <f>INDEX('02 Emission rates'!$G$7:$G$15,I413)</f>
        <v>3.6129593672116069</v>
      </c>
      <c r="N413" s="1">
        <f t="shared" si="93"/>
        <v>4458.528926655149</v>
      </c>
      <c r="O413" s="1">
        <f t="shared" si="94"/>
        <v>4.2414722024151779</v>
      </c>
      <c r="P413" s="1">
        <f t="shared" si="95"/>
        <v>42.040922220878024</v>
      </c>
      <c r="Q413" s="1">
        <f t="shared" si="96"/>
        <v>1.6562980373667677</v>
      </c>
      <c r="R413" s="1">
        <f t="shared" si="97"/>
        <v>3818.3042372210029</v>
      </c>
      <c r="S413" s="1">
        <f t="shared" si="98"/>
        <v>177.82134714315109</v>
      </c>
      <c r="T413" s="1">
        <f t="shared" si="99"/>
        <v>1391664.4504045316</v>
      </c>
      <c r="U413" s="1">
        <f t="shared" si="100"/>
        <v>1030.8485575018369</v>
      </c>
      <c r="V413" s="1">
        <f t="shared" si="101"/>
        <v>12106.440324062232</v>
      </c>
      <c r="W413" s="1">
        <f t="shared" si="102"/>
        <v>527.02555004505598</v>
      </c>
      <c r="X413" s="1"/>
      <c r="Y413" s="1"/>
      <c r="Z413" s="1"/>
      <c r="AA413" s="1"/>
      <c r="AB413" s="1"/>
      <c r="AC413" s="1"/>
      <c r="AD413" s="1"/>
      <c r="AE413" s="1"/>
    </row>
    <row r="414" spans="1:31" ht="22.05" customHeight="1">
      <c r="A414" s="1">
        <f>'01 Traffic inputs'!B364</f>
        <v>0.79587188082966431</v>
      </c>
      <c r="B414" s="1">
        <f>'01 Traffic inputs'!C364</f>
        <v>3.2932595576741701E-3</v>
      </c>
      <c r="C414" s="1">
        <f>IF('01 Traffic inputs'!$B$16&lt;=2/3,(4*A414*(1-A414))^$B$16,1-ABS(2*A414-1)^$B$17)</f>
        <v>0.23132197111032346</v>
      </c>
      <c r="D414" s="1">
        <f>IF('01 Traffic inputs'!$B$16&lt;=2/3,4*$B$16*(1-2*A414)*(4*A414*(1-A414))^($B$16-1),-2*$B$17*SIGN(2*A414-1)*ABS(2*A414-1)^($B$17-1))</f>
        <v>-2.8616835781800298</v>
      </c>
      <c r="E414" s="1">
        <f t="shared" si="90"/>
        <v>15.190590876008585</v>
      </c>
      <c r="F414" s="1">
        <f t="shared" si="91"/>
        <v>2.9473072890253457E-2</v>
      </c>
      <c r="G414" s="1">
        <f t="shared" si="92"/>
        <v>0.44771339213462014</v>
      </c>
      <c r="H414" s="1">
        <f>'01 Traffic inputs'!$B$8/F414</f>
        <v>35.286446169783041</v>
      </c>
      <c r="I414" s="1">
        <f>MATCH(H414,'02 Emission rates'!$A$7:$A$15,1)</f>
        <v>3</v>
      </c>
      <c r="J414" s="1">
        <f>INDEX('02 Emission rates'!$D$7:$D$15,I414)</f>
        <v>9725.5949630613486</v>
      </c>
      <c r="K414" s="1">
        <f>INDEX('02 Emission rates'!$E$7:$E$15,I414)</f>
        <v>9.2521191106683567</v>
      </c>
      <c r="L414" s="1">
        <f>INDEX('02 Emission rates'!$F$7:$F$15,I414)</f>
        <v>91.70580434039428</v>
      </c>
      <c r="M414" s="1">
        <f>INDEX('02 Emission rates'!$G$7:$G$15,I414)</f>
        <v>3.6129593672116069</v>
      </c>
      <c r="N414" s="1">
        <f t="shared" si="93"/>
        <v>4354.2791114395723</v>
      </c>
      <c r="O414" s="1">
        <f t="shared" si="94"/>
        <v>4.1422976314708748</v>
      </c>
      <c r="P414" s="1">
        <f t="shared" si="95"/>
        <v>41.057916739671697</v>
      </c>
      <c r="Q414" s="1">
        <f t="shared" si="96"/>
        <v>1.6175702939388592</v>
      </c>
      <c r="R414" s="1">
        <f t="shared" si="97"/>
        <v>3833.4948280970116</v>
      </c>
      <c r="S414" s="1">
        <f t="shared" si="98"/>
        <v>178.26906053528572</v>
      </c>
      <c r="T414" s="1">
        <f t="shared" si="99"/>
        <v>1396018.7295159712</v>
      </c>
      <c r="U414" s="1">
        <f t="shared" si="100"/>
        <v>1034.9908551333078</v>
      </c>
      <c r="V414" s="1">
        <f t="shared" si="101"/>
        <v>12147.498240801904</v>
      </c>
      <c r="W414" s="1">
        <f t="shared" si="102"/>
        <v>528.64312033899489</v>
      </c>
      <c r="X414" s="1"/>
      <c r="Y414" s="1"/>
      <c r="Z414" s="1"/>
      <c r="AA414" s="1"/>
      <c r="AB414" s="1"/>
      <c r="AC414" s="1"/>
      <c r="AD414" s="1"/>
      <c r="AE414" s="1"/>
    </row>
    <row r="415" spans="1:31" ht="22.05" customHeight="1">
      <c r="A415" s="1">
        <f>'01 Traffic inputs'!B365</f>
        <v>0.79915522780762749</v>
      </c>
      <c r="B415" s="1">
        <f>'01 Traffic inputs'!C365</f>
        <v>3.2733978662839447E-3</v>
      </c>
      <c r="C415" s="1">
        <f>IF('01 Traffic inputs'!$B$16&lt;=2/3,(4*A415*(1-A415))^$B$16,1-ABS(2*A415-1)^$B$17)</f>
        <v>0.22200931268655291</v>
      </c>
      <c r="D415" s="1">
        <f>IF('01 Traffic inputs'!$B$16&lt;=2/3,4*$B$16*(1-2*A415)*(4*A415*(1-A415))^($B$16-1),-2*$B$17*SIGN(2*A415-1)*ABS(2*A415-1)^($B$17-1))</f>
        <v>-2.8107559684262888</v>
      </c>
      <c r="E415" s="1">
        <f t="shared" si="90"/>
        <v>15.109265103717517</v>
      </c>
      <c r="F415" s="1">
        <f t="shared" si="91"/>
        <v>2.8939087387230576E-2</v>
      </c>
      <c r="G415" s="1">
        <f t="shared" si="92"/>
        <v>0.43724834319331468</v>
      </c>
      <c r="H415" s="1">
        <f>'01 Traffic inputs'!$B$8/F415</f>
        <v>35.937553457851003</v>
      </c>
      <c r="I415" s="1">
        <f>MATCH(H415,'02 Emission rates'!$A$7:$A$15,1)</f>
        <v>3</v>
      </c>
      <c r="J415" s="1">
        <f>INDEX('02 Emission rates'!$D$7:$D$15,I415)</f>
        <v>9725.5949630613486</v>
      </c>
      <c r="K415" s="1">
        <f>INDEX('02 Emission rates'!$E$7:$E$15,I415)</f>
        <v>9.2521191106683567</v>
      </c>
      <c r="L415" s="1">
        <f>INDEX('02 Emission rates'!$F$7:$F$15,I415)</f>
        <v>91.70580434039428</v>
      </c>
      <c r="M415" s="1">
        <f>INDEX('02 Emission rates'!$G$7:$G$15,I415)</f>
        <v>3.6129593672116069</v>
      </c>
      <c r="N415" s="1">
        <f t="shared" si="93"/>
        <v>4252.5002841678215</v>
      </c>
      <c r="O415" s="1">
        <f t="shared" si="94"/>
        <v>4.0454737521669433</v>
      </c>
      <c r="P415" s="1">
        <f t="shared" si="95"/>
        <v>40.098211009047688</v>
      </c>
      <c r="Q415" s="1">
        <f t="shared" si="96"/>
        <v>1.5797604973380417</v>
      </c>
      <c r="R415" s="1">
        <f t="shared" si="97"/>
        <v>3848.604093200729</v>
      </c>
      <c r="S415" s="1">
        <f t="shared" si="98"/>
        <v>178.70630887847904</v>
      </c>
      <c r="T415" s="1">
        <f t="shared" si="99"/>
        <v>1400271.2298001391</v>
      </c>
      <c r="U415" s="1">
        <f t="shared" si="100"/>
        <v>1039.0363288854749</v>
      </c>
      <c r="V415" s="1">
        <f t="shared" si="101"/>
        <v>12187.596451810952</v>
      </c>
      <c r="W415" s="1">
        <f t="shared" si="102"/>
        <v>530.22288083633293</v>
      </c>
      <c r="X415" s="1"/>
      <c r="Y415" s="1"/>
      <c r="Z415" s="1"/>
      <c r="AA415" s="1"/>
      <c r="AB415" s="1"/>
      <c r="AC415" s="1"/>
      <c r="AD415" s="1"/>
      <c r="AE415" s="1"/>
    </row>
    <row r="416" spans="1:31" ht="22.05" customHeight="1">
      <c r="A416" s="1">
        <f>'01 Traffic inputs'!B366</f>
        <v>0.8024186037200165</v>
      </c>
      <c r="B416" s="1">
        <f>'01 Traffic inputs'!C366</f>
        <v>3.2533176487329328E-3</v>
      </c>
      <c r="C416" s="1">
        <f>IF('01 Traffic inputs'!$B$16&lt;=2/3,(4*A416*(1-A416))^$B$16,1-ABS(2*A416-1)^$B$17)</f>
        <v>0.21292111940779537</v>
      </c>
      <c r="D416" s="1">
        <f>IF('01 Traffic inputs'!$B$16&lt;=2/3,4*$B$16*(1-2*A416)*(4*A416*(1-A416))^($B$16-1),-2*$B$17*SIGN(2*A416-1)*ABS(2*A416-1)^($B$17-1))</f>
        <v>-2.758844577534167</v>
      </c>
      <c r="E416" s="1">
        <f t="shared" si="90"/>
        <v>15.027002653002704</v>
      </c>
      <c r="F416" s="1">
        <f t="shared" si="91"/>
        <v>2.8417972659438205E-2</v>
      </c>
      <c r="G416" s="1">
        <f t="shared" si="92"/>
        <v>0.42703695054633622</v>
      </c>
      <c r="H416" s="1">
        <f>'01 Traffic inputs'!$B$8/F416</f>
        <v>36.59655853932334</v>
      </c>
      <c r="I416" s="1">
        <f>MATCH(H416,'02 Emission rates'!$A$7:$A$15,1)</f>
        <v>3</v>
      </c>
      <c r="J416" s="1">
        <f>INDEX('02 Emission rates'!$D$7:$D$15,I416)</f>
        <v>9725.5949630613486</v>
      </c>
      <c r="K416" s="1">
        <f>INDEX('02 Emission rates'!$E$7:$E$15,I416)</f>
        <v>9.2521191106683567</v>
      </c>
      <c r="L416" s="1">
        <f>INDEX('02 Emission rates'!$F$7:$F$15,I416)</f>
        <v>91.70580434039428</v>
      </c>
      <c r="M416" s="1">
        <f>INDEX('02 Emission rates'!$G$7:$G$15,I416)</f>
        <v>3.6129593672116069</v>
      </c>
      <c r="N416" s="1">
        <f t="shared" si="93"/>
        <v>4153.1884152745261</v>
      </c>
      <c r="O416" s="1">
        <f t="shared" si="94"/>
        <v>3.9509967311112955</v>
      </c>
      <c r="P416" s="1">
        <f t="shared" si="95"/>
        <v>39.161767032920942</v>
      </c>
      <c r="Q416" s="1">
        <f t="shared" si="96"/>
        <v>1.5428671506218652</v>
      </c>
      <c r="R416" s="1">
        <f t="shared" si="97"/>
        <v>3863.6310958537319</v>
      </c>
      <c r="S416" s="1">
        <f t="shared" si="98"/>
        <v>179.13334582902536</v>
      </c>
      <c r="T416" s="1">
        <f t="shared" si="99"/>
        <v>1404424.4182154136</v>
      </c>
      <c r="U416" s="1">
        <f t="shared" si="100"/>
        <v>1042.9873256165861</v>
      </c>
      <c r="V416" s="1">
        <f t="shared" si="101"/>
        <v>12226.758218843874</v>
      </c>
      <c r="W416" s="1">
        <f t="shared" si="102"/>
        <v>531.76574798695481</v>
      </c>
      <c r="X416" s="1"/>
      <c r="Y416" s="1"/>
      <c r="Z416" s="1"/>
      <c r="AA416" s="1"/>
      <c r="AB416" s="1"/>
      <c r="AC416" s="1"/>
      <c r="AD416" s="1"/>
      <c r="AE416" s="1"/>
    </row>
    <row r="417" spans="1:31" ht="22.05" customHeight="1">
      <c r="A417" s="1">
        <f>'01 Traffic inputs'!B367</f>
        <v>0.80566179070971822</v>
      </c>
      <c r="B417" s="1">
        <f>'01 Traffic inputs'!C367</f>
        <v>3.233020245540205E-3</v>
      </c>
      <c r="C417" s="1">
        <f>IF('01 Traffic inputs'!$B$16&lt;=2/3,(4*A417*(1-A417))^$B$16,1-ABS(2*A417-1)^$B$17)</f>
        <v>0.20405898918637261</v>
      </c>
      <c r="D417" s="1">
        <f>IF('01 Traffic inputs'!$B$16&lt;=2/3,4*$B$16*(1-2*A417)*(4*A417*(1-A417))^($B$16-1),-2*$B$17*SIGN(2*A417-1)*ABS(2*A417-1)^($B$17-1))</f>
        <v>-2.706032133769412</v>
      </c>
      <c r="E417" s="1">
        <f t="shared" si="90"/>
        <v>14.943787454607747</v>
      </c>
      <c r="F417" s="1">
        <f t="shared" si="91"/>
        <v>2.7909820330768907E-2</v>
      </c>
      <c r="G417" s="1">
        <f t="shared" si="92"/>
        <v>0.41707842291930064</v>
      </c>
      <c r="H417" s="1">
        <f>'01 Traffic inputs'!$B$8/F417</f>
        <v>37.262869759626604</v>
      </c>
      <c r="I417" s="1">
        <f>MATCH(H417,'02 Emission rates'!$A$7:$A$15,1)</f>
        <v>3</v>
      </c>
      <c r="J417" s="1">
        <f>INDEX('02 Emission rates'!$D$7:$D$15,I417)</f>
        <v>9725.5949630613486</v>
      </c>
      <c r="K417" s="1">
        <f>INDEX('02 Emission rates'!$E$7:$E$15,I417)</f>
        <v>9.2521191106683567</v>
      </c>
      <c r="L417" s="1">
        <f>INDEX('02 Emission rates'!$F$7:$F$15,I417)</f>
        <v>91.70580434039428</v>
      </c>
      <c r="M417" s="1">
        <f>INDEX('02 Emission rates'!$G$7:$G$15,I417)</f>
        <v>3.6129593672116069</v>
      </c>
      <c r="N417" s="1">
        <f t="shared" si="93"/>
        <v>4056.3358091455211</v>
      </c>
      <c r="O417" s="1">
        <f t="shared" si="94"/>
        <v>3.8588592473390806</v>
      </c>
      <c r="P417" s="1">
        <f t="shared" si="95"/>
        <v>38.248512246837599</v>
      </c>
      <c r="Q417" s="1">
        <f t="shared" si="96"/>
        <v>1.5068873949481314</v>
      </c>
      <c r="R417" s="1">
        <f t="shared" si="97"/>
        <v>3878.5748833083398</v>
      </c>
      <c r="S417" s="1">
        <f t="shared" si="98"/>
        <v>179.55042425194466</v>
      </c>
      <c r="T417" s="1">
        <f t="shared" si="99"/>
        <v>1408480.7540245592</v>
      </c>
      <c r="U417" s="1">
        <f t="shared" si="100"/>
        <v>1046.8461848639251</v>
      </c>
      <c r="V417" s="1">
        <f t="shared" si="101"/>
        <v>12265.006731090711</v>
      </c>
      <c r="W417" s="1">
        <f t="shared" si="102"/>
        <v>533.27263538190289</v>
      </c>
      <c r="X417" s="1"/>
      <c r="Y417" s="1"/>
      <c r="Z417" s="1"/>
      <c r="AA417" s="1"/>
      <c r="AB417" s="1"/>
      <c r="AC417" s="1"/>
      <c r="AD417" s="1"/>
      <c r="AE417" s="1"/>
    </row>
    <row r="418" spans="1:31" ht="22.05" customHeight="1">
      <c r="A418" s="1">
        <f>'01 Traffic inputs'!B368</f>
        <v>0.80888457226739563</v>
      </c>
      <c r="B418" s="1">
        <f>'01 Traffic inputs'!C368</f>
        <v>3.2125070117241961E-3</v>
      </c>
      <c r="C418" s="1">
        <f>IF('01 Traffic inputs'!$B$16&lt;=2/3,(4*A418*(1-A418))^$B$16,1-ABS(2*A418-1)^$B$17)</f>
        <v>0.19542415880431654</v>
      </c>
      <c r="D418" s="1">
        <f>IF('01 Traffic inputs'!$B$16&lt;=2/3,4*$B$16*(1-2*A418)*(4*A418*(1-A418))^($B$16-1),-2*$B$17*SIGN(2*A418-1)*ABS(2*A418-1)^($B$17-1))</f>
        <v>-2.6524010968863849</v>
      </c>
      <c r="E418" s="1">
        <f t="shared" si="90"/>
        <v>14.859603916754347</v>
      </c>
      <c r="F418" s="1">
        <f t="shared" si="91"/>
        <v>2.7414701317994832E-2</v>
      </c>
      <c r="G418" s="1">
        <f t="shared" si="92"/>
        <v>0.40737160308152653</v>
      </c>
      <c r="H418" s="1">
        <f>'01 Traffic inputs'!$B$8/F418</f>
        <v>37.935850109640668</v>
      </c>
      <c r="I418" s="1">
        <f>MATCH(H418,'02 Emission rates'!$A$7:$A$15,1)</f>
        <v>3</v>
      </c>
      <c r="J418" s="1">
        <f>INDEX('02 Emission rates'!$D$7:$D$15,I418)</f>
        <v>9725.5949630613486</v>
      </c>
      <c r="K418" s="1">
        <f>INDEX('02 Emission rates'!$E$7:$E$15,I418)</f>
        <v>9.2521191106683567</v>
      </c>
      <c r="L418" s="1">
        <f>INDEX('02 Emission rates'!$F$7:$F$15,I418)</f>
        <v>91.70580434039428</v>
      </c>
      <c r="M418" s="1">
        <f>INDEX('02 Emission rates'!$G$7:$G$15,I418)</f>
        <v>3.6129593672116069</v>
      </c>
      <c r="N418" s="1">
        <f t="shared" si="93"/>
        <v>3961.9312110239216</v>
      </c>
      <c r="O418" s="1">
        <f t="shared" si="94"/>
        <v>3.7690505940141961</v>
      </c>
      <c r="P418" s="1">
        <f t="shared" si="95"/>
        <v>37.358340526027234</v>
      </c>
      <c r="Q418" s="1">
        <f t="shared" si="96"/>
        <v>1.47181704928941</v>
      </c>
      <c r="R418" s="1">
        <f t="shared" si="97"/>
        <v>3893.434487225094</v>
      </c>
      <c r="S418" s="1">
        <f t="shared" si="98"/>
        <v>179.95779585502618</v>
      </c>
      <c r="T418" s="1">
        <f t="shared" si="99"/>
        <v>1412442.685235583</v>
      </c>
      <c r="U418" s="1">
        <f t="shared" si="100"/>
        <v>1050.6152354579394</v>
      </c>
      <c r="V418" s="1">
        <f t="shared" si="101"/>
        <v>12302.365071616738</v>
      </c>
      <c r="W418" s="1">
        <f t="shared" si="102"/>
        <v>534.74445243119226</v>
      </c>
      <c r="X418" s="1"/>
      <c r="Y418" s="1"/>
      <c r="Z418" s="1"/>
      <c r="AA418" s="1"/>
      <c r="AB418" s="1"/>
      <c r="AC418" s="1"/>
      <c r="AD418" s="1"/>
      <c r="AE418" s="1"/>
    </row>
    <row r="419" spans="1:31" ht="22.05" customHeight="1">
      <c r="A419" s="1">
        <f>'01 Traffic inputs'!B369</f>
        <v>0.81208673324594183</v>
      </c>
      <c r="B419" s="1">
        <f>'01 Traffic inputs'!C369</f>
        <v>3.1917793167112961E-3</v>
      </c>
      <c r="C419" s="1">
        <f>IF('01 Traffic inputs'!$B$16&lt;=2/3,(4*A419*(1-A419))^$B$16,1-ABS(2*A419-1)^$B$17)</f>
        <v>0.18701751082479987</v>
      </c>
      <c r="D419" s="1">
        <f>IF('01 Traffic inputs'!$B$16&lt;=2/3,4*$B$16*(1-2*A419)*(4*A419*(1-A419))^($B$16-1),-2*$B$17*SIGN(2*A419-1)*ABS(2*A419-1)^($B$17-1))</f>
        <v>-2.5980335237576613</v>
      </c>
      <c r="E419" s="1">
        <f t="shared" si="90"/>
        <v>14.774436961481117</v>
      </c>
      <c r="F419" s="1">
        <f t="shared" si="91"/>
        <v>2.6932666227067383E-2</v>
      </c>
      <c r="G419" s="1">
        <f t="shared" si="92"/>
        <v>0.39791497937641851</v>
      </c>
      <c r="H419" s="1">
        <f>'01 Traffic inputs'!$B$8/F419</f>
        <v>38.614817828723488</v>
      </c>
      <c r="I419" s="1">
        <f>MATCH(H419,'02 Emission rates'!$A$7:$A$15,1)</f>
        <v>3</v>
      </c>
      <c r="J419" s="1">
        <f>INDEX('02 Emission rates'!$D$7:$D$15,I419)</f>
        <v>9725.5949630613486</v>
      </c>
      <c r="K419" s="1">
        <f>INDEX('02 Emission rates'!$E$7:$E$15,I419)</f>
        <v>9.2521191106683567</v>
      </c>
      <c r="L419" s="1">
        <f>INDEX('02 Emission rates'!$F$7:$F$15,I419)</f>
        <v>91.70580434039428</v>
      </c>
      <c r="M419" s="1">
        <f>INDEX('02 Emission rates'!$G$7:$G$15,I419)</f>
        <v>3.6129593672116069</v>
      </c>
      <c r="N419" s="1">
        <f t="shared" si="93"/>
        <v>3869.9599191499565</v>
      </c>
      <c r="O419" s="1">
        <f t="shared" si="94"/>
        <v>3.6815567851097666</v>
      </c>
      <c r="P419" s="1">
        <f t="shared" si="95"/>
        <v>36.491113242805859</v>
      </c>
      <c r="Q419" s="1">
        <f t="shared" si="96"/>
        <v>1.4376506520918446</v>
      </c>
      <c r="R419" s="1">
        <f t="shared" si="97"/>
        <v>3908.2089241865751</v>
      </c>
      <c r="S419" s="1">
        <f t="shared" si="98"/>
        <v>180.3557108344026</v>
      </c>
      <c r="T419" s="1">
        <f t="shared" si="99"/>
        <v>1416312.645154733</v>
      </c>
      <c r="U419" s="1">
        <f t="shared" si="100"/>
        <v>1054.2967922430491</v>
      </c>
      <c r="V419" s="1">
        <f t="shared" si="101"/>
        <v>12338.856184859544</v>
      </c>
      <c r="W419" s="1">
        <f t="shared" si="102"/>
        <v>536.18210308328412</v>
      </c>
      <c r="X419" s="1"/>
      <c r="Y419" s="1"/>
      <c r="Z419" s="1"/>
      <c r="AA419" s="1"/>
      <c r="AB419" s="1"/>
      <c r="AC419" s="1"/>
      <c r="AD419" s="1"/>
      <c r="AE419" s="1"/>
    </row>
    <row r="420" spans="1:31" ht="22.05" customHeight="1">
      <c r="A420" s="1">
        <f>'01 Traffic inputs'!B370</f>
        <v>0.81526805987484252</v>
      </c>
      <c r="B420" s="1">
        <f>'01 Traffic inputs'!C370</f>
        <v>3.17083854424542E-3</v>
      </c>
      <c r="C420" s="1">
        <f>IF('01 Traffic inputs'!$B$16&lt;=2/3,(4*A420*(1-A420))^$B$16,1-ABS(2*A420-1)^$B$17)</f>
        <v>0.17883958108580028</v>
      </c>
      <c r="D420" s="1">
        <f>IF('01 Traffic inputs'!$B$16&lt;=2/3,4*$B$16*(1-2*A420)*(4*A420*(1-A420))^($B$16-1),-2*$B$17*SIGN(2*A420-1)*ABS(2*A420-1)^($B$17-1))</f>
        <v>-2.5430109364041793</v>
      </c>
      <c r="E420" s="1">
        <f t="shared" si="90"/>
        <v>14.688272059292153</v>
      </c>
      <c r="F420" s="1">
        <f t="shared" si="91"/>
        <v>2.6463745782802084E-2</v>
      </c>
      <c r="G420" s="1">
        <f t="shared" si="92"/>
        <v>0.3887066977657424</v>
      </c>
      <c r="H420" s="1">
        <f>'01 Traffic inputs'!$B$8/F420</f>
        <v>39.299047403783717</v>
      </c>
      <c r="I420" s="1">
        <f>MATCH(H420,'02 Emission rates'!$A$7:$A$15,1)</f>
        <v>3</v>
      </c>
      <c r="J420" s="1">
        <f>INDEX('02 Emission rates'!$D$7:$D$15,I420)</f>
        <v>9725.5949630613486</v>
      </c>
      <c r="K420" s="1">
        <f>INDEX('02 Emission rates'!$E$7:$E$15,I420)</f>
        <v>9.2521191106683567</v>
      </c>
      <c r="L420" s="1">
        <f>INDEX('02 Emission rates'!$F$7:$F$15,I420)</f>
        <v>91.70580434039428</v>
      </c>
      <c r="M420" s="1">
        <f>INDEX('02 Emission rates'!$G$7:$G$15,I420)</f>
        <v>3.6129593672116069</v>
      </c>
      <c r="N420" s="1">
        <f t="shared" si="93"/>
        <v>3780.4039018987141</v>
      </c>
      <c r="O420" s="1">
        <f t="shared" si="94"/>
        <v>3.5963606668432142</v>
      </c>
      <c r="P420" s="1">
        <f t="shared" si="95"/>
        <v>35.646660371105945</v>
      </c>
      <c r="Q420" s="1">
        <f t="shared" si="96"/>
        <v>1.4043815047906301</v>
      </c>
      <c r="R420" s="1">
        <f t="shared" si="97"/>
        <v>3922.8971962458672</v>
      </c>
      <c r="S420" s="1">
        <f t="shared" si="98"/>
        <v>180.74441753216834</v>
      </c>
      <c r="T420" s="1">
        <f t="shared" si="99"/>
        <v>1420093.0490566317</v>
      </c>
      <c r="U420" s="1">
        <f t="shared" si="100"/>
        <v>1057.8931529098923</v>
      </c>
      <c r="V420" s="1">
        <f t="shared" si="101"/>
        <v>12374.502845230649</v>
      </c>
      <c r="W420" s="1">
        <f t="shared" si="102"/>
        <v>537.58648458807477</v>
      </c>
      <c r="X420" s="1"/>
      <c r="Y420" s="1"/>
      <c r="Z420" s="1"/>
      <c r="AA420" s="1"/>
      <c r="AB420" s="1"/>
      <c r="AC420" s="1"/>
      <c r="AD420" s="1"/>
      <c r="AE420" s="1"/>
    </row>
    <row r="421" spans="1:31" ht="22.05" customHeight="1">
      <c r="A421" s="1">
        <f>'01 Traffic inputs'!B371</f>
        <v>0.81842833977444718</v>
      </c>
      <c r="B421" s="1">
        <f>'01 Traffic inputs'!C371</f>
        <v>3.1496860922946113E-3</v>
      </c>
      <c r="C421" s="1">
        <f>IF('01 Traffic inputs'!$B$16&lt;=2/3,(4*A421*(1-A421))^$B$16,1-ABS(2*A421-1)^$B$17)</f>
        <v>0.17089056674801872</v>
      </c>
      <c r="D421" s="1">
        <f>IF('01 Traffic inputs'!$B$16&lt;=2/3,4*$B$16*(1-2*A421)*(4*A421*(1-A421))^($B$16-1),-2*$B$17*SIGN(2*A421-1)*ABS(2*A421-1)^($B$17-1))</f>
        <v>-2.487414192667599</v>
      </c>
      <c r="E421" s="1">
        <f t="shared" si="90"/>
        <v>14.601095262033432</v>
      </c>
      <c r="F421" s="1">
        <f t="shared" si="91"/>
        <v>2.6007951290344174E-2</v>
      </c>
      <c r="G421" s="1">
        <f t="shared" si="92"/>
        <v>0.37974457436064063</v>
      </c>
      <c r="H421" s="1">
        <f>'01 Traffic inputs'!$B$8/F421</f>
        <v>39.987770985488403</v>
      </c>
      <c r="I421" s="1">
        <f>MATCH(H421,'02 Emission rates'!$A$7:$A$15,1)</f>
        <v>3</v>
      </c>
      <c r="J421" s="1">
        <f>INDEX('02 Emission rates'!$D$7:$D$15,I421)</f>
        <v>9725.5949630613486</v>
      </c>
      <c r="K421" s="1">
        <f>INDEX('02 Emission rates'!$E$7:$E$15,I421)</f>
        <v>9.2521191106683567</v>
      </c>
      <c r="L421" s="1">
        <f>INDEX('02 Emission rates'!$F$7:$F$15,I421)</f>
        <v>91.70580434039428</v>
      </c>
      <c r="M421" s="1">
        <f>INDEX('02 Emission rates'!$G$7:$G$15,I421)</f>
        <v>3.6129593672116069</v>
      </c>
      <c r="N421" s="1">
        <f t="shared" si="93"/>
        <v>3693.2419196517221</v>
      </c>
      <c r="O421" s="1">
        <f t="shared" si="94"/>
        <v>3.5134420336147039</v>
      </c>
      <c r="P421" s="1">
        <f t="shared" si="95"/>
        <v>34.82478163564322</v>
      </c>
      <c r="Q421" s="1">
        <f t="shared" si="96"/>
        <v>1.3720017170840613</v>
      </c>
      <c r="R421" s="1">
        <f t="shared" si="97"/>
        <v>3937.4982915079008</v>
      </c>
      <c r="S421" s="1">
        <f t="shared" si="98"/>
        <v>181.12416210652898</v>
      </c>
      <c r="T421" s="1">
        <f t="shared" si="99"/>
        <v>1423786.2909762834</v>
      </c>
      <c r="U421" s="1">
        <f t="shared" si="100"/>
        <v>1061.4065949435069</v>
      </c>
      <c r="V421" s="1">
        <f t="shared" si="101"/>
        <v>12409.327626866292</v>
      </c>
      <c r="W421" s="1">
        <f t="shared" si="102"/>
        <v>538.95848630515889</v>
      </c>
      <c r="X421" s="1"/>
      <c r="Y421" s="1"/>
      <c r="Z421" s="1"/>
      <c r="AA421" s="1"/>
      <c r="AB421" s="1"/>
      <c r="AC421" s="1"/>
      <c r="AD421" s="1"/>
      <c r="AE421" s="1"/>
    </row>
    <row r="422" spans="1:31" ht="22.05" customHeight="1">
      <c r="A422" s="1">
        <f>'01 Traffic inputs'!B372</f>
        <v>0.82156736197014735</v>
      </c>
      <c r="B422" s="1">
        <f>'01 Traffic inputs'!C372</f>
        <v>3.1283233729589334E-3</v>
      </c>
      <c r="C422" s="1">
        <f>IF('01 Traffic inputs'!$B$16&lt;=2/3,(4*A422*(1-A422))^$B$16,1-ABS(2*A422-1)^$B$17)</f>
        <v>0.16317033486808127</v>
      </c>
      <c r="D422" s="1">
        <f>IF('01 Traffic inputs'!$B$16&lt;=2/3,4*$B$16*(1-2*A422)*(4*A422*(1-A422))^($B$16-1),-2*$B$17*SIGN(2*A422-1)*ABS(2*A422-1)^($B$17-1))</f>
        <v>-2.4313233597593054</v>
      </c>
      <c r="E422" s="1">
        <f t="shared" si="90"/>
        <v>14.512893233958383</v>
      </c>
      <c r="F422" s="1">
        <f t="shared" si="91"/>
        <v>2.5565275126753866E-2</v>
      </c>
      <c r="G422" s="1">
        <f t="shared" si="92"/>
        <v>0.37102610841135075</v>
      </c>
      <c r="H422" s="1">
        <f>'01 Traffic inputs'!$B$8/F422</f>
        <v>40.680180238376089</v>
      </c>
      <c r="I422" s="1">
        <f>MATCH(H422,'02 Emission rates'!$A$7:$A$15,1)</f>
        <v>3</v>
      </c>
      <c r="J422" s="1">
        <f>INDEX('02 Emission rates'!$D$7:$D$15,I422)</f>
        <v>9725.5949630613486</v>
      </c>
      <c r="K422" s="1">
        <f>INDEX('02 Emission rates'!$E$7:$E$15,I422)</f>
        <v>9.2521191106683567</v>
      </c>
      <c r="L422" s="1">
        <f>INDEX('02 Emission rates'!$F$7:$F$15,I422)</f>
        <v>91.70580434039428</v>
      </c>
      <c r="M422" s="1">
        <f>INDEX('02 Emission rates'!$G$7:$G$15,I422)</f>
        <v>3.6129593672116069</v>
      </c>
      <c r="N422" s="1">
        <f t="shared" si="93"/>
        <v>3608.4496511296866</v>
      </c>
      <c r="O422" s="1">
        <f t="shared" si="94"/>
        <v>3.4327777481895678</v>
      </c>
      <c r="P422" s="1">
        <f t="shared" si="95"/>
        <v>34.025247703149248</v>
      </c>
      <c r="Q422" s="1">
        <f t="shared" si="96"/>
        <v>1.340502253864859</v>
      </c>
      <c r="R422" s="1">
        <f t="shared" si="97"/>
        <v>3952.0111847418593</v>
      </c>
      <c r="S422" s="1">
        <f t="shared" si="98"/>
        <v>181.49518821494033</v>
      </c>
      <c r="T422" s="1">
        <f t="shared" si="99"/>
        <v>1427394.7406274131</v>
      </c>
      <c r="U422" s="1">
        <f t="shared" si="100"/>
        <v>1064.8393726916966</v>
      </c>
      <c r="V422" s="1">
        <f t="shared" si="101"/>
        <v>12443.352874569442</v>
      </c>
      <c r="W422" s="1">
        <f t="shared" si="102"/>
        <v>540.29898855902377</v>
      </c>
      <c r="X422" s="1"/>
      <c r="Y422" s="1"/>
      <c r="Z422" s="1"/>
      <c r="AA422" s="1"/>
      <c r="AB422" s="1"/>
      <c r="AC422" s="1"/>
      <c r="AD422" s="1"/>
      <c r="AE422" s="1"/>
    </row>
    <row r="423" spans="1:31" ht="22.05" customHeight="1">
      <c r="A423" s="1">
        <f>'01 Traffic inputs'!B373</f>
        <v>0.82468491690646062</v>
      </c>
      <c r="B423" s="1">
        <f>'01 Traffic inputs'!C373</f>
        <v>3.1067518123748003E-3</v>
      </c>
      <c r="C423" s="1">
        <f>IF('01 Traffic inputs'!$B$16&lt;=2/3,(4*A423*(1-A423))^$B$16,1-ABS(2*A423-1)^$B$17)</f>
        <v>0.15567843146715965</v>
      </c>
      <c r="D423" s="1">
        <f>IF('01 Traffic inputs'!$B$16&lt;=2/3,4*$B$16*(1-2*A423)*(4*A423*(1-A423))^($B$16-1),-2*$B$17*SIGN(2*A423-1)*ABS(2*A423-1)^($B$17-1))</f>
        <v>-2.3748175909129237</v>
      </c>
      <c r="E423" s="1">
        <f t="shared" si="90"/>
        <v>14.42365328090758</v>
      </c>
      <c r="F423" s="1">
        <f t="shared" si="91"/>
        <v>2.5135691260998787E-2</v>
      </c>
      <c r="G423" s="1">
        <f t="shared" si="92"/>
        <v>0.36254849572458514</v>
      </c>
      <c r="H423" s="1">
        <f>'01 Traffic inputs'!$B$8/F423</f>
        <v>41.375428636558425</v>
      </c>
      <c r="I423" s="1">
        <f>MATCH(H423,'02 Emission rates'!$A$7:$A$15,1)</f>
        <v>3</v>
      </c>
      <c r="J423" s="1">
        <f>INDEX('02 Emission rates'!$D$7:$D$15,I423)</f>
        <v>9725.5949630613486</v>
      </c>
      <c r="K423" s="1">
        <f>INDEX('02 Emission rates'!$E$7:$E$15,I423)</f>
        <v>9.2521191106683567</v>
      </c>
      <c r="L423" s="1">
        <f>INDEX('02 Emission rates'!$F$7:$F$15,I423)</f>
        <v>91.70580434039428</v>
      </c>
      <c r="M423" s="1">
        <f>INDEX('02 Emission rates'!$G$7:$G$15,I423)</f>
        <v>3.6129593672116069</v>
      </c>
      <c r="N423" s="1">
        <f t="shared" si="93"/>
        <v>3525.9998238844942</v>
      </c>
      <c r="O423" s="1">
        <f t="shared" si="94"/>
        <v>3.3543418658374993</v>
      </c>
      <c r="P423" s="1">
        <f t="shared" si="95"/>
        <v>33.24780141282308</v>
      </c>
      <c r="Q423" s="1">
        <f t="shared" si="96"/>
        <v>1.3098729836966172</v>
      </c>
      <c r="R423" s="1">
        <f t="shared" si="97"/>
        <v>3966.4348380227671</v>
      </c>
      <c r="S423" s="1">
        <f t="shared" si="98"/>
        <v>181.85773671066491</v>
      </c>
      <c r="T423" s="1">
        <f t="shared" si="99"/>
        <v>1430920.7404512977</v>
      </c>
      <c r="U423" s="1">
        <f t="shared" si="100"/>
        <v>1068.1937145575341</v>
      </c>
      <c r="V423" s="1">
        <f t="shared" si="101"/>
        <v>12476.600675982265</v>
      </c>
      <c r="W423" s="1">
        <f t="shared" si="102"/>
        <v>541.60886154272043</v>
      </c>
      <c r="X423" s="1"/>
      <c r="Y423" s="1"/>
      <c r="Z423" s="1"/>
      <c r="AA423" s="1"/>
      <c r="AB423" s="1"/>
      <c r="AC423" s="1"/>
      <c r="AD423" s="1"/>
      <c r="AE423" s="1"/>
    </row>
    <row r="424" spans="1:31" ht="22.05" customHeight="1">
      <c r="A424" s="1">
        <f>'01 Traffic inputs'!B374</f>
        <v>0.82778079646101999</v>
      </c>
      <c r="B424" s="1">
        <f>'01 Traffic inputs'!C374</f>
        <v>3.0849728506211049E-3</v>
      </c>
      <c r="C424" s="1">
        <f>IF('01 Traffic inputs'!$B$16&lt;=2/3,(4*A424*(1-A424))^$B$16,1-ABS(2*A424-1)^$B$17)</f>
        <v>0.14841409106433415</v>
      </c>
      <c r="D424" s="1">
        <f>IF('01 Traffic inputs'!$B$16&lt;=2/3,4*$B$16*(1-2*A424)*(4*A424*(1-A424))^($B$16-1),-2*$B$17*SIGN(2*A424-1)*ABS(2*A424-1)^($B$17-1))</f>
        <v>-2.3179750053590311</v>
      </c>
      <c r="E424" s="1">
        <f t="shared" si="90"/>
        <v>14.333363377580396</v>
      </c>
      <c r="F424" s="1">
        <f t="shared" si="91"/>
        <v>2.4719155800594597E-2</v>
      </c>
      <c r="G424" s="1">
        <f t="shared" si="92"/>
        <v>0.3543086424769466</v>
      </c>
      <c r="H424" s="1">
        <f>'01 Traffic inputs'!$B$8/F424</f>
        <v>42.072634210873993</v>
      </c>
      <c r="I424" s="1">
        <f>MATCH(H424,'02 Emission rates'!$A$7:$A$15,1)</f>
        <v>3</v>
      </c>
      <c r="J424" s="1">
        <f>INDEX('02 Emission rates'!$D$7:$D$15,I424)</f>
        <v>9725.5949630613486</v>
      </c>
      <c r="K424" s="1">
        <f>INDEX('02 Emission rates'!$E$7:$E$15,I424)</f>
        <v>9.2521191106683567</v>
      </c>
      <c r="L424" s="1">
        <f>INDEX('02 Emission rates'!$F$7:$F$15,I424)</f>
        <v>91.70580434039428</v>
      </c>
      <c r="M424" s="1">
        <f>INDEX('02 Emission rates'!$G$7:$G$15,I424)</f>
        <v>3.6129593672116069</v>
      </c>
      <c r="N424" s="1">
        <f t="shared" si="93"/>
        <v>3445.862348642896</v>
      </c>
      <c r="O424" s="1">
        <f t="shared" si="94"/>
        <v>3.2781057621359198</v>
      </c>
      <c r="P424" s="1">
        <f t="shared" si="95"/>
        <v>32.492159043101573</v>
      </c>
      <c r="Q424" s="1">
        <f t="shared" si="96"/>
        <v>1.2801027287211124</v>
      </c>
      <c r="R424" s="1">
        <f t="shared" si="97"/>
        <v>3980.7682014003476</v>
      </c>
      <c r="S424" s="1">
        <f t="shared" si="98"/>
        <v>182.21204535314186</v>
      </c>
      <c r="T424" s="1">
        <f t="shared" si="99"/>
        <v>1434366.6027999406</v>
      </c>
      <c r="U424" s="1">
        <f t="shared" si="100"/>
        <v>1071.4718203196701</v>
      </c>
      <c r="V424" s="1">
        <f t="shared" si="101"/>
        <v>12509.092835025367</v>
      </c>
      <c r="W424" s="1">
        <f t="shared" si="102"/>
        <v>542.88896427144152</v>
      </c>
      <c r="X424" s="1"/>
      <c r="Y424" s="1"/>
      <c r="Z424" s="1"/>
      <c r="AA424" s="1"/>
      <c r="AB424" s="1"/>
      <c r="AC424" s="1"/>
      <c r="AD424" s="1"/>
      <c r="AE424" s="1"/>
    </row>
    <row r="425" spans="1:31" ht="22.05" customHeight="1">
      <c r="A425" s="1">
        <f>'01 Traffic inputs'!B375</f>
        <v>0.83085479395846829</v>
      </c>
      <c r="B425" s="1">
        <f>'01 Traffic inputs'!C375</f>
        <v>3.0629879416221319E-3</v>
      </c>
      <c r="C425" s="1">
        <f>IF('01 Traffic inputs'!$B$16&lt;=2/3,(4*A425*(1-A425))^$B$16,1-ABS(2*A425-1)^$B$17)</f>
        <v>0.14137624664330664</v>
      </c>
      <c r="D425" s="1">
        <f>IF('01 Traffic inputs'!$B$16&lt;=2/3,4*$B$16*(1-2*A425)*(4*A425*(1-A425))^($B$16-1),-2*$B$17*SIGN(2*A425-1)*ABS(2*A425-1)^($B$17-1))</f>
        <v>-2.2608725718322229</v>
      </c>
      <c r="E425" s="1">
        <f t="shared" si="90"/>
        <v>14.242012192834318</v>
      </c>
      <c r="F425" s="1">
        <f t="shared" si="91"/>
        <v>2.4315607563093838E-2</v>
      </c>
      <c r="G425" s="1">
        <f t="shared" si="92"/>
        <v>0.3463031793897568</v>
      </c>
      <c r="H425" s="1">
        <f>'01 Traffic inputs'!$B$8/F425</f>
        <v>42.770882746871173</v>
      </c>
      <c r="I425" s="1">
        <f>MATCH(H425,'02 Emission rates'!$A$7:$A$15,1)</f>
        <v>3</v>
      </c>
      <c r="J425" s="1">
        <f>INDEX('02 Emission rates'!$D$7:$D$15,I425)</f>
        <v>9725.5949630613486</v>
      </c>
      <c r="K425" s="1">
        <f>INDEX('02 Emission rates'!$E$7:$E$15,I425)</f>
        <v>9.2521191106683567</v>
      </c>
      <c r="L425" s="1">
        <f>INDEX('02 Emission rates'!$F$7:$F$15,I425)</f>
        <v>91.70580434039428</v>
      </c>
      <c r="M425" s="1">
        <f>INDEX('02 Emission rates'!$G$7:$G$15,I425)</f>
        <v>3.6129593672116069</v>
      </c>
      <c r="N425" s="1">
        <f t="shared" si="93"/>
        <v>3368.0044571651492</v>
      </c>
      <c r="O425" s="1">
        <f t="shared" si="94"/>
        <v>3.2040382641171812</v>
      </c>
      <c r="P425" s="1">
        <f t="shared" si="95"/>
        <v>31.758011611573497</v>
      </c>
      <c r="Q425" s="1">
        <f t="shared" si="96"/>
        <v>1.2511793158713833</v>
      </c>
      <c r="R425" s="1">
        <f t="shared" si="97"/>
        <v>3995.010213593182</v>
      </c>
      <c r="S425" s="1">
        <f t="shared" si="98"/>
        <v>182.55834853253162</v>
      </c>
      <c r="T425" s="1">
        <f t="shared" si="99"/>
        <v>1437734.6072571059</v>
      </c>
      <c r="U425" s="1">
        <f t="shared" si="100"/>
        <v>1074.6758585837872</v>
      </c>
      <c r="V425" s="1">
        <f t="shared" si="101"/>
        <v>12540.85084663694</v>
      </c>
      <c r="W425" s="1">
        <f t="shared" si="102"/>
        <v>544.14014358731288</v>
      </c>
      <c r="X425" s="1"/>
      <c r="Y425" s="1"/>
      <c r="Z425" s="1"/>
      <c r="AA425" s="1"/>
      <c r="AB425" s="1"/>
      <c r="AC425" s="1"/>
      <c r="AD425" s="1"/>
      <c r="AE425" s="1"/>
    </row>
    <row r="426" spans="1:31" ht="22.05" customHeight="1">
      <c r="A426" s="1">
        <f>'01 Traffic inputs'!B376</f>
        <v>0.83390670418425517</v>
      </c>
      <c r="B426" s="1">
        <f>'01 Traffic inputs'!C376</f>
        <v>3.0407985530508178E-3</v>
      </c>
      <c r="C426" s="1">
        <f>IF('01 Traffic inputs'!$B$16&lt;=2/3,(4*A426*(1-A426))^$B$16,1-ABS(2*A426-1)^$B$17)</f>
        <v>0.13456354002046314</v>
      </c>
      <c r="D426" s="1">
        <f>IF('01 Traffic inputs'!$B$16&lt;=2/3,4*$B$16*(1-2*A426)*(4*A426*(1-A426))^($B$16-1),-2*$B$17*SIGN(2*A426-1)*ABS(2*A426-1)^($B$17-1))</f>
        <v>-2.203585995811808</v>
      </c>
      <c r="E426" s="1">
        <f t="shared" si="90"/>
        <v>14.14958911299307</v>
      </c>
      <c r="F426" s="1">
        <f t="shared" si="91"/>
        <v>2.3924968670588055E-2</v>
      </c>
      <c r="G426" s="1">
        <f t="shared" si="92"/>
        <v>0.338528476230053</v>
      </c>
      <c r="H426" s="1">
        <f>'01 Traffic inputs'!$B$8/F426</f>
        <v>43.469231425934325</v>
      </c>
      <c r="I426" s="1">
        <f>MATCH(H426,'02 Emission rates'!$A$7:$A$15,1)</f>
        <v>3</v>
      </c>
      <c r="J426" s="1">
        <f>INDEX('02 Emission rates'!$D$7:$D$15,I426)</f>
        <v>9725.5949630613486</v>
      </c>
      <c r="K426" s="1">
        <f>INDEX('02 Emission rates'!$E$7:$E$15,I426)</f>
        <v>9.2521191106683567</v>
      </c>
      <c r="L426" s="1">
        <f>INDEX('02 Emission rates'!$F$7:$F$15,I426)</f>
        <v>91.70580434039428</v>
      </c>
      <c r="M426" s="1">
        <f>INDEX('02 Emission rates'!$G$7:$G$15,I426)</f>
        <v>3.6129593672116069</v>
      </c>
      <c r="N426" s="1">
        <f t="shared" si="93"/>
        <v>3292.3908432758371</v>
      </c>
      <c r="O426" s="1">
        <f t="shared" si="94"/>
        <v>3.1321057844335121</v>
      </c>
      <c r="P426" s="1">
        <f t="shared" si="95"/>
        <v>31.045026204805055</v>
      </c>
      <c r="Q426" s="1">
        <f t="shared" si="96"/>
        <v>1.2230896292632418</v>
      </c>
      <c r="R426" s="1">
        <f t="shared" si="97"/>
        <v>4009.159802706175</v>
      </c>
      <c r="S426" s="1">
        <f t="shared" si="98"/>
        <v>182.89687700876169</v>
      </c>
      <c r="T426" s="1">
        <f t="shared" si="99"/>
        <v>1441026.9981003818</v>
      </c>
      <c r="U426" s="1">
        <f t="shared" si="100"/>
        <v>1077.8079643682206</v>
      </c>
      <c r="V426" s="1">
        <f t="shared" si="101"/>
        <v>12571.895872841746</v>
      </c>
      <c r="W426" s="1">
        <f t="shared" si="102"/>
        <v>545.36323321657608</v>
      </c>
      <c r="X426" s="1"/>
      <c r="Y426" s="1"/>
      <c r="Z426" s="1"/>
      <c r="AA426" s="1"/>
      <c r="AB426" s="1"/>
      <c r="AC426" s="1"/>
      <c r="AD426" s="1"/>
      <c r="AE426" s="1"/>
    </row>
    <row r="427" spans="1:31" ht="22.05" customHeight="1">
      <c r="A427" s="1">
        <f>'01 Traffic inputs'!B377</f>
        <v>0.83693632339833657</v>
      </c>
      <c r="B427" s="1">
        <f>'01 Traffic inputs'!C377</f>
        <v>3.018406166231038E-3</v>
      </c>
      <c r="C427" s="1">
        <f>IF('01 Traffic inputs'!$B$16&lt;=2/3,(4*A427*(1-A427))^$B$16,1-ABS(2*A427-1)^$B$17)</f>
        <v>0.12797433258174981</v>
      </c>
      <c r="D427" s="1">
        <f>IF('01 Traffic inputs'!$B$16&lt;=2/3,4*$B$16*(1-2*A427)*(4*A427*(1-A427))^($B$16-1),-2*$B$17*SIGN(2*A427-1)*ABS(2*A427-1)^($B$17-1))</f>
        <v>-2.1461896106879745</v>
      </c>
      <c r="E427" s="1">
        <f t="shared" si="90"/>
        <v>14.056084263128088</v>
      </c>
      <c r="F427" s="1">
        <f t="shared" si="91"/>
        <v>2.3547145165357542E-2</v>
      </c>
      <c r="G427" s="1">
        <f t="shared" si="92"/>
        <v>0.33098065660037479</v>
      </c>
      <c r="H427" s="1">
        <f>'01 Traffic inputs'!$B$8/F427</f>
        <v>44.166712894353914</v>
      </c>
      <c r="I427" s="1">
        <f>MATCH(H427,'02 Emission rates'!$A$7:$A$15,1)</f>
        <v>3</v>
      </c>
      <c r="J427" s="1">
        <f>INDEX('02 Emission rates'!$D$7:$D$15,I427)</f>
        <v>9725.5949630613486</v>
      </c>
      <c r="K427" s="1">
        <f>INDEX('02 Emission rates'!$E$7:$E$15,I427)</f>
        <v>9.2521191106683567</v>
      </c>
      <c r="L427" s="1">
        <f>INDEX('02 Emission rates'!$F$7:$F$15,I427)</f>
        <v>91.70580434039428</v>
      </c>
      <c r="M427" s="1">
        <f>INDEX('02 Emission rates'!$G$7:$G$15,I427)</f>
        <v>3.6129593672116069</v>
      </c>
      <c r="N427" s="1">
        <f t="shared" si="93"/>
        <v>3218.9838067033429</v>
      </c>
      <c r="O427" s="1">
        <f t="shared" si="94"/>
        <v>3.0622724581938883</v>
      </c>
      <c r="P427" s="1">
        <f t="shared" si="95"/>
        <v>30.352847334649198</v>
      </c>
      <c r="Q427" s="1">
        <f t="shared" si="96"/>
        <v>1.1958196636301723</v>
      </c>
      <c r="R427" s="1">
        <f t="shared" si="97"/>
        <v>4023.215886969303</v>
      </c>
      <c r="S427" s="1">
        <f t="shared" si="98"/>
        <v>183.22785766536208</v>
      </c>
      <c r="T427" s="1">
        <f t="shared" si="99"/>
        <v>1444245.981907085</v>
      </c>
      <c r="U427" s="1">
        <f t="shared" si="100"/>
        <v>1080.8702368264144</v>
      </c>
      <c r="V427" s="1">
        <f t="shared" si="101"/>
        <v>12602.248720176394</v>
      </c>
      <c r="W427" s="1">
        <f t="shared" si="102"/>
        <v>546.5590528802062</v>
      </c>
      <c r="X427" s="1"/>
      <c r="Y427" s="1"/>
      <c r="Z427" s="1"/>
      <c r="AA427" s="1"/>
      <c r="AB427" s="1"/>
      <c r="AC427" s="1"/>
      <c r="AD427" s="1"/>
      <c r="AE427" s="1"/>
    </row>
    <row r="428" spans="1:31" ht="22.05" customHeight="1">
      <c r="A428" s="1">
        <f>'01 Traffic inputs'!B378</f>
        <v>0.83994344934877674</v>
      </c>
      <c r="B428" s="1">
        <f>'01 Traffic inputs'!C378</f>
        <v>2.9958122760383233E-3</v>
      </c>
      <c r="C428" s="1">
        <f>IF('01 Traffic inputs'!$B$16&lt;=2/3,(4*A428*(1-A428))^$B$16,1-ABS(2*A428-1)^$B$17)</f>
        <v>0.1216067163554011</v>
      </c>
      <c r="D428" s="1">
        <f>IF('01 Traffic inputs'!$B$16&lt;=2/3,4*$B$16*(1-2*A428)*(4*A428*(1-A428))^($B$16-1),-2*$B$17*SIGN(2*A428-1)*ABS(2*A428-1)^($B$17-1))</f>
        <v>-2.0887562730355813</v>
      </c>
      <c r="E428" s="1">
        <f t="shared" si="90"/>
        <v>13.961488526287109</v>
      </c>
      <c r="F428" s="1">
        <f t="shared" si="91"/>
        <v>2.3182027644778839E-2</v>
      </c>
      <c r="G428" s="1">
        <f t="shared" si="92"/>
        <v>0.32365561297865031</v>
      </c>
      <c r="H428" s="1">
        <f>'01 Traffic inputs'!$B$8/F428</f>
        <v>44.862339737320347</v>
      </c>
      <c r="I428" s="1">
        <f>MATCH(H428,'02 Emission rates'!$A$7:$A$15,1)</f>
        <v>3</v>
      </c>
      <c r="J428" s="1">
        <f>INDEX('02 Emission rates'!$D$7:$D$15,I428)</f>
        <v>9725.5949630613486</v>
      </c>
      <c r="K428" s="1">
        <f>INDEX('02 Emission rates'!$E$7:$E$15,I428)</f>
        <v>9.2521191106683567</v>
      </c>
      <c r="L428" s="1">
        <f>INDEX('02 Emission rates'!$F$7:$F$15,I428)</f>
        <v>91.70580434039428</v>
      </c>
      <c r="M428" s="1">
        <f>INDEX('02 Emission rates'!$G$7:$G$15,I428)</f>
        <v>3.6129593672116069</v>
      </c>
      <c r="N428" s="1">
        <f t="shared" si="93"/>
        <v>3147.7433993516947</v>
      </c>
      <c r="O428" s="1">
        <f t="shared" si="94"/>
        <v>2.9945002821148519</v>
      </c>
      <c r="P428" s="1">
        <f t="shared" si="95"/>
        <v>29.681098317490481</v>
      </c>
      <c r="Q428" s="1">
        <f t="shared" si="96"/>
        <v>1.1693545786618291</v>
      </c>
      <c r="R428" s="1">
        <f t="shared" si="97"/>
        <v>4037.1773754955902</v>
      </c>
      <c r="S428" s="1">
        <f t="shared" si="98"/>
        <v>183.55151327834074</v>
      </c>
      <c r="T428" s="1">
        <f t="shared" si="99"/>
        <v>1447393.7253064367</v>
      </c>
      <c r="U428" s="1">
        <f t="shared" si="100"/>
        <v>1083.8647371085292</v>
      </c>
      <c r="V428" s="1">
        <f t="shared" si="101"/>
        <v>12631.929818493885</v>
      </c>
      <c r="W428" s="1">
        <f t="shared" si="102"/>
        <v>547.72840745886799</v>
      </c>
      <c r="X428" s="1"/>
      <c r="Y428" s="1"/>
      <c r="Z428" s="1"/>
      <c r="AA428" s="1"/>
      <c r="AB428" s="1"/>
      <c r="AC428" s="1"/>
      <c r="AD428" s="1"/>
      <c r="AE428" s="1"/>
    </row>
    <row r="429" spans="1:31" ht="22.05" customHeight="1">
      <c r="A429" s="1">
        <f>'01 Traffic inputs'!B379</f>
        <v>0.84292788128524943</v>
      </c>
      <c r="B429" s="1">
        <f>'01 Traffic inputs'!C379</f>
        <v>2.973018390799951E-3</v>
      </c>
      <c r="C429" s="1">
        <f>IF('01 Traffic inputs'!$B$16&lt;=2/3,(4*A429*(1-A429))^$B$16,1-ABS(2*A429-1)^$B$17)</f>
        <v>0.11545852538723439</v>
      </c>
      <c r="D429" s="1">
        <f>IF('01 Traffic inputs'!$B$16&lt;=2/3,4*$B$16*(1-2*A429)*(4*A429*(1-A429))^($B$16-1),-2*$B$17*SIGN(2*A429-1)*ABS(2*A429-1)^($B$17-1))</f>
        <v>-2.0313572621677167</v>
      </c>
      <c r="E429" s="1">
        <f t="shared" si="90"/>
        <v>13.865793560656716</v>
      </c>
      <c r="F429" s="1">
        <f t="shared" si="91"/>
        <v>2.282949191358126E-2</v>
      </c>
      <c r="G429" s="1">
        <f t="shared" si="92"/>
        <v>0.31654902196839957</v>
      </c>
      <c r="H429" s="1">
        <f>'01 Traffic inputs'!$B$8/F429</f>
        <v>45.555109326867004</v>
      </c>
      <c r="I429" s="1">
        <f>MATCH(H429,'02 Emission rates'!$A$7:$A$15,1)</f>
        <v>3</v>
      </c>
      <c r="J429" s="1">
        <f>INDEX('02 Emission rates'!$D$7:$D$15,I429)</f>
        <v>9725.5949630613486</v>
      </c>
      <c r="K429" s="1">
        <f>INDEX('02 Emission rates'!$E$7:$E$15,I429)</f>
        <v>9.2521191106683567</v>
      </c>
      <c r="L429" s="1">
        <f>INDEX('02 Emission rates'!$F$7:$F$15,I429)</f>
        <v>91.70580434039428</v>
      </c>
      <c r="M429" s="1">
        <f>INDEX('02 Emission rates'!$G$7:$G$15,I429)</f>
        <v>3.6129593672116069</v>
      </c>
      <c r="N429" s="1">
        <f t="shared" si="93"/>
        <v>3078.6275736178632</v>
      </c>
      <c r="O429" s="1">
        <f t="shared" si="94"/>
        <v>2.9287492556172072</v>
      </c>
      <c r="P429" s="1">
        <f t="shared" si="95"/>
        <v>29.029382672777221</v>
      </c>
      <c r="Q429" s="1">
        <f t="shared" si="96"/>
        <v>1.1436787541024021</v>
      </c>
      <c r="R429" s="1">
        <f t="shared" si="97"/>
        <v>4051.0431690562468</v>
      </c>
      <c r="S429" s="1">
        <f t="shared" si="98"/>
        <v>183.86806230030913</v>
      </c>
      <c r="T429" s="1">
        <f t="shared" si="99"/>
        <v>1450472.3528800546</v>
      </c>
      <c r="U429" s="1">
        <f t="shared" si="100"/>
        <v>1086.7934863641465</v>
      </c>
      <c r="V429" s="1">
        <f t="shared" si="101"/>
        <v>12660.959201166663</v>
      </c>
      <c r="W429" s="1">
        <f t="shared" si="102"/>
        <v>548.87208621297043</v>
      </c>
      <c r="X429" s="1"/>
      <c r="Y429" s="1"/>
      <c r="Z429" s="1"/>
      <c r="AA429" s="1"/>
      <c r="AB429" s="1"/>
      <c r="AC429" s="1"/>
      <c r="AD429" s="1"/>
      <c r="AE429" s="1"/>
    </row>
    <row r="430" spans="1:31" ht="22.05" customHeight="1">
      <c r="A430" s="1">
        <f>'01 Traffic inputs'!B380</f>
        <v>0.84588941997244038</v>
      </c>
      <c r="B430" s="1">
        <f>'01 Traffic inputs'!C380</f>
        <v>2.9500260321949955E-3</v>
      </c>
      <c r="C430" s="1">
        <f>IF('01 Traffic inputs'!$B$16&lt;=2/3,(4*A430*(1-A430))^$B$16,1-ABS(2*A430-1)^$B$17)</f>
        <v>0.10952734738497487</v>
      </c>
      <c r="D430" s="1">
        <f>IF('01 Traffic inputs'!$B$16&lt;=2/3,4*$B$16*(1-2*A430)*(4*A430*(1-A430))^($B$16-1),-2*$B$17*SIGN(2*A430-1)*ABS(2*A430-1)^($B$17-1))</f>
        <v>-1.9740621841306654</v>
      </c>
      <c r="E430" s="1">
        <f t="shared" si="90"/>
        <v>13.768991814649983</v>
      </c>
      <c r="F430" s="1">
        <f t="shared" si="91"/>
        <v>2.2489399651529574E-2</v>
      </c>
      <c r="G430" s="1">
        <f t="shared" si="92"/>
        <v>0.30965635971830285</v>
      </c>
      <c r="H430" s="1">
        <f>'01 Traffic inputs'!$B$8/F430</f>
        <v>46.244009004895197</v>
      </c>
      <c r="I430" s="1">
        <f>MATCH(H430,'02 Emission rates'!$A$7:$A$15,1)</f>
        <v>3</v>
      </c>
      <c r="J430" s="1">
        <f>INDEX('02 Emission rates'!$D$7:$D$15,I430)</f>
        <v>9725.5949630613486</v>
      </c>
      <c r="K430" s="1">
        <f>INDEX('02 Emission rates'!$E$7:$E$15,I430)</f>
        <v>9.2521191106683567</v>
      </c>
      <c r="L430" s="1">
        <f>INDEX('02 Emission rates'!$F$7:$F$15,I430)</f>
        <v>91.70580434039428</v>
      </c>
      <c r="M430" s="1">
        <f>INDEX('02 Emission rates'!$G$7:$G$15,I430)</f>
        <v>3.6129593672116069</v>
      </c>
      <c r="N430" s="1">
        <f t="shared" si="93"/>
        <v>3011.5923323562392</v>
      </c>
      <c r="O430" s="1">
        <f t="shared" si="94"/>
        <v>2.864977523489705</v>
      </c>
      <c r="P430" s="1">
        <f t="shared" si="95"/>
        <v>28.39728553708543</v>
      </c>
      <c r="Q430" s="1">
        <f t="shared" si="96"/>
        <v>1.1187758454608892</v>
      </c>
      <c r="R430" s="1">
        <f t="shared" si="97"/>
        <v>4064.8121608708966</v>
      </c>
      <c r="S430" s="1">
        <f t="shared" si="98"/>
        <v>184.17771866002744</v>
      </c>
      <c r="T430" s="1">
        <f t="shared" si="99"/>
        <v>1453483.9452124108</v>
      </c>
      <c r="U430" s="1">
        <f t="shared" si="100"/>
        <v>1089.6584638876361</v>
      </c>
      <c r="V430" s="1">
        <f t="shared" si="101"/>
        <v>12689.356486703748</v>
      </c>
      <c r="W430" s="1">
        <f t="shared" si="102"/>
        <v>549.99086205843128</v>
      </c>
      <c r="X430" s="1"/>
      <c r="Y430" s="1"/>
      <c r="Z430" s="1"/>
      <c r="AA430" s="1"/>
      <c r="AB430" s="1"/>
      <c r="AC430" s="1"/>
      <c r="AD430" s="1"/>
      <c r="AE430" s="1"/>
    </row>
    <row r="431" spans="1:31" ht="22.05" customHeight="1">
      <c r="A431" s="1">
        <f>'01 Traffic inputs'!B381</f>
        <v>0.84882786770334717</v>
      </c>
      <c r="B431" s="1">
        <f>'01 Traffic inputs'!C381</f>
        <v>2.9268367351518933E-3</v>
      </c>
      <c r="C431" s="1">
        <f>IF('01 Traffic inputs'!$B$16&lt;=2/3,(4*A431*(1-A431))^$B$16,1-ABS(2*A431-1)^$B$17)</f>
        <v>0.10381053559795204</v>
      </c>
      <c r="D431" s="1">
        <f>IF('01 Traffic inputs'!$B$16&lt;=2/3,4*$B$16*(1-2*A431)*(4*A431*(1-A431))^($B$16-1),-2*$B$17*SIGN(2*A431-1)*ABS(2*A431-1)^($B$17-1))</f>
        <v>-1.9169388802913638</v>
      </c>
      <c r="E431" s="1">
        <f t="shared" si="90"/>
        <v>13.671076539902138</v>
      </c>
      <c r="F431" s="1">
        <f t="shared" si="91"/>
        <v>2.216159909460283E-2</v>
      </c>
      <c r="G431" s="1">
        <f t="shared" si="92"/>
        <v>0.30297291746894123</v>
      </c>
      <c r="H431" s="1">
        <f>'01 Traffic inputs'!$B$8/F431</f>
        <v>46.928021554784777</v>
      </c>
      <c r="I431" s="1">
        <f>MATCH(H431,'02 Emission rates'!$A$7:$A$15,1)</f>
        <v>3</v>
      </c>
      <c r="J431" s="1">
        <f>INDEX('02 Emission rates'!$D$7:$D$15,I431)</f>
        <v>9725.5949630613486</v>
      </c>
      <c r="K431" s="1">
        <f>INDEX('02 Emission rates'!$E$7:$E$15,I431)</f>
        <v>9.2521191106683567</v>
      </c>
      <c r="L431" s="1">
        <f>INDEX('02 Emission rates'!$F$7:$F$15,I431)</f>
        <v>91.70580434039428</v>
      </c>
      <c r="M431" s="1">
        <f>INDEX('02 Emission rates'!$G$7:$G$15,I431)</f>
        <v>3.6129593672116069</v>
      </c>
      <c r="N431" s="1">
        <f t="shared" si="93"/>
        <v>2946.5918800799363</v>
      </c>
      <c r="O431" s="1">
        <f t="shared" si="94"/>
        <v>2.8031415197293379</v>
      </c>
      <c r="P431" s="1">
        <f t="shared" si="95"/>
        <v>27.784375089845149</v>
      </c>
      <c r="Q431" s="1">
        <f t="shared" si="96"/>
        <v>1.0946288401808404</v>
      </c>
      <c r="R431" s="1">
        <f t="shared" si="97"/>
        <v>4078.4832374107987</v>
      </c>
      <c r="S431" s="1">
        <f t="shared" si="98"/>
        <v>184.48069157749637</v>
      </c>
      <c r="T431" s="1">
        <f t="shared" si="99"/>
        <v>1456430.5370924906</v>
      </c>
      <c r="U431" s="1">
        <f t="shared" si="100"/>
        <v>1092.4616054073654</v>
      </c>
      <c r="V431" s="1">
        <f t="shared" si="101"/>
        <v>12717.140861793592</v>
      </c>
      <c r="W431" s="1">
        <f t="shared" si="102"/>
        <v>551.08549089861208</v>
      </c>
      <c r="X431" s="1"/>
      <c r="Y431" s="1"/>
      <c r="Z431" s="1"/>
      <c r="AA431" s="1"/>
      <c r="AB431" s="1"/>
      <c r="AC431" s="1"/>
      <c r="AD431" s="1"/>
      <c r="AE431" s="1"/>
    </row>
    <row r="432" spans="1:31" ht="22.05" customHeight="1">
      <c r="A432" s="1">
        <f>'01 Traffic inputs'!B382</f>
        <v>0.85174302831247828</v>
      </c>
      <c r="B432" s="1">
        <f>'01 Traffic inputs'!C382</f>
        <v>2.9034520477464235E-3</v>
      </c>
      <c r="C432" s="1">
        <f>IF('01 Traffic inputs'!$B$16&lt;=2/3,(4*A432*(1-A432))^$B$16,1-ABS(2*A432-1)^$B$17)</f>
        <v>9.8305220898445886E-2</v>
      </c>
      <c r="D432" s="1">
        <f>IF('01 Traffic inputs'!$B$16&lt;=2/3,4*$B$16*(1-2*A432)*(4*A432*(1-A432))^($B$16-1),-2*$B$17*SIGN(2*A432-1)*ABS(2*A432-1)^($B$17-1))</f>
        <v>-1.8600533406573261</v>
      </c>
      <c r="E432" s="1">
        <f t="shared" si="90"/>
        <v>13.572041802187904</v>
      </c>
      <c r="F432" s="1">
        <f t="shared" si="91"/>
        <v>2.1845925727735714E-2</v>
      </c>
      <c r="G432" s="1">
        <f t="shared" si="92"/>
        <v>0.29649381718432133</v>
      </c>
      <c r="H432" s="1">
        <f>'01 Traffic inputs'!$B$8/F432</f>
        <v>47.60613090795372</v>
      </c>
      <c r="I432" s="1">
        <f>MATCH(H432,'02 Emission rates'!$A$7:$A$15,1)</f>
        <v>4</v>
      </c>
      <c r="J432" s="1">
        <f>INDEX('02 Emission rates'!$D$7:$D$15,I432)</f>
        <v>12537.329389053953</v>
      </c>
      <c r="K432" s="1">
        <f>INDEX('02 Emission rates'!$E$7:$E$15,I432)</f>
        <v>15.864045153632283</v>
      </c>
      <c r="L432" s="1">
        <f>INDEX('02 Emission rates'!$F$7:$F$15,I432)</f>
        <v>136.02153223377903</v>
      </c>
      <c r="M432" s="1">
        <f>INDEX('02 Emission rates'!$G$7:$G$15,I432)</f>
        <v>4.8429827864262895</v>
      </c>
      <c r="N432" s="1">
        <f t="shared" si="93"/>
        <v>3717.2406478577818</v>
      </c>
      <c r="O432" s="1">
        <f t="shared" si="94"/>
        <v>4.7035913035848687</v>
      </c>
      <c r="P432" s="1">
        <f t="shared" si="95"/>
        <v>40.329543311253353</v>
      </c>
      <c r="Q432" s="1">
        <f t="shared" si="96"/>
        <v>1.4359144529054915</v>
      </c>
      <c r="R432" s="1">
        <f t="shared" si="97"/>
        <v>4092.0552792129865</v>
      </c>
      <c r="S432" s="1">
        <f t="shared" si="98"/>
        <v>184.77718539468069</v>
      </c>
      <c r="T432" s="1">
        <f t="shared" si="99"/>
        <v>1460147.7777403484</v>
      </c>
      <c r="U432" s="1">
        <f t="shared" si="100"/>
        <v>1097.1651967109503</v>
      </c>
      <c r="V432" s="1">
        <f t="shared" si="101"/>
        <v>12757.470405104845</v>
      </c>
      <c r="W432" s="1">
        <f t="shared" si="102"/>
        <v>552.52140535151761</v>
      </c>
      <c r="X432" s="1"/>
      <c r="Y432" s="1"/>
      <c r="Z432" s="1"/>
      <c r="AA432" s="1"/>
      <c r="AB432" s="1"/>
      <c r="AC432" s="1"/>
      <c r="AD432" s="1"/>
      <c r="AE432" s="1"/>
    </row>
    <row r="433" spans="1:31" ht="22.05" customHeight="1">
      <c r="A433" s="1">
        <f>'01 Traffic inputs'!B383</f>
        <v>0.85463470718894874</v>
      </c>
      <c r="B433" s="1">
        <f>'01 Traffic inputs'!C383</f>
        <v>2.8798735310984406E-3</v>
      </c>
      <c r="C433" s="1">
        <f>IF('01 Traffic inputs'!$B$16&lt;=2/3,(4*A433*(1-A433))^$B$16,1-ABS(2*A433-1)^$B$17)</f>
        <v>9.3008324031027143E-2</v>
      </c>
      <c r="D433" s="1">
        <f>IF('01 Traffic inputs'!$B$16&lt;=2/3,4*$B$16*(1-2*A433)*(4*A433*(1-A433))^($B$16-1),-2*$B$17*SIGN(2*A433-1)*ABS(2*A433-1)^($B$17-1))</f>
        <v>-1.8034696220579105</v>
      </c>
      <c r="E433" s="1">
        <f t="shared" si="90"/>
        <v>13.471882490258725</v>
      </c>
      <c r="F433" s="1">
        <f t="shared" si="91"/>
        <v>2.1542202987192664E-2</v>
      </c>
      <c r="G433" s="1">
        <f t="shared" si="92"/>
        <v>0.29021402722476003</v>
      </c>
      <c r="H433" s="1">
        <f>'01 Traffic inputs'!$B$8/F433</f>
        <v>48.277328025287126</v>
      </c>
      <c r="I433" s="1">
        <f>MATCH(H433,'02 Emission rates'!$A$7:$A$15,1)</f>
        <v>4</v>
      </c>
      <c r="J433" s="1">
        <f>INDEX('02 Emission rates'!$D$7:$D$15,I433)</f>
        <v>12537.329389053953</v>
      </c>
      <c r="K433" s="1">
        <f>INDEX('02 Emission rates'!$E$7:$E$15,I433)</f>
        <v>15.864045153632283</v>
      </c>
      <c r="L433" s="1">
        <f>INDEX('02 Emission rates'!$F$7:$F$15,I433)</f>
        <v>136.02153223377903</v>
      </c>
      <c r="M433" s="1">
        <f>INDEX('02 Emission rates'!$G$7:$G$15,I433)</f>
        <v>4.8429827864262895</v>
      </c>
      <c r="N433" s="1">
        <f t="shared" si="93"/>
        <v>3638.508852640688</v>
      </c>
      <c r="O433" s="1">
        <f t="shared" si="94"/>
        <v>4.6039684321110617</v>
      </c>
      <c r="P433" s="1">
        <f t="shared" si="95"/>
        <v>39.475356658847524</v>
      </c>
      <c r="Q433" s="1">
        <f t="shared" si="96"/>
        <v>1.4055015382289633</v>
      </c>
      <c r="R433" s="1">
        <f t="shared" si="97"/>
        <v>4105.5271617032449</v>
      </c>
      <c r="S433" s="1">
        <f t="shared" si="98"/>
        <v>185.06739942190544</v>
      </c>
      <c r="T433" s="1">
        <f t="shared" si="99"/>
        <v>1463786.286592989</v>
      </c>
      <c r="U433" s="1">
        <f t="shared" si="100"/>
        <v>1101.7691651430614</v>
      </c>
      <c r="V433" s="1">
        <f t="shared" si="101"/>
        <v>12796.945761763693</v>
      </c>
      <c r="W433" s="1">
        <f t="shared" si="102"/>
        <v>553.92690688974653</v>
      </c>
      <c r="X433" s="1"/>
      <c r="Y433" s="1"/>
      <c r="Z433" s="1"/>
      <c r="AA433" s="1"/>
      <c r="AB433" s="1"/>
      <c r="AC433" s="1"/>
      <c r="AD433" s="1"/>
      <c r="AE433" s="1"/>
    </row>
    <row r="434" spans="1:31" ht="22.05" customHeight="1">
      <c r="A434" s="1">
        <f>'01 Traffic inputs'!B384</f>
        <v>0.85750271128947153</v>
      </c>
      <c r="B434" s="1">
        <f>'01 Traffic inputs'!C384</f>
        <v>2.8561027592673119E-3</v>
      </c>
      <c r="C434" s="1">
        <f>IF('01 Traffic inputs'!$B$16&lt;=2/3,(4*A434*(1-A434))^$B$16,1-ABS(2*A434-1)^$B$17)</f>
        <v>8.7916567996367587E-2</v>
      </c>
      <c r="D434" s="1">
        <f>IF('01 Traffic inputs'!$B$16&lt;=2/3,4*$B$16*(1-2*A434)*(4*A434*(1-A434))^($B$16-1),-2*$B$17*SIGN(2*A434-1)*ABS(2*A434-1)^($B$17-1))</f>
        <v>-1.7472497713042798</v>
      </c>
      <c r="E434" s="1">
        <f t="shared" si="90"/>
        <v>13.370594322611336</v>
      </c>
      <c r="F434" s="1">
        <f t="shared" si="91"/>
        <v>2.1250242970652443E-2</v>
      </c>
      <c r="G434" s="1">
        <f t="shared" si="92"/>
        <v>0.284128378017517</v>
      </c>
      <c r="H434" s="1">
        <f>'01 Traffic inputs'!$B$8/F434</f>
        <v>48.940616887830792</v>
      </c>
      <c r="I434" s="1">
        <f>MATCH(H434,'02 Emission rates'!$A$7:$A$15,1)</f>
        <v>4</v>
      </c>
      <c r="J434" s="1">
        <f>INDEX('02 Emission rates'!$D$7:$D$15,I434)</f>
        <v>12537.329389053953</v>
      </c>
      <c r="K434" s="1">
        <f>INDEX('02 Emission rates'!$E$7:$E$15,I434)</f>
        <v>15.864045153632283</v>
      </c>
      <c r="L434" s="1">
        <f>INDEX('02 Emission rates'!$F$7:$F$15,I434)</f>
        <v>136.02153223377903</v>
      </c>
      <c r="M434" s="1">
        <f>INDEX('02 Emission rates'!$G$7:$G$15,I434)</f>
        <v>4.8429827864262895</v>
      </c>
      <c r="N434" s="1">
        <f t="shared" si="93"/>
        <v>3562.2110639832472</v>
      </c>
      <c r="O434" s="1">
        <f t="shared" si="94"/>
        <v>4.5074254182981921</v>
      </c>
      <c r="P434" s="1">
        <f t="shared" si="95"/>
        <v>38.647577329041042</v>
      </c>
      <c r="Q434" s="1">
        <f t="shared" si="96"/>
        <v>1.3760288438740567</v>
      </c>
      <c r="R434" s="1">
        <f t="shared" si="97"/>
        <v>4118.8977560258563</v>
      </c>
      <c r="S434" s="1">
        <f t="shared" si="98"/>
        <v>185.35152779992296</v>
      </c>
      <c r="T434" s="1">
        <f t="shared" si="99"/>
        <v>1467348.4976569721</v>
      </c>
      <c r="U434" s="1">
        <f t="shared" si="100"/>
        <v>1106.2765905613596</v>
      </c>
      <c r="V434" s="1">
        <f t="shared" si="101"/>
        <v>12835.593339092733</v>
      </c>
      <c r="W434" s="1">
        <f t="shared" si="102"/>
        <v>555.30293573362064</v>
      </c>
      <c r="X434" s="1"/>
      <c r="Y434" s="1"/>
      <c r="Z434" s="1"/>
      <c r="AA434" s="1"/>
      <c r="AB434" s="1"/>
      <c r="AC434" s="1"/>
      <c r="AD434" s="1"/>
      <c r="AE434" s="1"/>
    </row>
    <row r="435" spans="1:31" ht="22.05" customHeight="1">
      <c r="A435" s="1">
        <f>'01 Traffic inputs'!B385</f>
        <v>0.8603468491512456</v>
      </c>
      <c r="B435" s="1">
        <f>'01 Traffic inputs'!C385</f>
        <v>2.8321413191470619E-3</v>
      </c>
      <c r="C435" s="1">
        <f>IF('01 Traffic inputs'!$B$16&lt;=2/3,(4*A435*(1-A435))^$B$16,1-ABS(2*A435-1)^$B$17)</f>
        <v>8.302649053623401E-2</v>
      </c>
      <c r="D435" s="1">
        <f>IF('01 Traffic inputs'!$B$16&lt;=2/3,4*$B$16*(1-2*A435)*(4*A435*(1-A435))^($B$16-1),-2*$B$17*SIGN(2*A435-1)*ABS(2*A435-1)^($B$17-1))</f>
        <v>-1.691453753433779</v>
      </c>
      <c r="E435" s="1">
        <f t="shared" si="90"/>
        <v>13.268173852209637</v>
      </c>
      <c r="F435" s="1">
        <f t="shared" si="91"/>
        <v>2.0969847153094575E-2</v>
      </c>
      <c r="G435" s="1">
        <f t="shared" si="92"/>
        <v>0.27823157768152212</v>
      </c>
      <c r="H435" s="1">
        <f>'01 Traffic inputs'!$B$8/F435</f>
        <v>49.595020526725442</v>
      </c>
      <c r="I435" s="1">
        <f>MATCH(H435,'02 Emission rates'!$A$7:$A$15,1)</f>
        <v>4</v>
      </c>
      <c r="J435" s="1">
        <f>INDEX('02 Emission rates'!$D$7:$D$15,I435)</f>
        <v>12537.329389053953</v>
      </c>
      <c r="K435" s="1">
        <f>INDEX('02 Emission rates'!$E$7:$E$15,I435)</f>
        <v>15.864045153632283</v>
      </c>
      <c r="L435" s="1">
        <f>INDEX('02 Emission rates'!$F$7:$F$15,I435)</f>
        <v>136.02153223377903</v>
      </c>
      <c r="M435" s="1">
        <f>INDEX('02 Emission rates'!$G$7:$G$15,I435)</f>
        <v>4.8429827864262895</v>
      </c>
      <c r="N435" s="1">
        <f t="shared" si="93"/>
        <v>3488.2809358293953</v>
      </c>
      <c r="O435" s="1">
        <f t="shared" si="94"/>
        <v>4.4138783115060152</v>
      </c>
      <c r="P435" s="1">
        <f t="shared" si="95"/>
        <v>37.845485512062353</v>
      </c>
      <c r="Q435" s="1">
        <f t="shared" si="96"/>
        <v>1.3474707413518408</v>
      </c>
      <c r="R435" s="1">
        <f t="shared" si="97"/>
        <v>4132.165929878066</v>
      </c>
      <c r="S435" s="1">
        <f t="shared" si="98"/>
        <v>185.62975937760447</v>
      </c>
      <c r="T435" s="1">
        <f t="shared" si="99"/>
        <v>1470836.7785928017</v>
      </c>
      <c r="U435" s="1">
        <f t="shared" si="100"/>
        <v>1110.6904688728657</v>
      </c>
      <c r="V435" s="1">
        <f t="shared" si="101"/>
        <v>12873.438824604795</v>
      </c>
      <c r="W435" s="1">
        <f t="shared" si="102"/>
        <v>556.65040647497244</v>
      </c>
      <c r="X435" s="1"/>
      <c r="Y435" s="1"/>
      <c r="Z435" s="1"/>
      <c r="AA435" s="1"/>
      <c r="AB435" s="1"/>
      <c r="AC435" s="1"/>
      <c r="AD435" s="1"/>
      <c r="AE435" s="1"/>
    </row>
    <row r="436" spans="1:31" ht="22.05" customHeight="1">
      <c r="A436" s="1">
        <f>'01 Traffic inputs'!B386</f>
        <v>0.86316693090473673</v>
      </c>
      <c r="B436" s="1">
        <f>'01 Traffic inputs'!C386</f>
        <v>2.8079908103604708E-3</v>
      </c>
      <c r="C436" s="1">
        <f>IF('01 Traffic inputs'!$B$16&lt;=2/3,(4*A436*(1-A436))^$B$16,1-ABS(2*A436-1)^$B$17)</f>
        <v>7.8334456686710532E-2</v>
      </c>
      <c r="D436" s="1">
        <f>IF('01 Traffic inputs'!$B$16&lt;=2/3,4*$B$16*(1-2*A436)*(4*A436*(1-A436))^($B$16-1),-2*$B$17*SIGN(2*A436-1)*ABS(2*A436-1)^($B$17-1))</f>
        <v>-1.6361393851326782</v>
      </c>
      <c r="E436" s="1">
        <f t="shared" si="90"/>
        <v>13.16461846917918</v>
      </c>
      <c r="F436" s="1">
        <f t="shared" si="91"/>
        <v>2.0700807106597975E-2</v>
      </c>
      <c r="G436" s="1">
        <f t="shared" si="92"/>
        <v>0.27251822756243532</v>
      </c>
      <c r="H436" s="1">
        <f>'01 Traffic inputs'!$B$8/F436</f>
        <v>50.239587019220181</v>
      </c>
      <c r="I436" s="1">
        <f>MATCH(H436,'02 Emission rates'!$A$7:$A$15,1)</f>
        <v>5</v>
      </c>
      <c r="J436" s="1">
        <f>INDEX('02 Emission rates'!$D$7:$D$15,I436)</f>
        <v>15845.527995946721</v>
      </c>
      <c r="K436" s="1">
        <f>INDEX('02 Emission rates'!$E$7:$E$15,I436)</f>
        <v>20.885654518874212</v>
      </c>
      <c r="L436" s="1">
        <f>INDEX('02 Emission rates'!$F$7:$F$15,I436)</f>
        <v>98.655405882152721</v>
      </c>
      <c r="M436" s="1">
        <f>INDEX('02 Emission rates'!$G$7:$G$15,I436)</f>
        <v>4.4998305826136002</v>
      </c>
      <c r="N436" s="1">
        <f t="shared" si="93"/>
        <v>4318.1952042463481</v>
      </c>
      <c r="O436" s="1">
        <f t="shared" si="94"/>
        <v>5.6917215509649681</v>
      </c>
      <c r="P436" s="1">
        <f t="shared" si="95"/>
        <v>26.885396350456915</v>
      </c>
      <c r="Q436" s="1">
        <f t="shared" si="96"/>
        <v>1.226285854705099</v>
      </c>
      <c r="R436" s="1">
        <f t="shared" si="97"/>
        <v>4145.330548347245</v>
      </c>
      <c r="S436" s="1">
        <f t="shared" si="98"/>
        <v>185.90227760516692</v>
      </c>
      <c r="T436" s="1">
        <f t="shared" si="99"/>
        <v>1475154.973797048</v>
      </c>
      <c r="U436" s="1">
        <f t="shared" si="100"/>
        <v>1116.3821904238307</v>
      </c>
      <c r="V436" s="1">
        <f t="shared" si="101"/>
        <v>12900.324220955252</v>
      </c>
      <c r="W436" s="1">
        <f t="shared" si="102"/>
        <v>557.87669232967755</v>
      </c>
      <c r="X436" s="1"/>
      <c r="Y436" s="1"/>
      <c r="Z436" s="1"/>
      <c r="AA436" s="1"/>
      <c r="AB436" s="1"/>
      <c r="AC436" s="1"/>
      <c r="AD436" s="1"/>
      <c r="AE436" s="1"/>
    </row>
    <row r="437" spans="1:31" ht="22.05" customHeight="1">
      <c r="A437" s="1">
        <f>'01 Traffic inputs'!B387</f>
        <v>0.86596276828635332</v>
      </c>
      <c r="B437" s="1">
        <f>'01 Traffic inputs'!C387</f>
        <v>2.7836528451519577E-3</v>
      </c>
      <c r="C437" s="1">
        <f>IF('01 Traffic inputs'!$B$16&lt;=2/3,(4*A437*(1-A437))^$B$16,1-ABS(2*A437-1)^$B$17)</f>
        <v>7.3836671367096068E-2</v>
      </c>
      <c r="D437" s="1">
        <f>IF('01 Traffic inputs'!$B$16&lt;=2/3,4*$B$16*(1-2*A437)*(4*A437*(1-A437))^($B$16-1),-2*$B$17*SIGN(2*A437-1)*ABS(2*A437-1)^($B$17-1))</f>
        <v>-1.5813622734191746</v>
      </c>
      <c r="E437" s="1">
        <f t="shared" si="90"/>
        <v>13.059926401501665</v>
      </c>
      <c r="F437" s="1">
        <f t="shared" si="91"/>
        <v>2.0442905222185163E-2</v>
      </c>
      <c r="G437" s="1">
        <f t="shared" si="92"/>
        <v>0.26698283763461228</v>
      </c>
      <c r="H437" s="1">
        <f>'01 Traffic inputs'!$B$8/F437</f>
        <v>50.873395375887469</v>
      </c>
      <c r="I437" s="1">
        <f>MATCH(H437,'02 Emission rates'!$A$7:$A$15,1)</f>
        <v>5</v>
      </c>
      <c r="J437" s="1">
        <f>INDEX('02 Emission rates'!$D$7:$D$15,I437)</f>
        <v>15845.527995946721</v>
      </c>
      <c r="K437" s="1">
        <f>INDEX('02 Emission rates'!$E$7:$E$15,I437)</f>
        <v>20.885654518874212</v>
      </c>
      <c r="L437" s="1">
        <f>INDEX('02 Emission rates'!$F$7:$F$15,I437)</f>
        <v>98.655405882152721</v>
      </c>
      <c r="M437" s="1">
        <f>INDEX('02 Emission rates'!$G$7:$G$15,I437)</f>
        <v>4.4998305826136002</v>
      </c>
      <c r="N437" s="1">
        <f t="shared" si="93"/>
        <v>4230.4840281765464</v>
      </c>
      <c r="O437" s="1">
        <f t="shared" si="94"/>
        <v>5.5761113093052002</v>
      </c>
      <c r="P437" s="1">
        <f t="shared" si="95"/>
        <v>26.339300210411555</v>
      </c>
      <c r="Q437" s="1">
        <f t="shared" si="96"/>
        <v>1.2013775378211897</v>
      </c>
      <c r="R437" s="1">
        <f t="shared" si="97"/>
        <v>4158.3904747487468</v>
      </c>
      <c r="S437" s="1">
        <f t="shared" si="98"/>
        <v>186.16926044280152</v>
      </c>
      <c r="T437" s="1">
        <f t="shared" si="99"/>
        <v>1479385.4578252246</v>
      </c>
      <c r="U437" s="1">
        <f t="shared" si="100"/>
        <v>1121.9583017331358</v>
      </c>
      <c r="V437" s="1">
        <f t="shared" si="101"/>
        <v>12926.663521165663</v>
      </c>
      <c r="W437" s="1">
        <f t="shared" si="102"/>
        <v>559.0780698674987</v>
      </c>
      <c r="X437" s="1"/>
      <c r="Y437" s="1"/>
      <c r="Z437" s="1"/>
      <c r="AA437" s="1"/>
      <c r="AB437" s="1"/>
      <c r="AC437" s="1"/>
      <c r="AD437" s="1"/>
      <c r="AE437" s="1"/>
    </row>
    <row r="438" spans="1:31" ht="22.05" customHeight="1">
      <c r="A438" s="1">
        <f>'01 Traffic inputs'!B388</f>
        <v>0.86873417465101488</v>
      </c>
      <c r="B438" s="1">
        <f>'01 Traffic inputs'!C388</f>
        <v>2.7591290482804356E-3</v>
      </c>
      <c r="C438" s="1">
        <f>IF('01 Traffic inputs'!$B$16&lt;=2/3,(4*A438*(1-A438))^$B$16,1-ABS(2*A438-1)^$B$17)</f>
        <v>6.9529191972433471E-2</v>
      </c>
      <c r="D438" s="1">
        <f>IF('01 Traffic inputs'!$B$16&lt;=2/3,4*$B$16*(1-2*A438)*(4*A438*(1-A438))^($B$16-1),-2*$B$17*SIGN(2*A438-1)*ABS(2*A438-1)^($B$17-1))</f>
        <v>-1.5271757596565363</v>
      </c>
      <c r="E438" s="1">
        <f t="shared" si="90"/>
        <v>12.954096713748481</v>
      </c>
      <c r="F438" s="1">
        <f t="shared" si="91"/>
        <v>2.019591543187475E-2</v>
      </c>
      <c r="G438" s="1">
        <f t="shared" si="92"/>
        <v>0.26161984172719094</v>
      </c>
      <c r="H438" s="1">
        <f>'01 Traffic inputs'!$B$8/F438</f>
        <v>51.495561243963834</v>
      </c>
      <c r="I438" s="1">
        <f>MATCH(H438,'02 Emission rates'!$A$7:$A$15,1)</f>
        <v>5</v>
      </c>
      <c r="J438" s="1">
        <f>INDEX('02 Emission rates'!$D$7:$D$15,I438)</f>
        <v>15845.527995946721</v>
      </c>
      <c r="K438" s="1">
        <f>INDEX('02 Emission rates'!$E$7:$E$15,I438)</f>
        <v>20.885654518874212</v>
      </c>
      <c r="L438" s="1">
        <f>INDEX('02 Emission rates'!$F$7:$F$15,I438)</f>
        <v>98.655405882152721</v>
      </c>
      <c r="M438" s="1">
        <f>INDEX('02 Emission rates'!$G$7:$G$15,I438)</f>
        <v>4.4998305826136002</v>
      </c>
      <c r="N438" s="1">
        <f t="shared" si="93"/>
        <v>4145.5045263833545</v>
      </c>
      <c r="O438" s="1">
        <f t="shared" si="94"/>
        <v>5.4641016295966613</v>
      </c>
      <c r="P438" s="1">
        <f t="shared" si="95"/>
        <v>25.810211672420575</v>
      </c>
      <c r="Q438" s="1">
        <f t="shared" si="96"/>
        <v>1.1772449648225436</v>
      </c>
      <c r="R438" s="1">
        <f t="shared" si="97"/>
        <v>4171.344571462495</v>
      </c>
      <c r="S438" s="1">
        <f t="shared" si="98"/>
        <v>186.43088028452871</v>
      </c>
      <c r="T438" s="1">
        <f t="shared" si="99"/>
        <v>1483530.9623516079</v>
      </c>
      <c r="U438" s="1">
        <f t="shared" si="100"/>
        <v>1127.4224033627324</v>
      </c>
      <c r="V438" s="1">
        <f t="shared" si="101"/>
        <v>12952.473732838083</v>
      </c>
      <c r="W438" s="1">
        <f t="shared" si="102"/>
        <v>560.25531483232123</v>
      </c>
      <c r="X438" s="1"/>
      <c r="Y438" s="1"/>
      <c r="Z438" s="1"/>
      <c r="AA438" s="1"/>
      <c r="AB438" s="1"/>
      <c r="AC438" s="1"/>
      <c r="AD438" s="1"/>
      <c r="AE438" s="1"/>
    </row>
    <row r="439" spans="1:31" ht="22.05" customHeight="1">
      <c r="A439" s="1">
        <f>'01 Traffic inputs'!B389</f>
        <v>0.87148096498461136</v>
      </c>
      <c r="B439" s="1">
        <f>'01 Traffic inputs'!C389</f>
        <v>2.7344210569105491E-3</v>
      </c>
      <c r="C439" s="1">
        <f>IF('01 Traffic inputs'!$B$16&lt;=2/3,(4*A439*(1-A439))^$B$16,1-ABS(2*A439-1)^$B$17)</f>
        <v>6.5407940938207426E-2</v>
      </c>
      <c r="D439" s="1">
        <f>IF('01 Traffic inputs'!$B$16&lt;=2/3,4*$B$16*(1-2*A439)*(4*A439*(1-A439))^($B$16-1),-2*$B$17*SIGN(2*A439-1)*ABS(2*A439-1)^($B$17-1))</f>
        <v>-1.4736308689540938</v>
      </c>
      <c r="E439" s="1">
        <f t="shared" si="90"/>
        <v>12.847129303884351</v>
      </c>
      <c r="F439" s="1">
        <f t="shared" si="91"/>
        <v>1.9959603929138054E-2</v>
      </c>
      <c r="G439" s="1">
        <f t="shared" si="92"/>
        <v>0.25642361253195473</v>
      </c>
      <c r="H439" s="1">
        <f>'01 Traffic inputs'!$B$8/F439</f>
        <v>52.105242353119799</v>
      </c>
      <c r="I439" s="1">
        <f>MATCH(H439,'02 Emission rates'!$A$7:$A$15,1)</f>
        <v>5</v>
      </c>
      <c r="J439" s="1">
        <f>INDEX('02 Emission rates'!$D$7:$D$15,I439)</f>
        <v>15845.527995946721</v>
      </c>
      <c r="K439" s="1">
        <f>INDEX('02 Emission rates'!$E$7:$E$15,I439)</f>
        <v>20.885654518874212</v>
      </c>
      <c r="L439" s="1">
        <f>INDEX('02 Emission rates'!$F$7:$F$15,I439)</f>
        <v>98.655405882152721</v>
      </c>
      <c r="M439" s="1">
        <f>INDEX('02 Emission rates'!$G$7:$G$15,I439)</f>
        <v>4.4998305826136002</v>
      </c>
      <c r="N439" s="1">
        <f t="shared" si="93"/>
        <v>4063.1675311968829</v>
      </c>
      <c r="O439" s="1">
        <f t="shared" si="94"/>
        <v>5.3555749818240699</v>
      </c>
      <c r="P439" s="1">
        <f t="shared" si="95"/>
        <v>25.297575572107856</v>
      </c>
      <c r="Q439" s="1">
        <f t="shared" si="96"/>
        <v>1.15386281377555</v>
      </c>
      <c r="R439" s="1">
        <f t="shared" si="97"/>
        <v>4184.1917007663797</v>
      </c>
      <c r="S439" s="1">
        <f t="shared" si="98"/>
        <v>186.68730389706067</v>
      </c>
      <c r="T439" s="1">
        <f t="shared" si="99"/>
        <v>1487594.1298828048</v>
      </c>
      <c r="U439" s="1">
        <f t="shared" si="100"/>
        <v>1132.7779783445565</v>
      </c>
      <c r="V439" s="1">
        <f t="shared" si="101"/>
        <v>12977.771308410191</v>
      </c>
      <c r="W439" s="1">
        <f t="shared" si="102"/>
        <v>561.40917764609674</v>
      </c>
      <c r="X439" s="1"/>
      <c r="Y439" s="1"/>
      <c r="Z439" s="1"/>
      <c r="AA439" s="1"/>
      <c r="AB439" s="1"/>
      <c r="AC439" s="1"/>
      <c r="AD439" s="1"/>
      <c r="AE439" s="1"/>
    </row>
    <row r="440" spans="1:31" ht="22.05" customHeight="1">
      <c r="A440" s="1">
        <f>'01 Traffic inputs'!B390</f>
        <v>0.87420295591635466</v>
      </c>
      <c r="B440" s="1">
        <f>'01 Traffic inputs'!C390</f>
        <v>2.7095305205033903E-3</v>
      </c>
      <c r="C440" s="1">
        <f>IF('01 Traffic inputs'!$B$16&lt;=2/3,(4*A440*(1-A440))^$B$16,1-ABS(2*A440-1)^$B$17)</f>
        <v>6.1468718246409065E-2</v>
      </c>
      <c r="D440" s="1">
        <f>IF('01 Traffic inputs'!$B$16&lt;=2/3,4*$B$16*(1-2*A440)*(4*A440*(1-A440))^($B$16-1),-2*$B$17*SIGN(2*A440-1)*ABS(2*A440-1)^($B$17-1))</f>
        <v>-1.4207762650014706</v>
      </c>
      <c r="E440" s="1">
        <f t="shared" si="90"/>
        <v>12.739024898189731</v>
      </c>
      <c r="F440" s="1">
        <f t="shared" si="91"/>
        <v>1.9733729885993732E-2</v>
      </c>
      <c r="G440" s="1">
        <f t="shared" si="92"/>
        <v>0.25138847635182493</v>
      </c>
      <c r="H440" s="1">
        <f>'01 Traffic inputs'!$B$8/F440</f>
        <v>52.70164363292384</v>
      </c>
      <c r="I440" s="1">
        <f>MATCH(H440,'02 Emission rates'!$A$7:$A$15,1)</f>
        <v>5</v>
      </c>
      <c r="J440" s="1">
        <f>INDEX('02 Emission rates'!$D$7:$D$15,I440)</f>
        <v>15845.527995946721</v>
      </c>
      <c r="K440" s="1">
        <f>INDEX('02 Emission rates'!$E$7:$E$15,I440)</f>
        <v>20.885654518874212</v>
      </c>
      <c r="L440" s="1">
        <f>INDEX('02 Emission rates'!$F$7:$F$15,I440)</f>
        <v>98.655405882152721</v>
      </c>
      <c r="M440" s="1">
        <f>INDEX('02 Emission rates'!$G$7:$G$15,I440)</f>
        <v>4.4998305826136002</v>
      </c>
      <c r="N440" s="1">
        <f t="shared" si="93"/>
        <v>3983.3831398912321</v>
      </c>
      <c r="O440" s="1">
        <f t="shared" si="94"/>
        <v>5.2504128671103949</v>
      </c>
      <c r="P440" s="1">
        <f t="shared" si="95"/>
        <v>24.800832168585238</v>
      </c>
      <c r="Q440" s="1">
        <f t="shared" si="96"/>
        <v>1.1312055540045776</v>
      </c>
      <c r="R440" s="1">
        <f t="shared" si="97"/>
        <v>4196.9307256645698</v>
      </c>
      <c r="S440" s="1">
        <f t="shared" si="98"/>
        <v>186.93869237341249</v>
      </c>
      <c r="T440" s="1">
        <f t="shared" si="99"/>
        <v>1491577.5130226961</v>
      </c>
      <c r="U440" s="1">
        <f t="shared" si="100"/>
        <v>1138.0283912116668</v>
      </c>
      <c r="V440" s="1">
        <f t="shared" si="101"/>
        <v>13002.572140578775</v>
      </c>
      <c r="W440" s="1">
        <f t="shared" si="102"/>
        <v>562.54038320010136</v>
      </c>
      <c r="X440" s="1"/>
      <c r="Y440" s="1"/>
      <c r="Z440" s="1"/>
      <c r="AA440" s="1"/>
      <c r="AB440" s="1"/>
      <c r="AC440" s="1"/>
      <c r="AD440" s="1"/>
      <c r="AE440" s="1"/>
    </row>
    <row r="441" spans="1:31" ht="22.05" customHeight="1">
      <c r="A441" s="1">
        <f>'01 Traffic inputs'!B391</f>
        <v>0.87689996573102058</v>
      </c>
      <c r="B441" s="1">
        <f>'01 Traffic inputs'!C391</f>
        <v>2.6844591007064351E-3</v>
      </c>
      <c r="C441" s="1">
        <f>IF('01 Traffic inputs'!$B$16&lt;=2/3,(4*A441*(1-A441))^$B$16,1-ABS(2*A441-1)^$B$17)</f>
        <v>5.7707213842912157E-2</v>
      </c>
      <c r="D441" s="1">
        <f>IF('01 Traffic inputs'!$B$16&lt;=2/3,4*$B$16*(1-2*A441)*(4*A441*(1-A441))^($B$16-1),-2*$B$17*SIGN(2*A441-1)*ABS(2*A441-1)^($B$17-1))</f>
        <v>-1.3686582103692295</v>
      </c>
      <c r="E441" s="1">
        <f t="shared" si="90"/>
        <v>12.629785044348925</v>
      </c>
      <c r="F441" s="1">
        <f t="shared" si="91"/>
        <v>1.9518046165017004E-2</v>
      </c>
      <c r="G441" s="1">
        <f t="shared" si="92"/>
        <v>0.24650872754984365</v>
      </c>
      <c r="H441" s="1">
        <f>'01 Traffic inputs'!$B$8/F441</f>
        <v>53.284021935764002</v>
      </c>
      <c r="I441" s="1">
        <f>MATCH(H441,'02 Emission rates'!$A$7:$A$15,1)</f>
        <v>5</v>
      </c>
      <c r="J441" s="1">
        <f>INDEX('02 Emission rates'!$D$7:$D$15,I441)</f>
        <v>15845.527995946721</v>
      </c>
      <c r="K441" s="1">
        <f>INDEX('02 Emission rates'!$E$7:$E$15,I441)</f>
        <v>20.885654518874212</v>
      </c>
      <c r="L441" s="1">
        <f>INDEX('02 Emission rates'!$F$7:$F$15,I441)</f>
        <v>98.655405882152721</v>
      </c>
      <c r="M441" s="1">
        <f>INDEX('02 Emission rates'!$G$7:$G$15,I441)</f>
        <v>4.4998305826136002</v>
      </c>
      <c r="N441" s="1">
        <f t="shared" si="93"/>
        <v>3906.0609436362502</v>
      </c>
      <c r="O441" s="1">
        <f t="shared" si="94"/>
        <v>5.1484961194933243</v>
      </c>
      <c r="P441" s="1">
        <f t="shared" si="95"/>
        <v>24.319418569922828</v>
      </c>
      <c r="Q441" s="1">
        <f t="shared" si="96"/>
        <v>1.1092475111099502</v>
      </c>
      <c r="R441" s="1">
        <f t="shared" si="97"/>
        <v>4209.5605107089186</v>
      </c>
      <c r="S441" s="1">
        <f t="shared" si="98"/>
        <v>187.18520110096233</v>
      </c>
      <c r="T441" s="1">
        <f t="shared" si="99"/>
        <v>1495483.5739663325</v>
      </c>
      <c r="U441" s="1">
        <f t="shared" si="100"/>
        <v>1143.1768873311601</v>
      </c>
      <c r="V441" s="1">
        <f t="shared" si="101"/>
        <v>13026.891559148698</v>
      </c>
      <c r="W441" s="1">
        <f t="shared" si="102"/>
        <v>563.64963071121133</v>
      </c>
      <c r="X441" s="1"/>
      <c r="Y441" s="1"/>
      <c r="Z441" s="1"/>
      <c r="AA441" s="1"/>
      <c r="AB441" s="1"/>
      <c r="AC441" s="1"/>
      <c r="AD441" s="1"/>
      <c r="AE441" s="1"/>
    </row>
    <row r="442" spans="1:31" ht="22.05" customHeight="1">
      <c r="A442" s="1">
        <f>'01 Traffic inputs'!B392</f>
        <v>0.87957181438107901</v>
      </c>
      <c r="B442" s="1">
        <f>'01 Traffic inputs'!C392</f>
        <v>2.6592084712427399E-3</v>
      </c>
      <c r="C442" s="1">
        <f>IF('01 Traffic inputs'!$B$16&lt;=2/3,(4*A442*(1-A442))^$B$16,1-ABS(2*A442-1)^$B$17)</f>
        <v>5.4119019936925479E-2</v>
      </c>
      <c r="D442" s="1">
        <f>IF('01 Traffic inputs'!$B$16&lt;=2/3,4*$B$16*(1-2*A442)*(4*A442*(1-A442))^($B$16-1),-2*$B$17*SIGN(2*A442-1)*ABS(2*A442-1)^($B$17-1))</f>
        <v>-1.3173205322968355</v>
      </c>
      <c r="E442" s="1">
        <f t="shared" si="90"/>
        <v>12.519412102756899</v>
      </c>
      <c r="F442" s="1">
        <f t="shared" si="91"/>
        <v>1.9312300024587194E-2</v>
      </c>
      <c r="G442" s="1">
        <f t="shared" si="92"/>
        <v>0.24177864265988927</v>
      </c>
      <c r="H442" s="1">
        <f>'01 Traffic inputs'!$B$8/F442</f>
        <v>53.851690304933044</v>
      </c>
      <c r="I442" s="1">
        <f>MATCH(H442,'02 Emission rates'!$A$7:$A$15,1)</f>
        <v>5</v>
      </c>
      <c r="J442" s="1">
        <f>INDEX('02 Emission rates'!$D$7:$D$15,I442)</f>
        <v>15845.527995946721</v>
      </c>
      <c r="K442" s="1">
        <f>INDEX('02 Emission rates'!$E$7:$E$15,I442)</f>
        <v>20.885654518874212</v>
      </c>
      <c r="L442" s="1">
        <f>INDEX('02 Emission rates'!$F$7:$F$15,I442)</f>
        <v>98.655405882152721</v>
      </c>
      <c r="M442" s="1">
        <f>INDEX('02 Emission rates'!$G$7:$G$15,I442)</f>
        <v>4.4998305826136002</v>
      </c>
      <c r="N442" s="1">
        <f t="shared" si="93"/>
        <v>3831.1102510892733</v>
      </c>
      <c r="O442" s="1">
        <f t="shared" si="94"/>
        <v>5.0497052006367893</v>
      </c>
      <c r="P442" s="1">
        <f t="shared" si="95"/>
        <v>23.852770125247339</v>
      </c>
      <c r="Q442" s="1">
        <f t="shared" si="96"/>
        <v>1.087962930463775</v>
      </c>
      <c r="R442" s="1">
        <f t="shared" si="97"/>
        <v>4222.0799228116757</v>
      </c>
      <c r="S442" s="1">
        <f t="shared" si="98"/>
        <v>187.42697974362221</v>
      </c>
      <c r="T442" s="1">
        <f t="shared" si="99"/>
        <v>1499314.6842174218</v>
      </c>
      <c r="U442" s="1">
        <f t="shared" si="100"/>
        <v>1148.2265925317968</v>
      </c>
      <c r="V442" s="1">
        <f t="shared" si="101"/>
        <v>13050.744329273946</v>
      </c>
      <c r="W442" s="1">
        <f t="shared" si="102"/>
        <v>564.73759364167506</v>
      </c>
      <c r="X442" s="1"/>
      <c r="Y442" s="1"/>
      <c r="Z442" s="1"/>
      <c r="AA442" s="1"/>
      <c r="AB442" s="1"/>
      <c r="AC442" s="1"/>
      <c r="AD442" s="1"/>
      <c r="AE442" s="1"/>
    </row>
    <row r="443" spans="1:31" ht="22.05" customHeight="1">
      <c r="A443" s="1">
        <f>'01 Traffic inputs'!B393</f>
        <v>0.88221832349871421</v>
      </c>
      <c r="B443" s="1">
        <f>'01 Traffic inputs'!C393</f>
        <v>2.6337803177988459E-3</v>
      </c>
      <c r="C443" s="1">
        <f>IF('01 Traffic inputs'!$B$16&lt;=2/3,(4*A443*(1-A443))^$B$16,1-ABS(2*A443-1)^$B$17)</f>
        <v>5.0699643154169922E-2</v>
      </c>
      <c r="D443" s="1">
        <f>IF('01 Traffic inputs'!$B$16&lt;=2/3,4*$B$16*(1-2*A443)*(4*A443*(1-A443))^($B$16-1),-2*$B$17*SIGN(2*A443-1)*ABS(2*A443-1)^($B$17-1))</f>
        <v>-1.2668045939764738</v>
      </c>
      <c r="E443" s="1">
        <f t="shared" si="90"/>
        <v>12.407909236099277</v>
      </c>
      <c r="F443" s="1">
        <f t="shared" si="91"/>
        <v>1.9116233815747851E-2</v>
      </c>
      <c r="G443" s="1">
        <f t="shared" si="92"/>
        <v>0.23719249412185109</v>
      </c>
      <c r="H443" s="1">
        <f>'01 Traffic inputs'!$B$8/F443</f>
        <v>54.404021734829065</v>
      </c>
      <c r="I443" s="1">
        <f>MATCH(H443,'02 Emission rates'!$A$7:$A$15,1)</f>
        <v>5</v>
      </c>
      <c r="J443" s="1">
        <f>INDEX('02 Emission rates'!$D$7:$D$15,I443)</f>
        <v>15845.527995946721</v>
      </c>
      <c r="K443" s="1">
        <f>INDEX('02 Emission rates'!$E$7:$E$15,I443)</f>
        <v>20.885654518874212</v>
      </c>
      <c r="L443" s="1">
        <f>INDEX('02 Emission rates'!$F$7:$F$15,I443)</f>
        <v>98.655405882152721</v>
      </c>
      <c r="M443" s="1">
        <f>INDEX('02 Emission rates'!$G$7:$G$15,I443)</f>
        <v>4.4998305826136002</v>
      </c>
      <c r="N443" s="1">
        <f t="shared" si="93"/>
        <v>3758.4403060362192</v>
      </c>
      <c r="O443" s="1">
        <f t="shared" si="94"/>
        <v>4.9539204866990838</v>
      </c>
      <c r="P443" s="1">
        <f t="shared" si="95"/>
        <v>23.400321779791341</v>
      </c>
      <c r="Q443" s="1">
        <f t="shared" si="96"/>
        <v>1.0673260390159021</v>
      </c>
      <c r="R443" s="1">
        <f t="shared" si="97"/>
        <v>4234.4878320477746</v>
      </c>
      <c r="S443" s="1">
        <f t="shared" si="98"/>
        <v>187.66417223774405</v>
      </c>
      <c r="T443" s="1">
        <f t="shared" si="99"/>
        <v>1503073.1245234581</v>
      </c>
      <c r="U443" s="1">
        <f t="shared" si="100"/>
        <v>1153.180513018496</v>
      </c>
      <c r="V443" s="1">
        <f t="shared" si="101"/>
        <v>13074.144651053737</v>
      </c>
      <c r="W443" s="1">
        <f t="shared" si="102"/>
        <v>565.804919680691</v>
      </c>
      <c r="X443" s="1"/>
      <c r="Y443" s="1"/>
      <c r="Z443" s="1"/>
      <c r="AA443" s="1"/>
      <c r="AB443" s="1"/>
      <c r="AC443" s="1"/>
      <c r="AD443" s="1"/>
      <c r="AE443" s="1"/>
    </row>
    <row r="444" spans="1:31" ht="22.05" customHeight="1">
      <c r="A444" s="1">
        <f>'01 Traffic inputs'!B394</f>
        <v>0.88483931640773217</v>
      </c>
      <c r="B444" s="1">
        <f>'01 Traffic inputs'!C394</f>
        <v>2.6081763379126764E-3</v>
      </c>
      <c r="C444" s="1">
        <f>IF('01 Traffic inputs'!$B$16&lt;=2/3,(4*A444*(1-A444))^$B$16,1-ABS(2*A444-1)^$B$17)</f>
        <v>4.7444516516394322E-2</v>
      </c>
      <c r="D444" s="1">
        <f>IF('01 Traffic inputs'!$B$16&lt;=2/3,4*$B$16*(1-2*A444)*(4*A444*(1-A444))^($B$16-1),-2*$B$17*SIGN(2*A444-1)*ABS(2*A444-1)^($B$17-1))</f>
        <v>-1.2171492713291543</v>
      </c>
      <c r="E444" s="1">
        <f t="shared" si="90"/>
        <v>12.295280397272757</v>
      </c>
      <c r="F444" s="1">
        <f t="shared" si="91"/>
        <v>1.8929585669109177E-2</v>
      </c>
      <c r="G444" s="1">
        <f t="shared" si="92"/>
        <v>0.23274456360589335</v>
      </c>
      <c r="H444" s="1">
        <f>'01 Traffic inputs'!$B$8/F444</f>
        <v>54.940452378584084</v>
      </c>
      <c r="I444" s="1">
        <f>MATCH(H444,'02 Emission rates'!$A$7:$A$15,1)</f>
        <v>5</v>
      </c>
      <c r="J444" s="1">
        <f>INDEX('02 Emission rates'!$D$7:$D$15,I444)</f>
        <v>15845.527995946721</v>
      </c>
      <c r="K444" s="1">
        <f>INDEX('02 Emission rates'!$E$7:$E$15,I444)</f>
        <v>20.885654518874212</v>
      </c>
      <c r="L444" s="1">
        <f>INDEX('02 Emission rates'!$F$7:$F$15,I444)</f>
        <v>98.655405882152721</v>
      </c>
      <c r="M444" s="1">
        <f>INDEX('02 Emission rates'!$G$7:$G$15,I444)</f>
        <v>4.4998305826136002</v>
      </c>
      <c r="N444" s="1">
        <f t="shared" si="93"/>
        <v>3687.9604985215851</v>
      </c>
      <c r="O444" s="1">
        <f t="shared" si="94"/>
        <v>4.861022546618833</v>
      </c>
      <c r="P444" s="1">
        <f t="shared" si="95"/>
        <v>22.961509389403918</v>
      </c>
      <c r="Q444" s="1">
        <f t="shared" si="96"/>
        <v>1.0473111052508552</v>
      </c>
      <c r="R444" s="1">
        <f t="shared" si="97"/>
        <v>4246.7831124450477</v>
      </c>
      <c r="S444" s="1">
        <f t="shared" si="98"/>
        <v>187.89691680134996</v>
      </c>
      <c r="T444" s="1">
        <f t="shared" si="99"/>
        <v>1506761.0850219796</v>
      </c>
      <c r="U444" s="1">
        <f t="shared" si="100"/>
        <v>1158.0415355651148</v>
      </c>
      <c r="V444" s="1">
        <f t="shared" si="101"/>
        <v>13097.106160443142</v>
      </c>
      <c r="W444" s="1">
        <f t="shared" si="102"/>
        <v>566.85223078594186</v>
      </c>
      <c r="X444" s="1"/>
      <c r="Y444" s="1"/>
      <c r="Z444" s="1"/>
      <c r="AA444" s="1"/>
      <c r="AB444" s="1"/>
      <c r="AC444" s="1"/>
      <c r="AD444" s="1"/>
      <c r="AE444" s="1"/>
    </row>
    <row r="445" spans="1:31" ht="22.05" customHeight="1">
      <c r="A445" s="1">
        <f>'01 Traffic inputs'!B395</f>
        <v>0.88743461813535496</v>
      </c>
      <c r="B445" s="1">
        <f>'01 Traffic inputs'!C395</f>
        <v>2.5823982408600629E-3</v>
      </c>
      <c r="C445" s="1">
        <f>IF('01 Traffic inputs'!$B$16&lt;=2/3,(4*A445*(1-A445))^$B$16,1-ABS(2*A445-1)^$B$17)</f>
        <v>4.4349011220864119E-2</v>
      </c>
      <c r="D445" s="1">
        <f>IF('01 Traffic inputs'!$B$16&lt;=2/3,4*$B$16*(1-2*A445)*(4*A445*(1-A445))^($B$16-1),-2*$B$17*SIGN(2*A445-1)*ABS(2*A445-1)^($B$17-1))</f>
        <v>-1.1683909352572848</v>
      </c>
      <c r="E445" s="1">
        <f t="shared" si="90"/>
        <v>12.181530315704672</v>
      </c>
      <c r="F445" s="1">
        <f t="shared" si="91"/>
        <v>1.875209017028099E-2</v>
      </c>
      <c r="G445" s="1">
        <f t="shared" si="92"/>
        <v>0.22842915489210547</v>
      </c>
      <c r="H445" s="1">
        <f>'01 Traffic inputs'!$B$8/F445</f>
        <v>55.460484167693004</v>
      </c>
      <c r="I445" s="1">
        <f>MATCH(H445,'02 Emission rates'!$A$7:$A$15,1)</f>
        <v>5</v>
      </c>
      <c r="J445" s="1">
        <f>INDEX('02 Emission rates'!$D$7:$D$15,I445)</f>
        <v>15845.527995946721</v>
      </c>
      <c r="K445" s="1">
        <f>INDEX('02 Emission rates'!$E$7:$E$15,I445)</f>
        <v>20.885654518874212</v>
      </c>
      <c r="L445" s="1">
        <f>INDEX('02 Emission rates'!$F$7:$F$15,I445)</f>
        <v>98.655405882152721</v>
      </c>
      <c r="M445" s="1">
        <f>INDEX('02 Emission rates'!$G$7:$G$15,I445)</f>
        <v>4.4998305826136002</v>
      </c>
      <c r="N445" s="1">
        <f t="shared" si="93"/>
        <v>3619.5805689333069</v>
      </c>
      <c r="O445" s="1">
        <f t="shared" si="94"/>
        <v>4.7708924111149198</v>
      </c>
      <c r="P445" s="1">
        <f t="shared" si="95"/>
        <v>22.535770991197797</v>
      </c>
      <c r="Q445" s="1">
        <f t="shared" si="96"/>
        <v>1.0278924971440753</v>
      </c>
      <c r="R445" s="1">
        <f t="shared" si="97"/>
        <v>4258.9646427607522</v>
      </c>
      <c r="S445" s="1">
        <f t="shared" si="98"/>
        <v>188.12534595624206</v>
      </c>
      <c r="T445" s="1">
        <f t="shared" si="99"/>
        <v>1510380.665590913</v>
      </c>
      <c r="U445" s="1">
        <f t="shared" si="100"/>
        <v>1162.8124279762299</v>
      </c>
      <c r="V445" s="1">
        <f t="shared" si="101"/>
        <v>13119.64193143434</v>
      </c>
      <c r="W445" s="1">
        <f t="shared" si="102"/>
        <v>567.88012328308594</v>
      </c>
      <c r="X445" s="1"/>
      <c r="Y445" s="1"/>
      <c r="Z445" s="1"/>
      <c r="AA445" s="1"/>
      <c r="AB445" s="1"/>
      <c r="AC445" s="1"/>
      <c r="AD445" s="1"/>
      <c r="AE445" s="1"/>
    </row>
    <row r="446" spans="1:31" ht="22.05" customHeight="1">
      <c r="A446" s="1">
        <f>'01 Traffic inputs'!B396</f>
        <v>0.89000405542390193</v>
      </c>
      <c r="B446" s="1">
        <f>'01 Traffic inputs'!C396</f>
        <v>2.5564477475401837E-3</v>
      </c>
      <c r="C446" s="1">
        <f>IF('01 Traffic inputs'!$B$16&lt;=2/3,(4*A446*(1-A446))^$B$16,1-ABS(2*A446-1)^$B$17)</f>
        <v>4.1408448194541599E-2</v>
      </c>
      <c r="D446" s="1">
        <f>IF('01 Traffic inputs'!$B$16&lt;=2/3,4*$B$16*(1-2*A446)*(4*A446*(1-A446))^($B$16-1),-2*$B$17*SIGN(2*A446-1)*ABS(2*A446-1)^($B$17-1))</f>
        <v>-1.1205634393458883</v>
      </c>
      <c r="E446" s="1">
        <f t="shared" si="90"/>
        <v>12.066664482141755</v>
      </c>
      <c r="F446" s="1">
        <f t="shared" si="91"/>
        <v>1.8583479022386492E-2</v>
      </c>
      <c r="G446" s="1">
        <f t="shared" si="92"/>
        <v>0.22424060627405748</v>
      </c>
      <c r="H446" s="1">
        <f>'01 Traffic inputs'!$B$8/F446</f>
        <v>55.963686818124302</v>
      </c>
      <c r="I446" s="1">
        <f>MATCH(H446,'02 Emission rates'!$A$7:$A$15,1)</f>
        <v>5</v>
      </c>
      <c r="J446" s="1">
        <f>INDEX('02 Emission rates'!$D$7:$D$15,I446)</f>
        <v>15845.527995946721</v>
      </c>
      <c r="K446" s="1">
        <f>INDEX('02 Emission rates'!$E$7:$E$15,I446)</f>
        <v>20.885654518874212</v>
      </c>
      <c r="L446" s="1">
        <f>INDEX('02 Emission rates'!$F$7:$F$15,I446)</f>
        <v>98.655405882152721</v>
      </c>
      <c r="M446" s="1">
        <f>INDEX('02 Emission rates'!$G$7:$G$15,I446)</f>
        <v>4.4998305826136002</v>
      </c>
      <c r="N446" s="1">
        <f t="shared" si="93"/>
        <v>3553.2108045436435</v>
      </c>
      <c r="O446" s="1">
        <f t="shared" si="94"/>
        <v>4.6834118317428617</v>
      </c>
      <c r="P446" s="1">
        <f t="shared" si="95"/>
        <v>22.122548027227143</v>
      </c>
      <c r="Q446" s="1">
        <f t="shared" si="96"/>
        <v>1.009044737975819</v>
      </c>
      <c r="R446" s="1">
        <f t="shared" si="97"/>
        <v>4271.0313072428944</v>
      </c>
      <c r="S446" s="1">
        <f t="shared" si="98"/>
        <v>188.34958656251612</v>
      </c>
      <c r="T446" s="1">
        <f t="shared" si="99"/>
        <v>1513933.8763954567</v>
      </c>
      <c r="U446" s="1">
        <f t="shared" si="100"/>
        <v>1167.4958398079727</v>
      </c>
      <c r="V446" s="1">
        <f t="shared" si="101"/>
        <v>13141.764479461568</v>
      </c>
      <c r="W446" s="1">
        <f t="shared" si="102"/>
        <v>568.88916802106178</v>
      </c>
      <c r="X446" s="1"/>
      <c r="Y446" s="1"/>
      <c r="Z446" s="1"/>
      <c r="AA446" s="1"/>
      <c r="AB446" s="1"/>
      <c r="AC446" s="1"/>
      <c r="AD446" s="1"/>
      <c r="AE446" s="1"/>
    </row>
    <row r="447" spans="1:31" ht="22.05" customHeight="1">
      <c r="A447" s="1">
        <f>'01 Traffic inputs'!B397</f>
        <v>0.89254745674235592</v>
      </c>
      <c r="B447" s="1">
        <f>'01 Traffic inputs'!C397</f>
        <v>2.5303265903615958E-3</v>
      </c>
      <c r="C447" s="1">
        <f>IF('01 Traffic inputs'!$B$16&lt;=2/3,(4*A447*(1-A447))^$B$16,1-ABS(2*A447-1)^$B$17)</f>
        <v>3.8618109398820107E-2</v>
      </c>
      <c r="D447" s="1">
        <f>IF('01 Traffic inputs'!$B$16&lt;=2/3,4*$B$16*(1-2*A447)*(4*A447*(1-A447))^($B$16-1),-2*$B$17*SIGN(2*A447-1)*ABS(2*A447-1)^($B$17-1))</f>
        <v>-1.0736981129727103</v>
      </c>
      <c r="E447" s="1">
        <f t="shared" si="90"/>
        <v>11.950689131988183</v>
      </c>
      <c r="F447" s="1">
        <f t="shared" si="91"/>
        <v>1.8423481694272922E-2</v>
      </c>
      <c r="G447" s="1">
        <f t="shared" si="92"/>
        <v>0.22017330245713065</v>
      </c>
      <c r="H447" s="1">
        <f>'01 Traffic inputs'!$B$8/F447</f>
        <v>56.449699207686258</v>
      </c>
      <c r="I447" s="1">
        <f>MATCH(H447,'02 Emission rates'!$A$7:$A$15,1)</f>
        <v>5</v>
      </c>
      <c r="J447" s="1">
        <f>INDEX('02 Emission rates'!$D$7:$D$15,I447)</f>
        <v>15845.527995946721</v>
      </c>
      <c r="K447" s="1">
        <f>INDEX('02 Emission rates'!$E$7:$E$15,I447)</f>
        <v>20.885654518874212</v>
      </c>
      <c r="L447" s="1">
        <f>INDEX('02 Emission rates'!$F$7:$F$15,I447)</f>
        <v>98.655405882152721</v>
      </c>
      <c r="M447" s="1">
        <f>INDEX('02 Emission rates'!$G$7:$G$15,I447)</f>
        <v>4.4998305826136002</v>
      </c>
      <c r="N447" s="1">
        <f t="shared" si="93"/>
        <v>3488.7622280445089</v>
      </c>
      <c r="O447" s="1">
        <f t="shared" si="94"/>
        <v>4.5984635293992291</v>
      </c>
      <c r="P447" s="1">
        <f t="shared" si="95"/>
        <v>21.721286518322199</v>
      </c>
      <c r="Q447" s="1">
        <f t="shared" si="96"/>
        <v>0.99074255987163062</v>
      </c>
      <c r="R447" s="1">
        <f t="shared" si="97"/>
        <v>4282.9819963748823</v>
      </c>
      <c r="S447" s="1">
        <f t="shared" si="98"/>
        <v>188.56975986497326</v>
      </c>
      <c r="T447" s="1">
        <f t="shared" si="99"/>
        <v>1517422.6386235012</v>
      </c>
      <c r="U447" s="1">
        <f t="shared" si="100"/>
        <v>1172.0943033373719</v>
      </c>
      <c r="V447" s="1">
        <f t="shared" si="101"/>
        <v>13163.485765979891</v>
      </c>
      <c r="W447" s="1">
        <f t="shared" si="102"/>
        <v>569.87991058093337</v>
      </c>
      <c r="X447" s="1"/>
      <c r="Y447" s="1"/>
      <c r="Z447" s="1"/>
      <c r="AA447" s="1"/>
      <c r="AB447" s="1"/>
      <c r="AC447" s="1"/>
      <c r="AD447" s="1"/>
      <c r="AE447" s="1"/>
    </row>
    <row r="448" spans="1:31" ht="22.05" customHeight="1">
      <c r="A448" s="1">
        <f>'01 Traffic inputs'!B398</f>
        <v>0.89506465229781407</v>
      </c>
      <c r="B448" s="1">
        <f>'01 Traffic inputs'!C398</f>
        <v>2.5040365131257115E-3</v>
      </c>
      <c r="C448" s="1">
        <f>IF('01 Traffic inputs'!$B$16&lt;=2/3,(4*A448*(1-A448))^$B$16,1-ABS(2*A448-1)^$B$17)</f>
        <v>3.5973248861868243E-2</v>
      </c>
      <c r="D448" s="1">
        <f>IF('01 Traffic inputs'!$B$16&lt;=2/3,4*$B$16*(1-2*A448)*(4*A448*(1-A448))^($B$16-1),-2*$B$17*SIGN(2*A448-1)*ABS(2*A448-1)^($B$17-1))</f>
        <v>-1.0278237597756676</v>
      </c>
      <c r="E448" s="1">
        <f t="shared" si="90"/>
        <v>11.833611227253362</v>
      </c>
      <c r="F448" s="1">
        <f t="shared" si="91"/>
        <v>1.8271826053103409E-2</v>
      </c>
      <c r="G448" s="1">
        <f t="shared" si="92"/>
        <v>0.21622168592442498</v>
      </c>
      <c r="H448" s="1">
        <f>'01 Traffic inputs'!$B$8/F448</f>
        <v>56.918230119828664</v>
      </c>
      <c r="I448" s="1">
        <f>MATCH(H448,'02 Emission rates'!$A$7:$A$15,1)</f>
        <v>5</v>
      </c>
      <c r="J448" s="1">
        <f>INDEX('02 Emission rates'!$D$7:$D$15,I448)</f>
        <v>15845.527995946721</v>
      </c>
      <c r="K448" s="1">
        <f>INDEX('02 Emission rates'!$E$7:$E$15,I448)</f>
        <v>20.885654518874212</v>
      </c>
      <c r="L448" s="1">
        <f>INDEX('02 Emission rates'!$F$7:$F$15,I448)</f>
        <v>98.655405882152721</v>
      </c>
      <c r="M448" s="1">
        <f>INDEX('02 Emission rates'!$G$7:$G$15,I448)</f>
        <v>4.4998305826136002</v>
      </c>
      <c r="N448" s="1">
        <f t="shared" si="93"/>
        <v>3426.146777646275</v>
      </c>
      <c r="O448" s="1">
        <f t="shared" si="94"/>
        <v>4.5159314317060675</v>
      </c>
      <c r="P448" s="1">
        <f t="shared" si="95"/>
        <v>21.331438185397495</v>
      </c>
      <c r="Q448" s="1">
        <f t="shared" si="96"/>
        <v>0.97296095494700019</v>
      </c>
      <c r="R448" s="1">
        <f t="shared" si="97"/>
        <v>4294.815607602136</v>
      </c>
      <c r="S448" s="1">
        <f t="shared" si="98"/>
        <v>188.7859815508977</v>
      </c>
      <c r="T448" s="1">
        <f t="shared" si="99"/>
        <v>1520848.7854011476</v>
      </c>
      <c r="U448" s="1">
        <f t="shared" si="100"/>
        <v>1176.610234769078</v>
      </c>
      <c r="V448" s="1">
        <f t="shared" si="101"/>
        <v>13184.817204165289</v>
      </c>
      <c r="W448" s="1">
        <f t="shared" si="102"/>
        <v>570.85287153588035</v>
      </c>
      <c r="X448" s="1"/>
      <c r="Y448" s="1"/>
      <c r="Z448" s="1"/>
      <c r="AA448" s="1"/>
      <c r="AB448" s="1"/>
      <c r="AC448" s="1"/>
      <c r="AD448" s="1"/>
      <c r="AE448" s="1"/>
    </row>
    <row r="449" spans="1:31" ht="22.05" customHeight="1">
      <c r="A449" s="1">
        <f>'01 Traffic inputs'!B399</f>
        <v>0.89755547404682356</v>
      </c>
      <c r="B449" s="1">
        <f>'01 Traffic inputs'!C399</f>
        <v>2.4775792709108456E-3</v>
      </c>
      <c r="C449" s="1">
        <f>IF('01 Traffic inputs'!$B$16&lt;=2/3,(4*A449*(1-A449))^$B$16,1-ABS(2*A449-1)^$B$17)</f>
        <v>3.3469103416882709E-2</v>
      </c>
      <c r="D449" s="1">
        <f>IF('01 Traffic inputs'!$B$16&lt;=2/3,4*$B$16*(1-2*A449)*(4*A449*(1-A449))^($B$16-1),-2*$B$17*SIGN(2*A449-1)*ABS(2*A449-1)^($B$17-1))</f>
        <v>-0.98296666141450095</v>
      </c>
      <c r="E449" s="1">
        <f t="shared" si="90"/>
        <v>11.715438437202337</v>
      </c>
      <c r="F449" s="1">
        <f t="shared" si="91"/>
        <v>1.8128238980085684E-2</v>
      </c>
      <c r="G449" s="1">
        <f t="shared" si="92"/>
        <v>0.21238026774608551</v>
      </c>
      <c r="H449" s="1">
        <f>'01 Traffic inputs'!$B$8/F449</f>
        <v>57.369058359308148</v>
      </c>
      <c r="I449" s="1">
        <f>MATCH(H449,'02 Emission rates'!$A$7:$A$15,1)</f>
        <v>5</v>
      </c>
      <c r="J449" s="1">
        <f>INDEX('02 Emission rates'!$D$7:$D$15,I449)</f>
        <v>15845.527995946721</v>
      </c>
      <c r="K449" s="1">
        <f>INDEX('02 Emission rates'!$E$7:$E$15,I449)</f>
        <v>20.885654518874212</v>
      </c>
      <c r="L449" s="1">
        <f>INDEX('02 Emission rates'!$F$7:$F$15,I449)</f>
        <v>98.655405882152721</v>
      </c>
      <c r="M449" s="1">
        <f>INDEX('02 Emission rates'!$G$7:$G$15,I449)</f>
        <v>4.4998305826136002</v>
      </c>
      <c r="N449" s="1">
        <f t="shared" si="93"/>
        <v>3365.2774783572581</v>
      </c>
      <c r="O449" s="1">
        <f t="shared" si="94"/>
        <v>4.4357008987707456</v>
      </c>
      <c r="P449" s="1">
        <f t="shared" si="95"/>
        <v>20.952461515850334</v>
      </c>
      <c r="Q449" s="1">
        <f t="shared" si="96"/>
        <v>0.95567522394750037</v>
      </c>
      <c r="R449" s="1">
        <f t="shared" si="97"/>
        <v>4306.5310460393384</v>
      </c>
      <c r="S449" s="1">
        <f t="shared" si="98"/>
        <v>188.99836181864379</v>
      </c>
      <c r="T449" s="1">
        <f t="shared" si="99"/>
        <v>1524214.0628795049</v>
      </c>
      <c r="U449" s="1">
        <f t="shared" si="100"/>
        <v>1181.0459356678489</v>
      </c>
      <c r="V449" s="1">
        <f t="shared" si="101"/>
        <v>13205.769665681139</v>
      </c>
      <c r="W449" s="1">
        <f t="shared" si="102"/>
        <v>571.80854675982789</v>
      </c>
      <c r="X449" s="1"/>
      <c r="Y449" s="1"/>
      <c r="Z449" s="1"/>
      <c r="AA449" s="1"/>
      <c r="AB449" s="1"/>
      <c r="AC449" s="1"/>
      <c r="AD449" s="1"/>
      <c r="AE449" s="1"/>
    </row>
    <row r="450" spans="1:31" ht="22.05" customHeight="1">
      <c r="A450" s="1">
        <f>'01 Traffic inputs'!B400</f>
        <v>0.90001975570659942</v>
      </c>
      <c r="B450" s="1">
        <f>'01 Traffic inputs'!C400</f>
        <v>2.4509566299550406E-3</v>
      </c>
      <c r="C450" s="1">
        <f>IF('01 Traffic inputs'!$B$16&lt;=2/3,(4*A450*(1-A450))^$B$16,1-ABS(2*A450-1)^$B$17)</f>
        <v>3.1100903125839442E-2</v>
      </c>
      <c r="D450" s="1">
        <f>IF('01 Traffic inputs'!$B$16&lt;=2/3,4*$B$16*(1-2*A450)*(4*A450*(1-A450))^($B$16-1),-2*$B$17*SIGN(2*A450-1)*ABS(2*A450-1)^($B$17-1))</f>
        <v>-0.9391505865521218</v>
      </c>
      <c r="E450" s="1">
        <f t="shared" si="90"/>
        <v>11.596179117781197</v>
      </c>
      <c r="F450" s="1">
        <f t="shared" si="91"/>
        <v>1.7992446968167389E-2</v>
      </c>
      <c r="G450" s="1">
        <f t="shared" si="92"/>
        <v>0.2086436378100483</v>
      </c>
      <c r="H450" s="1">
        <f>'01 Traffic inputs'!$B$8/F450</f>
        <v>57.802032254979551</v>
      </c>
      <c r="I450" s="1">
        <f>MATCH(H450,'02 Emission rates'!$A$7:$A$15,1)</f>
        <v>5</v>
      </c>
      <c r="J450" s="1">
        <f>INDEX('02 Emission rates'!$D$7:$D$15,I450)</f>
        <v>15845.527995946721</v>
      </c>
      <c r="K450" s="1">
        <f>INDEX('02 Emission rates'!$E$7:$E$15,I450)</f>
        <v>20.885654518874212</v>
      </c>
      <c r="L450" s="1">
        <f>INDEX('02 Emission rates'!$F$7:$F$15,I450)</f>
        <v>98.655405882152721</v>
      </c>
      <c r="M450" s="1">
        <f>INDEX('02 Emission rates'!$G$7:$G$15,I450)</f>
        <v>4.4998305826136002</v>
      </c>
      <c r="N450" s="1">
        <f t="shared" si="93"/>
        <v>3306.0686040952883</v>
      </c>
      <c r="O450" s="1">
        <f t="shared" si="94"/>
        <v>4.3576589368617897</v>
      </c>
      <c r="P450" s="1">
        <f t="shared" si="95"/>
        <v>20.583822772879181</v>
      </c>
      <c r="Q450" s="1">
        <f t="shared" si="96"/>
        <v>0.93886102228541068</v>
      </c>
      <c r="R450" s="1">
        <f t="shared" si="97"/>
        <v>4318.1272251571199</v>
      </c>
      <c r="S450" s="1">
        <f t="shared" si="98"/>
        <v>189.20700545645383</v>
      </c>
      <c r="T450" s="1">
        <f t="shared" si="99"/>
        <v>1527520.1314836002</v>
      </c>
      <c r="U450" s="1">
        <f t="shared" si="100"/>
        <v>1185.4035946047106</v>
      </c>
      <c r="V450" s="1">
        <f t="shared" si="101"/>
        <v>13226.353488454019</v>
      </c>
      <c r="W450" s="1">
        <f t="shared" si="102"/>
        <v>572.74740778211333</v>
      </c>
      <c r="X450" s="1"/>
      <c r="Y450" s="1"/>
      <c r="Z450" s="1"/>
      <c r="AA450" s="1"/>
      <c r="AB450" s="1"/>
      <c r="AC450" s="1"/>
      <c r="AD450" s="1"/>
      <c r="AE450" s="1"/>
    </row>
    <row r="451" spans="1:31" ht="22.05" customHeight="1">
      <c r="A451" s="1">
        <f>'01 Traffic inputs'!B401</f>
        <v>0.90245733276612528</v>
      </c>
      <c r="B451" s="1">
        <f>'01 Traffic inputs'!C401</f>
        <v>2.4241703675380736E-3</v>
      </c>
      <c r="C451" s="1">
        <f>IF('01 Traffic inputs'!$B$16&lt;=2/3,(4*A451*(1-A451))^$B$16,1-ABS(2*A451-1)^$B$17)</f>
        <v>2.886388136965751E-2</v>
      </c>
      <c r="D451" s="1">
        <f>IF('01 Traffic inputs'!$B$16&lt;=2/3,4*$B$16*(1-2*A451)*(4*A451*(1-A451))^($B$16-1),-2*$B$17*SIGN(2*A451-1)*ABS(2*A451-1)^($B$17-1))</f>
        <v>-0.89639680496995433</v>
      </c>
      <c r="E451" s="1">
        <f t="shared" si="90"/>
        <v>11.475842289902392</v>
      </c>
      <c r="F451" s="1">
        <f t="shared" si="91"/>
        <v>1.7864176700603522E-2</v>
      </c>
      <c r="G451" s="1">
        <f t="shared" si="92"/>
        <v>0.20500647445507489</v>
      </c>
      <c r="H451" s="1">
        <f>'01 Traffic inputs'!$B$8/F451</f>
        <v>58.217068574164138</v>
      </c>
      <c r="I451" s="1">
        <f>MATCH(H451,'02 Emission rates'!$A$7:$A$15,1)</f>
        <v>5</v>
      </c>
      <c r="J451" s="1">
        <f>INDEX('02 Emission rates'!$D$7:$D$15,I451)</f>
        <v>15845.527995946721</v>
      </c>
      <c r="K451" s="1">
        <f>INDEX('02 Emission rates'!$E$7:$E$15,I451)</f>
        <v>20.885654518874212</v>
      </c>
      <c r="L451" s="1">
        <f>INDEX('02 Emission rates'!$F$7:$F$15,I451)</f>
        <v>98.655405882152721</v>
      </c>
      <c r="M451" s="1">
        <f>INDEX('02 Emission rates'!$G$7:$G$15,I451)</f>
        <v>4.4998305826136002</v>
      </c>
      <c r="N451" s="1">
        <f t="shared" si="93"/>
        <v>3248.4358303282252</v>
      </c>
      <c r="O451" s="1">
        <f t="shared" si="94"/>
        <v>4.2816943996011059</v>
      </c>
      <c r="P451" s="1">
        <f t="shared" si="95"/>
        <v>20.224996945834587</v>
      </c>
      <c r="Q451" s="1">
        <f t="shared" si="96"/>
        <v>0.92249440338673983</v>
      </c>
      <c r="R451" s="1">
        <f t="shared" si="97"/>
        <v>4329.6030674470221</v>
      </c>
      <c r="S451" s="1">
        <f t="shared" si="98"/>
        <v>189.4120119309089</v>
      </c>
      <c r="T451" s="1">
        <f t="shared" si="99"/>
        <v>1530768.5673139284</v>
      </c>
      <c r="U451" s="1">
        <f t="shared" si="100"/>
        <v>1189.6852890043117</v>
      </c>
      <c r="V451" s="1">
        <f t="shared" si="101"/>
        <v>13246.578485399854</v>
      </c>
      <c r="W451" s="1">
        <f t="shared" si="102"/>
        <v>573.66990218550006</v>
      </c>
      <c r="X451" s="1"/>
      <c r="Y451" s="1"/>
      <c r="Z451" s="1"/>
      <c r="AA451" s="1"/>
      <c r="AB451" s="1"/>
      <c r="AC451" s="1"/>
      <c r="AD451" s="1"/>
      <c r="AE451" s="1"/>
    </row>
    <row r="452" spans="1:31" ht="22.05" customHeight="1">
      <c r="A452" s="1">
        <f>'01 Traffic inputs'!B402</f>
        <v>0.90486804249713604</v>
      </c>
      <c r="B452" s="1">
        <f>'01 Traffic inputs'!C402</f>
        <v>2.3972222718625681E-3</v>
      </c>
      <c r="C452" s="1">
        <f>IF('01 Traffic inputs'!$B$16&lt;=2/3,(4*A452*(1-A452))^$B$16,1-ABS(2*A452-1)^$B$17)</f>
        <v>2.6753284587054754E-2</v>
      </c>
      <c r="D452" s="1">
        <f>IF('01 Traffic inputs'!$B$16&lt;=2/3,4*$B$16*(1-2*A452)*(4*A452*(1-A452))^($B$16-1),-2*$B$17*SIGN(2*A452-1)*ABS(2*A452-1)^($B$17-1))</f>
        <v>-0.8547241067206558</v>
      </c>
      <c r="E452" s="1">
        <f t="shared" si="90"/>
        <v>11.354437616674831</v>
      </c>
      <c r="F452" s="1">
        <f t="shared" si="91"/>
        <v>1.7743155609380001E-2</v>
      </c>
      <c r="G452" s="1">
        <f t="shared" si="92"/>
        <v>0.20146355348965933</v>
      </c>
      <c r="H452" s="1">
        <f>'01 Traffic inputs'!$B$8/F452</f>
        <v>58.614150881380965</v>
      </c>
      <c r="I452" s="1">
        <f>MATCH(H452,'02 Emission rates'!$A$7:$A$15,1)</f>
        <v>5</v>
      </c>
      <c r="J452" s="1">
        <f>INDEX('02 Emission rates'!$D$7:$D$15,I452)</f>
        <v>15845.527995946721</v>
      </c>
      <c r="K452" s="1">
        <f>INDEX('02 Emission rates'!$E$7:$E$15,I452)</f>
        <v>20.885654518874212</v>
      </c>
      <c r="L452" s="1">
        <f>INDEX('02 Emission rates'!$F$7:$F$15,I452)</f>
        <v>98.655405882152721</v>
      </c>
      <c r="M452" s="1">
        <f>INDEX('02 Emission rates'!$G$7:$G$15,I452)</f>
        <v>4.4998305826136002</v>
      </c>
      <c r="N452" s="1">
        <f t="shared" si="93"/>
        <v>3192.2963769833068</v>
      </c>
      <c r="O452" s="1">
        <f t="shared" si="94"/>
        <v>4.2076981763297603</v>
      </c>
      <c r="P452" s="1">
        <f t="shared" si="95"/>
        <v>19.875468639983126</v>
      </c>
      <c r="Q452" s="1">
        <f t="shared" si="96"/>
        <v>0.90655185927477999</v>
      </c>
      <c r="R452" s="1">
        <f t="shared" si="97"/>
        <v>4340.9575050636968</v>
      </c>
      <c r="S452" s="1">
        <f t="shared" si="98"/>
        <v>189.61347548439855</v>
      </c>
      <c r="T452" s="1">
        <f t="shared" si="99"/>
        <v>1533960.8636909118</v>
      </c>
      <c r="U452" s="1">
        <f t="shared" si="100"/>
        <v>1193.8929871806415</v>
      </c>
      <c r="V452" s="1">
        <f t="shared" si="101"/>
        <v>13266.453954039836</v>
      </c>
      <c r="W452" s="1">
        <f t="shared" si="102"/>
        <v>574.57645404477489</v>
      </c>
      <c r="X452" s="1"/>
      <c r="Y452" s="1"/>
      <c r="Z452" s="1"/>
      <c r="AA452" s="1"/>
      <c r="AB452" s="1"/>
      <c r="AC452" s="1"/>
      <c r="AD452" s="1"/>
      <c r="AE452" s="1"/>
    </row>
    <row r="453" spans="1:31" ht="22.05" customHeight="1">
      <c r="A453" s="1">
        <f>'01 Traffic inputs'!B403</f>
        <v>0.90725172396498099</v>
      </c>
      <c r="B453" s="1">
        <f>'01 Traffic inputs'!C403</f>
        <v>2.3701141419349395E-3</v>
      </c>
      <c r="C453" s="1">
        <f>IF('01 Traffic inputs'!$B$16&lt;=2/3,(4*A453*(1-A453))^$B$16,1-ABS(2*A453-1)^$B$17)</f>
        <v>2.4764381645769284E-2</v>
      </c>
      <c r="D453" s="1">
        <f>IF('01 Traffic inputs'!$B$16&lt;=2/3,4*$B$16*(1-2*A453)*(4*A453*(1-A453))^($B$16-1),-2*$B$17*SIGN(2*A453-1)*ABS(2*A453-1)^($B$17-1))</f>
        <v>-0.81414882621101636</v>
      </c>
      <c r="E453" s="1">
        <f t="shared" si="90"/>
        <v>11.231975379669041</v>
      </c>
      <c r="F453" s="1">
        <f t="shared" si="91"/>
        <v>1.7629112412557154E-2</v>
      </c>
      <c r="G453" s="1">
        <f t="shared" si="92"/>
        <v>0.19800975658325984</v>
      </c>
      <c r="H453" s="1">
        <f>'01 Traffic inputs'!$B$8/F453</f>
        <v>58.993327381543736</v>
      </c>
      <c r="I453" s="1">
        <f>MATCH(H453,'02 Emission rates'!$A$7:$A$15,1)</f>
        <v>5</v>
      </c>
      <c r="J453" s="1">
        <f>INDEX('02 Emission rates'!$D$7:$D$15,I453)</f>
        <v>15845.527995946721</v>
      </c>
      <c r="K453" s="1">
        <f>INDEX('02 Emission rates'!$E$7:$E$15,I453)</f>
        <v>20.885654518874212</v>
      </c>
      <c r="L453" s="1">
        <f>INDEX('02 Emission rates'!$F$7:$F$15,I453)</f>
        <v>98.655405882152721</v>
      </c>
      <c r="M453" s="1">
        <f>INDEX('02 Emission rates'!$G$7:$G$15,I453)</f>
        <v>4.4998305826136002</v>
      </c>
      <c r="N453" s="1">
        <f t="shared" si="93"/>
        <v>3137.5691414106391</v>
      </c>
      <c r="O453" s="1">
        <f t="shared" si="94"/>
        <v>4.1355633673643437</v>
      </c>
      <c r="P453" s="1">
        <f t="shared" si="95"/>
        <v>19.534732904347759</v>
      </c>
      <c r="Q453" s="1">
        <f t="shared" si="96"/>
        <v>0.89101035832922726</v>
      </c>
      <c r="R453" s="1">
        <f t="shared" si="97"/>
        <v>4352.1894804433659</v>
      </c>
      <c r="S453" s="1">
        <f t="shared" si="98"/>
        <v>189.8114852409818</v>
      </c>
      <c r="T453" s="1">
        <f t="shared" si="99"/>
        <v>1537098.4328323223</v>
      </c>
      <c r="U453" s="1">
        <f t="shared" si="100"/>
        <v>1198.0285505480058</v>
      </c>
      <c r="V453" s="1">
        <f t="shared" si="101"/>
        <v>13285.988686944183</v>
      </c>
      <c r="W453" s="1">
        <f t="shared" si="102"/>
        <v>575.46746440310415</v>
      </c>
      <c r="X453" s="1"/>
      <c r="Y453" s="1"/>
      <c r="Z453" s="1"/>
      <c r="AA453" s="1"/>
      <c r="AB453" s="1"/>
      <c r="AC453" s="1"/>
      <c r="AD453" s="1"/>
      <c r="AE453" s="1"/>
    </row>
    <row r="454" spans="1:31" ht="22.05" customHeight="1">
      <c r="A454" s="1">
        <f>'01 Traffic inputs'!B404</f>
        <v>0.90960821803936798</v>
      </c>
      <c r="B454" s="1">
        <f>'01 Traffic inputs'!C404</f>
        <v>2.3428477874455917E-3</v>
      </c>
      <c r="C454" s="1">
        <f>IF('01 Traffic inputs'!$B$16&lt;=2/3,(4*A454*(1-A454))^$B$16,1-ABS(2*A454-1)^$B$17)</f>
        <v>2.2892472831239321E-2</v>
      </c>
      <c r="D454" s="1">
        <f>IF('01 Traffic inputs'!$B$16&lt;=2/3,4*$B$16*(1-2*A454)*(4*A454*(1-A454))^($B$16-1),-2*$B$17*SIGN(2*A454-1)*ABS(2*A454-1)^($B$17-1))</f>
        <v>-0.77468487109743489</v>
      </c>
      <c r="E454" s="1">
        <f t="shared" si="90"/>
        <v>11.108466454303068</v>
      </c>
      <c r="F454" s="1">
        <f t="shared" si="91"/>
        <v>1.7521777629678364E-2</v>
      </c>
      <c r="G454" s="1">
        <f t="shared" si="92"/>
        <v>0.19464007901904004</v>
      </c>
      <c r="H454" s="1">
        <f>'01 Traffic inputs'!$B$8/F454</f>
        <v>59.354708293893069</v>
      </c>
      <c r="I454" s="1">
        <f>MATCH(H454,'02 Emission rates'!$A$7:$A$15,1)</f>
        <v>5</v>
      </c>
      <c r="J454" s="1">
        <f>INDEX('02 Emission rates'!$D$7:$D$15,I454)</f>
        <v>15845.527995946721</v>
      </c>
      <c r="K454" s="1">
        <f>INDEX('02 Emission rates'!$E$7:$E$15,I454)</f>
        <v>20.885654518874212</v>
      </c>
      <c r="L454" s="1">
        <f>INDEX('02 Emission rates'!$F$7:$F$15,I454)</f>
        <v>98.655405882152721</v>
      </c>
      <c r="M454" s="1">
        <f>INDEX('02 Emission rates'!$G$7:$G$15,I454)</f>
        <v>4.4998305826136002</v>
      </c>
      <c r="N454" s="1">
        <f t="shared" si="93"/>
        <v>3084.174821229481</v>
      </c>
      <c r="O454" s="1">
        <f t="shared" si="94"/>
        <v>4.065185445918047</v>
      </c>
      <c r="P454" s="1">
        <f t="shared" si="95"/>
        <v>19.202295996557673</v>
      </c>
      <c r="Q454" s="1">
        <f t="shared" si="96"/>
        <v>0.87584738017220409</v>
      </c>
      <c r="R454" s="1">
        <f t="shared" si="97"/>
        <v>4363.2979468976691</v>
      </c>
      <c r="S454" s="1">
        <f t="shared" si="98"/>
        <v>190.00612532000085</v>
      </c>
      <c r="T454" s="1">
        <f t="shared" si="99"/>
        <v>1540182.6076535517</v>
      </c>
      <c r="U454" s="1">
        <f t="shared" si="100"/>
        <v>1202.0937359939239</v>
      </c>
      <c r="V454" s="1">
        <f t="shared" si="101"/>
        <v>13305.190982940741</v>
      </c>
      <c r="W454" s="1">
        <f t="shared" si="102"/>
        <v>576.34331178327636</v>
      </c>
      <c r="X454" s="1"/>
      <c r="Y454" s="1"/>
      <c r="Z454" s="1"/>
      <c r="AA454" s="1"/>
      <c r="AB454" s="1"/>
      <c r="AC454" s="1"/>
      <c r="AD454" s="1"/>
      <c r="AE454" s="1"/>
    </row>
    <row r="455" spans="1:31" ht="22.05" customHeight="1">
      <c r="A455" s="1">
        <f>'01 Traffic inputs'!B405</f>
        <v>0.91193736740498632</v>
      </c>
      <c r="B455" s="1">
        <f>'01 Traffic inputs'!C405</f>
        <v>2.3154250286469796E-3</v>
      </c>
      <c r="C455" s="1">
        <f>IF('01 Traffic inputs'!$B$16&lt;=2/3,(4*A455*(1-A455))^$B$16,1-ABS(2*A455-1)^$B$17)</f>
        <v>2.1132898439277396E-2</v>
      </c>
      <c r="D455" s="1">
        <f>IF('01 Traffic inputs'!$B$16&lt;=2/3,4*$B$16*(1-2*A455)*(4*A455*(1-A455))^($B$16-1),-2*$B$17*SIGN(2*A455-1)*ABS(2*A455-1)^($B$17-1))</f>
        <v>-0.73634375586642142</v>
      </c>
      <c r="E455" s="1">
        <f t="shared" si="90"/>
        <v>10.983922284431999</v>
      </c>
      <c r="F455" s="1">
        <f t="shared" si="91"/>
        <v>1.7420884074471864E-2</v>
      </c>
      <c r="G455" s="1">
        <f t="shared" si="92"/>
        <v>0.19134963680009803</v>
      </c>
      <c r="H455" s="1">
        <f>'01 Traffic inputs'!$B$8/F455</f>
        <v>59.698462807866967</v>
      </c>
      <c r="I455" s="1">
        <f>MATCH(H455,'02 Emission rates'!$A$7:$A$15,1)</f>
        <v>5</v>
      </c>
      <c r="J455" s="1">
        <f>INDEX('02 Emission rates'!$D$7:$D$15,I455)</f>
        <v>15845.527995946721</v>
      </c>
      <c r="K455" s="1">
        <f>INDEX('02 Emission rates'!$E$7:$E$15,I455)</f>
        <v>20.885654518874212</v>
      </c>
      <c r="L455" s="1">
        <f>INDEX('02 Emission rates'!$F$7:$F$15,I455)</f>
        <v>98.655405882152721</v>
      </c>
      <c r="M455" s="1">
        <f>INDEX('02 Emission rates'!$G$7:$G$15,I455)</f>
        <v>4.4998305826136002</v>
      </c>
      <c r="N455" s="1">
        <f t="shared" si="93"/>
        <v>3032.0360269301905</v>
      </c>
      <c r="O455" s="1">
        <f t="shared" si="94"/>
        <v>3.9964624065189067</v>
      </c>
      <c r="P455" s="1">
        <f t="shared" si="95"/>
        <v>18.877676083916178</v>
      </c>
      <c r="Q455" s="1">
        <f t="shared" si="96"/>
        <v>0.86104094764508599</v>
      </c>
      <c r="R455" s="1">
        <f t="shared" si="97"/>
        <v>4374.2818691821012</v>
      </c>
      <c r="S455" s="1">
        <f t="shared" si="98"/>
        <v>190.19747495680096</v>
      </c>
      <c r="T455" s="1">
        <f t="shared" si="99"/>
        <v>1543214.6436804819</v>
      </c>
      <c r="U455" s="1">
        <f t="shared" si="100"/>
        <v>1206.0901984004429</v>
      </c>
      <c r="V455" s="1">
        <f t="shared" si="101"/>
        <v>13324.068659024657</v>
      </c>
      <c r="W455" s="1">
        <f t="shared" si="102"/>
        <v>577.20435273092141</v>
      </c>
      <c r="X455" s="1"/>
      <c r="Y455" s="1"/>
      <c r="Z455" s="1"/>
      <c r="AA455" s="1"/>
      <c r="AB455" s="1"/>
      <c r="AC455" s="1"/>
      <c r="AD455" s="1"/>
      <c r="AE455" s="1"/>
    </row>
    <row r="456" spans="1:31" ht="22.05" customHeight="1">
      <c r="A456" s="1">
        <f>'01 Traffic inputs'!B406</f>
        <v>0.9142390165720089</v>
      </c>
      <c r="B456" s="1">
        <f>'01 Traffic inputs'!C406</f>
        <v>2.2878476962335504E-3</v>
      </c>
      <c r="C456" s="1">
        <f>IF('01 Traffic inputs'!$B$16&lt;=2/3,(4*A456*(1-A456))^$B$16,1-ABS(2*A456-1)^$B$17)</f>
        <v>1.9481046960732277E-2</v>
      </c>
      <c r="D456" s="1">
        <f>IF('01 Traffic inputs'!$B$16&lt;=2/3,4*$B$16*(1-2*A456)*(4*A456*(1-A456))^($B$16-1),-2*$B$17*SIGN(2*A456-1)*ABS(2*A456-1)^($B$17-1))</f>
        <v>-0.69913463996287462</v>
      </c>
      <c r="E456" s="1">
        <f t="shared" si="90"/>
        <v>10.858354856250681</v>
      </c>
      <c r="F456" s="1">
        <f t="shared" si="91"/>
        <v>1.7326167324157205E-2</v>
      </c>
      <c r="G456" s="1">
        <f t="shared" si="92"/>
        <v>0.18813367310447426</v>
      </c>
      <c r="H456" s="1">
        <f>'01 Traffic inputs'!$B$8/F456</f>
        <v>60.024815675766256</v>
      </c>
      <c r="I456" s="1">
        <f>MATCH(H456,'02 Emission rates'!$A$7:$A$15,1)</f>
        <v>5</v>
      </c>
      <c r="J456" s="1">
        <f>INDEX('02 Emission rates'!$D$7:$D$15,I456)</f>
        <v>15845.527995946721</v>
      </c>
      <c r="K456" s="1">
        <f>INDEX('02 Emission rates'!$E$7:$E$15,I456)</f>
        <v>20.885654518874212</v>
      </c>
      <c r="L456" s="1">
        <f>INDEX('02 Emission rates'!$F$7:$F$15,I456)</f>
        <v>98.655405882152721</v>
      </c>
      <c r="M456" s="1">
        <f>INDEX('02 Emission rates'!$G$7:$G$15,I456)</f>
        <v>4.4998305826136002</v>
      </c>
      <c r="N456" s="1">
        <f t="shared" si="93"/>
        <v>2981.0773841572354</v>
      </c>
      <c r="O456" s="1">
        <f t="shared" si="94"/>
        <v>3.9292948998268669</v>
      </c>
      <c r="P456" s="1">
        <f t="shared" si="95"/>
        <v>18.560403880222147</v>
      </c>
      <c r="Q456" s="1">
        <f t="shared" si="96"/>
        <v>0.84656965585494304</v>
      </c>
      <c r="R456" s="1">
        <f t="shared" si="97"/>
        <v>4385.1402240383522</v>
      </c>
      <c r="S456" s="1">
        <f t="shared" si="98"/>
        <v>190.38560862990545</v>
      </c>
      <c r="T456" s="1">
        <f t="shared" si="99"/>
        <v>1546195.7210646393</v>
      </c>
      <c r="U456" s="1">
        <f t="shared" si="100"/>
        <v>1210.0194933002697</v>
      </c>
      <c r="V456" s="1">
        <f t="shared" si="101"/>
        <v>13342.62906290488</v>
      </c>
      <c r="W456" s="1">
        <f t="shared" si="102"/>
        <v>578.05092238677639</v>
      </c>
      <c r="X456" s="1"/>
      <c r="Y456" s="1"/>
      <c r="Z456" s="1"/>
      <c r="AA456" s="1"/>
      <c r="AB456" s="1"/>
      <c r="AC456" s="1"/>
      <c r="AD456" s="1"/>
      <c r="AE456" s="1"/>
    </row>
    <row r="457" spans="1:31" ht="22.05" customHeight="1">
      <c r="A457" s="1">
        <f>'01 Traffic inputs'!B407</f>
        <v>0.91651301188647261</v>
      </c>
      <c r="B457" s="1">
        <f>'01 Traffic inputs'!C407</f>
        <v>2.2601176312181479E-3</v>
      </c>
      <c r="C457" s="1">
        <f>IF('01 Traffic inputs'!$B$16&lt;=2/3,(4*A457*(1-A457))^$B$16,1-ABS(2*A457-1)^$B$17)</f>
        <v>1.79323628476021E-2</v>
      </c>
      <c r="D457" s="1">
        <f>IF('01 Traffic inputs'!$B$16&lt;=2/3,4*$B$16*(1-2*A457)*(4*A457*(1-A457))^($B$16-1),-2*$B$17*SIGN(2*A457-1)*ABS(2*A457-1)^($B$17-1))</f>
        <v>-0.66306437031957899</v>
      </c>
      <c r="E457" s="1">
        <f t="shared" si="90"/>
        <v>10.731776671574849</v>
      </c>
      <c r="F457" s="1">
        <f t="shared" si="91"/>
        <v>1.7237366164752226E-2</v>
      </c>
      <c r="G457" s="1">
        <f t="shared" si="92"/>
        <v>0.18498756408628156</v>
      </c>
      <c r="H457" s="1">
        <f>'01 Traffic inputs'!$B$8/F457</f>
        <v>60.334043499444896</v>
      </c>
      <c r="I457" s="1">
        <f>MATCH(H457,'02 Emission rates'!$A$7:$A$15,1)</f>
        <v>5</v>
      </c>
      <c r="J457" s="1">
        <f>INDEX('02 Emission rates'!$D$7:$D$15,I457)</f>
        <v>15845.527995946721</v>
      </c>
      <c r="K457" s="1">
        <f>INDEX('02 Emission rates'!$E$7:$E$15,I457)</f>
        <v>20.885654518874212</v>
      </c>
      <c r="L457" s="1">
        <f>INDEX('02 Emission rates'!$F$7:$F$15,I457)</f>
        <v>98.655405882152721</v>
      </c>
      <c r="M457" s="1">
        <f>INDEX('02 Emission rates'!$G$7:$G$15,I457)</f>
        <v>4.4998305826136002</v>
      </c>
      <c r="N457" s="1">
        <f t="shared" si="93"/>
        <v>2931.2256256311625</v>
      </c>
      <c r="O457" s="1">
        <f t="shared" si="94"/>
        <v>3.8635863537941795</v>
      </c>
      <c r="P457" s="1">
        <f t="shared" si="95"/>
        <v>18.250023218082845</v>
      </c>
      <c r="Q457" s="1">
        <f t="shared" si="96"/>
        <v>0.83241269827864306</v>
      </c>
      <c r="R457" s="1">
        <f t="shared" si="97"/>
        <v>4395.8720007099273</v>
      </c>
      <c r="S457" s="1">
        <f t="shared" si="98"/>
        <v>190.57059619399172</v>
      </c>
      <c r="T457" s="1">
        <f t="shared" si="99"/>
        <v>1549126.9466902704</v>
      </c>
      <c r="U457" s="1">
        <f t="shared" si="100"/>
        <v>1213.883079654064</v>
      </c>
      <c r="V457" s="1">
        <f t="shared" si="101"/>
        <v>13360.879086122963</v>
      </c>
      <c r="W457" s="1">
        <f t="shared" si="102"/>
        <v>578.88333508505502</v>
      </c>
      <c r="X457" s="1"/>
      <c r="Y457" s="1"/>
      <c r="Z457" s="1"/>
      <c r="AA457" s="1"/>
      <c r="AB457" s="1"/>
      <c r="AC457" s="1"/>
      <c r="AD457" s="1"/>
      <c r="AE457" s="1"/>
    </row>
    <row r="458" spans="1:31" ht="22.05" customHeight="1">
      <c r="A458" s="1">
        <f>'01 Traffic inputs'!B408</f>
        <v>0.9187592015405357</v>
      </c>
      <c r="B458" s="1">
        <f>'01 Traffic inputs'!C408</f>
        <v>2.2322366848104408E-3</v>
      </c>
      <c r="C458" s="1">
        <f>IF('01 Traffic inputs'!$B$16&lt;=2/3,(4*A458*(1-A458))^$B$16,1-ABS(2*A458-1)^$B$17)</f>
        <v>1.6482353851541055E-2</v>
      </c>
      <c r="D458" s="1">
        <f>IF('01 Traffic inputs'!$B$16&lt;=2/3,4*$B$16*(1-2*A458)*(4*A458*(1-A458))^($B$16-1),-2*$B$17*SIGN(2*A458-1)*ABS(2*A458-1)^($B$17-1))</f>
        <v>-0.6281375281324858</v>
      </c>
      <c r="E458" s="1">
        <f t="shared" si="90"/>
        <v>10.604200720618461</v>
      </c>
      <c r="F458" s="1">
        <f t="shared" si="91"/>
        <v>1.715422301186121E-2</v>
      </c>
      <c r="G458" s="1">
        <f t="shared" si="92"/>
        <v>0.18190682402402844</v>
      </c>
      <c r="H458" s="1">
        <f>'01 Traffic inputs'!$B$8/F458</f>
        <v>60.62647076937948</v>
      </c>
      <c r="I458" s="1">
        <f>MATCH(H458,'02 Emission rates'!$A$7:$A$15,1)</f>
        <v>5</v>
      </c>
      <c r="J458" s="1">
        <f>INDEX('02 Emission rates'!$D$7:$D$15,I458)</f>
        <v>15845.527995946721</v>
      </c>
      <c r="K458" s="1">
        <f>INDEX('02 Emission rates'!$E$7:$E$15,I458)</f>
        <v>20.885654518874212</v>
      </c>
      <c r="L458" s="1">
        <f>INDEX('02 Emission rates'!$F$7:$F$15,I458)</f>
        <v>98.655405882152721</v>
      </c>
      <c r="M458" s="1">
        <f>INDEX('02 Emission rates'!$G$7:$G$15,I458)</f>
        <v>4.4998305826136002</v>
      </c>
      <c r="N458" s="1">
        <f t="shared" si="93"/>
        <v>2882.409672726496</v>
      </c>
      <c r="O458" s="1">
        <f t="shared" si="94"/>
        <v>3.7992430811915057</v>
      </c>
      <c r="P458" s="1">
        <f t="shared" si="95"/>
        <v>17.946091556823855</v>
      </c>
      <c r="Q458" s="1">
        <f t="shared" si="96"/>
        <v>0.81854988992943356</v>
      </c>
      <c r="R458" s="1">
        <f t="shared" si="97"/>
        <v>4406.4762014305461</v>
      </c>
      <c r="S458" s="1">
        <f t="shared" si="98"/>
        <v>190.75250301801574</v>
      </c>
      <c r="T458" s="1">
        <f t="shared" si="99"/>
        <v>1552009.3563629969</v>
      </c>
      <c r="U458" s="1">
        <f t="shared" si="100"/>
        <v>1217.6823227352554</v>
      </c>
      <c r="V458" s="1">
        <f t="shared" si="101"/>
        <v>13378.825177679786</v>
      </c>
      <c r="W458" s="1">
        <f t="shared" si="102"/>
        <v>579.70188497498441</v>
      </c>
      <c r="X458" s="1"/>
      <c r="Y458" s="1"/>
      <c r="Z458" s="1"/>
      <c r="AA458" s="1"/>
      <c r="AB458" s="1"/>
      <c r="AC458" s="1"/>
      <c r="AD458" s="1"/>
      <c r="AE458" s="1"/>
    </row>
    <row r="459" spans="1:31" ht="22.05" customHeight="1">
      <c r="A459" s="1">
        <f>'01 Traffic inputs'!B409</f>
        <v>0.92097743558261269</v>
      </c>
      <c r="B459" s="1">
        <f>'01 Traffic inputs'!C409</f>
        <v>2.2042067182921105E-3</v>
      </c>
      <c r="C459" s="1">
        <f>IF('01 Traffic inputs'!$B$16&lt;=2/3,(4*A459*(1-A459))^$B$16,1-ABS(2*A459-1)^$B$17)</f>
        <v>1.5126597927179986E-2</v>
      </c>
      <c r="D459" s="1">
        <f>IF('01 Traffic inputs'!$B$16&lt;=2/3,4*$B$16*(1-2*A459)*(4*A459*(1-A459))^($B$16-1),-2*$B$17*SIGN(2*A459-1)*ABS(2*A459-1)^($B$17-1))</f>
        <v>-0.59435647971777472</v>
      </c>
      <c r="E459" s="1">
        <f t="shared" si="90"/>
        <v>10.475640454333504</v>
      </c>
      <c r="F459" s="1">
        <f t="shared" si="91"/>
        <v>1.7076484306509543E-2</v>
      </c>
      <c r="G459" s="1">
        <f t="shared" si="92"/>
        <v>0.17888710981906258</v>
      </c>
      <c r="H459" s="1">
        <f>'01 Traffic inputs'!$B$8/F459</f>
        <v>60.90246571441952</v>
      </c>
      <c r="I459" s="1">
        <f>MATCH(H459,'02 Emission rates'!$A$7:$A$15,1)</f>
        <v>5</v>
      </c>
      <c r="J459" s="1">
        <f>INDEX('02 Emission rates'!$D$7:$D$15,I459)</f>
        <v>15845.527995946721</v>
      </c>
      <c r="K459" s="1">
        <f>INDEX('02 Emission rates'!$E$7:$E$15,I459)</f>
        <v>20.885654518874212</v>
      </c>
      <c r="L459" s="1">
        <f>INDEX('02 Emission rates'!$F$7:$F$15,I459)</f>
        <v>98.655405882152721</v>
      </c>
      <c r="M459" s="1">
        <f>INDEX('02 Emission rates'!$G$7:$G$15,I459)</f>
        <v>4.4998305826136002</v>
      </c>
      <c r="N459" s="1">
        <f t="shared" si="93"/>
        <v>2834.5607067519518</v>
      </c>
      <c r="O459" s="1">
        <f t="shared" si="94"/>
        <v>3.7361743735608517</v>
      </c>
      <c r="P459" s="1">
        <f t="shared" si="95"/>
        <v>17.648180426284846</v>
      </c>
      <c r="Q459" s="1">
        <f t="shared" si="96"/>
        <v>0.80496168759917552</v>
      </c>
      <c r="R459" s="1">
        <f t="shared" si="97"/>
        <v>4416.9518418848793</v>
      </c>
      <c r="S459" s="1">
        <f t="shared" si="98"/>
        <v>190.93139012783482</v>
      </c>
      <c r="T459" s="1">
        <f t="shared" si="99"/>
        <v>1554843.9170697487</v>
      </c>
      <c r="U459" s="1">
        <f t="shared" si="100"/>
        <v>1221.4184971088162</v>
      </c>
      <c r="V459" s="1">
        <f t="shared" si="101"/>
        <v>13396.47335810607</v>
      </c>
      <c r="W459" s="1">
        <f t="shared" si="102"/>
        <v>580.5068466625836</v>
      </c>
      <c r="X459" s="1"/>
      <c r="Y459" s="1"/>
      <c r="Z459" s="1"/>
      <c r="AA459" s="1"/>
      <c r="AB459" s="1"/>
      <c r="AC459" s="1"/>
      <c r="AD459" s="1"/>
      <c r="AE459" s="1"/>
    </row>
    <row r="460" spans="1:31" ht="22.05" customHeight="1">
      <c r="A460" s="1">
        <f>'01 Traffic inputs'!B410</f>
        <v>0.92316756592738414</v>
      </c>
      <c r="B460" s="1">
        <f>'01 Traffic inputs'!C410</f>
        <v>2.1760296028937275E-3</v>
      </c>
      <c r="C460" s="1">
        <f>IF('01 Traffic inputs'!$B$16&lt;=2/3,(4*A460*(1-A460))^$B$16,1-ABS(2*A460-1)^$B$17)</f>
        <v>1.3860749694161371E-2</v>
      </c>
      <c r="D460" s="1">
        <f>IF('01 Traffic inputs'!$B$16&lt;=2/3,4*$B$16*(1-2*A460)*(4*A460*(1-A460))^($B$16-1),-2*$B$17*SIGN(2*A460-1)*ABS(2*A460-1)^($B$17-1))</f>
        <v>-0.56172143127866581</v>
      </c>
      <c r="E460" s="1">
        <f t="shared" si="90"/>
        <v>10.346109756426744</v>
      </c>
      <c r="F460" s="1">
        <f t="shared" si="91"/>
        <v>1.7003900885675195E-2</v>
      </c>
      <c r="G460" s="1">
        <f t="shared" si="92"/>
        <v>0.1759242248505975</v>
      </c>
      <c r="H460" s="1">
        <f>'01 Traffic inputs'!$B$8/F460</f>
        <v>61.162436019381907</v>
      </c>
      <c r="I460" s="1">
        <f>MATCH(H460,'02 Emission rates'!$A$7:$A$15,1)</f>
        <v>5</v>
      </c>
      <c r="J460" s="1">
        <f>INDEX('02 Emission rates'!$D$7:$D$15,I460)</f>
        <v>15845.527995946721</v>
      </c>
      <c r="K460" s="1">
        <f>INDEX('02 Emission rates'!$E$7:$E$15,I460)</f>
        <v>20.885654518874212</v>
      </c>
      <c r="L460" s="1">
        <f>INDEX('02 Emission rates'!$F$7:$F$15,I460)</f>
        <v>98.655405882152721</v>
      </c>
      <c r="M460" s="1">
        <f>INDEX('02 Emission rates'!$G$7:$G$15,I460)</f>
        <v>4.4998305826136002</v>
      </c>
      <c r="N460" s="1">
        <f t="shared" si="93"/>
        <v>2787.6122300353686</v>
      </c>
      <c r="O460" s="1">
        <f t="shared" si="94"/>
        <v>3.6742925817303247</v>
      </c>
      <c r="P460" s="1">
        <f t="shared" si="95"/>
        <v>17.355875807138794</v>
      </c>
      <c r="Q460" s="1">
        <f t="shared" si="96"/>
        <v>0.79162920720531016</v>
      </c>
      <c r="R460" s="1">
        <f t="shared" si="97"/>
        <v>4427.2979516413061</v>
      </c>
      <c r="S460" s="1">
        <f t="shared" si="98"/>
        <v>191.10731435268542</v>
      </c>
      <c r="T460" s="1">
        <f t="shared" si="99"/>
        <v>1557631.5292997842</v>
      </c>
      <c r="U460" s="1">
        <f t="shared" si="100"/>
        <v>1225.0927896905464</v>
      </c>
      <c r="V460" s="1">
        <f t="shared" si="101"/>
        <v>13413.829233913209</v>
      </c>
      <c r="W460" s="1">
        <f t="shared" si="102"/>
        <v>581.29847586978894</v>
      </c>
      <c r="X460" s="1"/>
      <c r="Y460" s="1"/>
      <c r="Z460" s="1"/>
      <c r="AA460" s="1"/>
      <c r="AB460" s="1"/>
      <c r="AC460" s="1"/>
      <c r="AD460" s="1"/>
      <c r="AE460" s="1"/>
    </row>
    <row r="461" spans="1:31" ht="22.05" customHeight="1">
      <c r="A461" s="1">
        <f>'01 Traffic inputs'!B411</f>
        <v>0.92532944636568337</v>
      </c>
      <c r="B461" s="1">
        <f>'01 Traffic inputs'!C411</f>
        <v>2.1477072196684779E-3</v>
      </c>
      <c r="C461" s="1">
        <f>IF('01 Traffic inputs'!$B$16&lt;=2/3,(4*A461*(1-A461))^$B$16,1-ABS(2*A461-1)^$B$17)</f>
        <v>1.2680546453257001E-2</v>
      </c>
      <c r="D461" s="1">
        <f>IF('01 Traffic inputs'!$B$16&lt;=2/3,4*$B$16*(1-2*A461)*(4*A461*(1-A461))^($B$16-1),-2*$B$17*SIGN(2*A461-1)*ABS(2*A461-1)^($B$17-1))</f>
        <v>-0.53023048740222223</v>
      </c>
      <c r="E461" s="1">
        <f t="shared" si="90"/>
        <v>10.215622915120917</v>
      </c>
      <c r="F461" s="1">
        <f t="shared" si="91"/>
        <v>1.693622832725139E-2</v>
      </c>
      <c r="G461" s="1">
        <f t="shared" si="92"/>
        <v>0.17301412219558931</v>
      </c>
      <c r="H461" s="1">
        <f>'01 Traffic inputs'!$B$8/F461</f>
        <v>61.406824465551111</v>
      </c>
      <c r="I461" s="1">
        <f>MATCH(H461,'02 Emission rates'!$A$7:$A$15,1)</f>
        <v>5</v>
      </c>
      <c r="J461" s="1">
        <f>INDEX('02 Emission rates'!$D$7:$D$15,I461)</f>
        <v>15845.527995946721</v>
      </c>
      <c r="K461" s="1">
        <f>INDEX('02 Emission rates'!$E$7:$E$15,I461)</f>
        <v>20.885654518874212</v>
      </c>
      <c r="L461" s="1">
        <f>INDEX('02 Emission rates'!$F$7:$F$15,I461)</f>
        <v>98.655405882152721</v>
      </c>
      <c r="M461" s="1">
        <f>INDEX('02 Emission rates'!$G$7:$G$15,I461)</f>
        <v>4.4998305826136002</v>
      </c>
      <c r="N461" s="1">
        <f t="shared" si="93"/>
        <v>2741.5001169443576</v>
      </c>
      <c r="O461" s="1">
        <f t="shared" si="94"/>
        <v>3.6135131830633651</v>
      </c>
      <c r="P461" s="1">
        <f t="shared" si="95"/>
        <v>17.068778448550233</v>
      </c>
      <c r="Q461" s="1">
        <f t="shared" si="96"/>
        <v>0.77853423827975932</v>
      </c>
      <c r="R461" s="1">
        <f t="shared" si="97"/>
        <v>4437.5135745564266</v>
      </c>
      <c r="S461" s="1">
        <f t="shared" si="98"/>
        <v>191.280328474881</v>
      </c>
      <c r="T461" s="1">
        <f t="shared" si="99"/>
        <v>1560373.0294167285</v>
      </c>
      <c r="U461" s="1">
        <f t="shared" si="100"/>
        <v>1228.7063028736097</v>
      </c>
      <c r="V461" s="1">
        <f t="shared" si="101"/>
        <v>13430.89801236176</v>
      </c>
      <c r="W461" s="1">
        <f t="shared" si="102"/>
        <v>582.07701010806875</v>
      </c>
      <c r="X461" s="1"/>
      <c r="Y461" s="1"/>
      <c r="Z461" s="1"/>
      <c r="AA461" s="1"/>
      <c r="AB461" s="1"/>
      <c r="AC461" s="1"/>
      <c r="AD461" s="1"/>
      <c r="AE461" s="1"/>
    </row>
    <row r="462" spans="1:31" ht="22.05" customHeight="1">
      <c r="A462" s="1">
        <f>'01 Traffic inputs'!B412</f>
        <v>0.92746293257425627</v>
      </c>
      <c r="B462" s="1">
        <f>'01 Traffic inputs'!C412</f>
        <v>2.1192414593682791E-3</v>
      </c>
      <c r="C462" s="1">
        <f>IF('01 Traffic inputs'!$B$16&lt;=2/3,(4*A462*(1-A462))^$B$16,1-ABS(2*A462-1)^$B$17)</f>
        <v>1.1581813753399527E-2</v>
      </c>
      <c r="D462" s="1">
        <f>IF('01 Traffic inputs'!$B$16&lt;=2/3,4*$B$16*(1-2*A462)*(4*A462*(1-A462))^($B$16-1),-2*$B$17*SIGN(2*A462-1)*ABS(2*A462-1)^($B$17-1))</f>
        <v>-0.49987971309927481</v>
      </c>
      <c r="E462" s="1">
        <f t="shared" si="90"/>
        <v>10.084194594776276</v>
      </c>
      <c r="F462" s="1">
        <f t="shared" si="91"/>
        <v>1.6873227269258807E-2</v>
      </c>
      <c r="G462" s="1">
        <f t="shared" si="92"/>
        <v>0.17015290722509133</v>
      </c>
      <c r="H462" s="1">
        <f>'01 Traffic inputs'!$B$8/F462</f>
        <v>61.636104546211371</v>
      </c>
      <c r="I462" s="1">
        <f>MATCH(H462,'02 Emission rates'!$A$7:$A$15,1)</f>
        <v>5</v>
      </c>
      <c r="J462" s="1">
        <f>INDEX('02 Emission rates'!$D$7:$D$15,I462)</f>
        <v>15845.527995946721</v>
      </c>
      <c r="K462" s="1">
        <f>INDEX('02 Emission rates'!$E$7:$E$15,I462)</f>
        <v>20.885654518874212</v>
      </c>
      <c r="L462" s="1">
        <f>INDEX('02 Emission rates'!$F$7:$F$15,I462)</f>
        <v>98.655405882152721</v>
      </c>
      <c r="M462" s="1">
        <f>INDEX('02 Emission rates'!$G$7:$G$15,I462)</f>
        <v>4.4998305826136002</v>
      </c>
      <c r="N462" s="1">
        <f t="shared" si="93"/>
        <v>2696.1626550269098</v>
      </c>
      <c r="O462" s="1">
        <f t="shared" si="94"/>
        <v>3.553754835685313</v>
      </c>
      <c r="P462" s="1">
        <f t="shared" si="95"/>
        <v>16.786504124319659</v>
      </c>
      <c r="Q462" s="1">
        <f t="shared" si="96"/>
        <v>0.76565925565208059</v>
      </c>
      <c r="R462" s="1">
        <f t="shared" si="97"/>
        <v>4447.5977691512026</v>
      </c>
      <c r="S462" s="1">
        <f t="shared" si="98"/>
        <v>191.45048138210609</v>
      </c>
      <c r="T462" s="1">
        <f t="shared" si="99"/>
        <v>1563069.1920717554</v>
      </c>
      <c r="U462" s="1">
        <f t="shared" si="100"/>
        <v>1232.2600577092951</v>
      </c>
      <c r="V462" s="1">
        <f t="shared" si="101"/>
        <v>13447.684516486081</v>
      </c>
      <c r="W462" s="1">
        <f t="shared" si="102"/>
        <v>582.8426693637208</v>
      </c>
      <c r="X462" s="1"/>
      <c r="Y462" s="1"/>
      <c r="Z462" s="1"/>
      <c r="AA462" s="1"/>
      <c r="AB462" s="1"/>
      <c r="AC462" s="1"/>
      <c r="AD462" s="1"/>
      <c r="AE462" s="1"/>
    </row>
    <row r="463" spans="1:31" ht="22.05" customHeight="1">
      <c r="A463" s="1">
        <f>'01 Traffic inputs'!B413</f>
        <v>0.9295678821253972</v>
      </c>
      <c r="B463" s="1">
        <f>'01 Traffic inputs'!C413</f>
        <v>2.0906342223155979E-3</v>
      </c>
      <c r="C463" s="1">
        <f>IF('01 Traffic inputs'!$B$16&lt;=2/3,(4*A463*(1-A463))^$B$16,1-ABS(2*A463-1)^$B$17)</f>
        <v>1.0560470507898686E-2</v>
      </c>
      <c r="D463" s="1">
        <f>IF('01 Traffic inputs'!$B$16&lt;=2/3,4*$B$16*(1-2*A463)*(4*A463*(1-A463))^($B$16-1),-2*$B$17*SIGN(2*A463-1)*ABS(2*A463-1)^($B$17-1))</f>
        <v>-0.47066319919376981</v>
      </c>
      <c r="E463" s="1">
        <f t="shared" si="90"/>
        <v>9.9518398074292271</v>
      </c>
      <c r="F463" s="1">
        <f t="shared" si="91"/>
        <v>1.6814663703208142E-2</v>
      </c>
      <c r="G463" s="1">
        <f t="shared" si="92"/>
        <v>0.16733683959012213</v>
      </c>
      <c r="H463" s="1">
        <f>'01 Traffic inputs'!$B$8/F463</f>
        <v>61.850776105715063</v>
      </c>
      <c r="I463" s="1">
        <f>MATCH(H463,'02 Emission rates'!$A$7:$A$15,1)</f>
        <v>5</v>
      </c>
      <c r="J463" s="1">
        <f>INDEX('02 Emission rates'!$D$7:$D$15,I463)</f>
        <v>15845.527995946721</v>
      </c>
      <c r="K463" s="1">
        <f>INDEX('02 Emission rates'!$E$7:$E$15,I463)</f>
        <v>20.885654518874212</v>
      </c>
      <c r="L463" s="1">
        <f>INDEX('02 Emission rates'!$F$7:$F$15,I463)</f>
        <v>98.655405882152721</v>
      </c>
      <c r="M463" s="1">
        <f>INDEX('02 Emission rates'!$G$7:$G$15,I463)</f>
        <v>4.4998305826136002</v>
      </c>
      <c r="N463" s="1">
        <f t="shared" si="93"/>
        <v>2651.540576478526</v>
      </c>
      <c r="O463" s="1">
        <f t="shared" si="94"/>
        <v>3.4949394199595636</v>
      </c>
      <c r="P463" s="1">
        <f t="shared" si="95"/>
        <v>16.50868382880018</v>
      </c>
      <c r="Q463" s="1">
        <f t="shared" si="96"/>
        <v>0.75298742838553789</v>
      </c>
      <c r="R463" s="1">
        <f t="shared" si="97"/>
        <v>4457.5496089586322</v>
      </c>
      <c r="S463" s="1">
        <f t="shared" si="98"/>
        <v>191.61781822169621</v>
      </c>
      <c r="T463" s="1">
        <f t="shared" si="99"/>
        <v>1565720.7326482339</v>
      </c>
      <c r="U463" s="1">
        <f t="shared" si="100"/>
        <v>1235.7549971292547</v>
      </c>
      <c r="V463" s="1">
        <f t="shared" si="101"/>
        <v>13464.193200314881</v>
      </c>
      <c r="W463" s="1">
        <f t="shared" si="102"/>
        <v>583.5956567921063</v>
      </c>
      <c r="X463" s="1"/>
      <c r="Y463" s="1"/>
      <c r="Z463" s="1"/>
      <c r="AA463" s="1"/>
      <c r="AB463" s="1"/>
      <c r="AC463" s="1"/>
      <c r="AD463" s="1"/>
      <c r="AE463" s="1"/>
    </row>
    <row r="464" spans="1:31" ht="22.05" customHeight="1">
      <c r="A464" s="1">
        <f>'01 Traffic inputs'!B414</f>
        <v>0.93164415449645599</v>
      </c>
      <c r="B464" s="1">
        <f>'01 Traffic inputs'!C414</f>
        <v>2.0618874182788322E-3</v>
      </c>
      <c r="C464" s="1">
        <f>IF('01 Traffic inputs'!$B$16&lt;=2/3,(4*A464*(1-A464))^$B$16,1-ABS(2*A464-1)^$B$17)</f>
        <v>9.612533659540002E-3</v>
      </c>
      <c r="D464" s="1">
        <f>IF('01 Traffic inputs'!$B$16&lt;=2/3,4*$B$16*(1-2*A464)*(4*A464*(1-A464))^($B$16-1),-2*$B$17*SIGN(2*A464-1)*ABS(2*A464-1)^($B$17-1))</f>
        <v>-0.44257313086171085</v>
      </c>
      <c r="E464" s="1">
        <f t="shared" si="90"/>
        <v>9.8185738843725421</v>
      </c>
      <c r="F464" s="1">
        <f t="shared" si="91"/>
        <v>1.6760309241595685E-2</v>
      </c>
      <c r="G464" s="1">
        <f t="shared" si="92"/>
        <v>0.16456233461353917</v>
      </c>
      <c r="H464" s="1">
        <f>'01 Traffic inputs'!$B$8/F464</f>
        <v>62.051361046426969</v>
      </c>
      <c r="I464" s="1">
        <f>MATCH(H464,'02 Emission rates'!$A$7:$A$15,1)</f>
        <v>5</v>
      </c>
      <c r="J464" s="1">
        <f>INDEX('02 Emission rates'!$D$7:$D$15,I464)</f>
        <v>15845.527995946721</v>
      </c>
      <c r="K464" s="1">
        <f>INDEX('02 Emission rates'!$E$7:$E$15,I464)</f>
        <v>20.885654518874212</v>
      </c>
      <c r="L464" s="1">
        <f>INDEX('02 Emission rates'!$F$7:$F$15,I464)</f>
        <v>98.655405882152721</v>
      </c>
      <c r="M464" s="1">
        <f>INDEX('02 Emission rates'!$G$7:$G$15,I464)</f>
        <v>4.4998305826136002</v>
      </c>
      <c r="N464" s="1">
        <f t="shared" si="93"/>
        <v>2607.5770801971871</v>
      </c>
      <c r="O464" s="1">
        <f t="shared" si="94"/>
        <v>3.4369920675577545</v>
      </c>
      <c r="P464" s="1">
        <f t="shared" si="95"/>
        <v>16.234963914213335</v>
      </c>
      <c r="Q464" s="1">
        <f t="shared" si="96"/>
        <v>0.74050262604029615</v>
      </c>
      <c r="R464" s="1">
        <f t="shared" si="97"/>
        <v>4467.3681828430044</v>
      </c>
      <c r="S464" s="1">
        <f t="shared" si="98"/>
        <v>191.78238055630976</v>
      </c>
      <c r="T464" s="1">
        <f t="shared" si="99"/>
        <v>1568328.309728431</v>
      </c>
      <c r="U464" s="1">
        <f t="shared" si="100"/>
        <v>1239.1919891968125</v>
      </c>
      <c r="V464" s="1">
        <f t="shared" si="101"/>
        <v>13480.428164229095</v>
      </c>
      <c r="W464" s="1">
        <f t="shared" si="102"/>
        <v>584.33615941814662</v>
      </c>
      <c r="X464" s="1"/>
      <c r="Y464" s="1"/>
      <c r="Z464" s="1"/>
      <c r="AA464" s="1"/>
      <c r="AB464" s="1"/>
      <c r="AC464" s="1"/>
      <c r="AD464" s="1"/>
      <c r="AE464" s="1"/>
    </row>
    <row r="465" spans="1:31" ht="22.05" customHeight="1">
      <c r="A465" s="1">
        <f>'01 Traffic inputs'!B415</f>
        <v>0.93369161107921972</v>
      </c>
      <c r="B465" s="1">
        <f>'01 Traffic inputs'!C415</f>
        <v>2.0330029663425332E-3</v>
      </c>
      <c r="C465" s="1">
        <f>IF('01 Traffic inputs'!$B$16&lt;=2/3,(4*A465*(1-A465))^$B$16,1-ABS(2*A465-1)^$B$17)</f>
        <v>8.7341223956577379E-3</v>
      </c>
      <c r="D465" s="1">
        <f>IF('01 Traffic inputs'!$B$16&lt;=2/3,4*$B$16*(1-2*A465)*(4*A465*(1-A465))^($B$16-1),-2*$B$17*SIGN(2*A465-1)*ABS(2*A465-1)^($B$17-1))</f>
        <v>-0.41559985911399128</v>
      </c>
      <c r="E465" s="1">
        <f t="shared" ref="E465:E528" si="103">$B$7*B465*(1+$B$11/$B$9*D465)</f>
        <v>9.6844124478210691</v>
      </c>
      <c r="F465" s="1">
        <f t="shared" ref="F465:F528" si="104">$B$10+$B$11*C465</f>
        <v>1.6709941359594575E-2</v>
      </c>
      <c r="G465" s="1">
        <f t="shared" ref="G465:G528" si="105">E465*F465</f>
        <v>0.16182596410521782</v>
      </c>
      <c r="H465" s="1">
        <f>'01 Traffic inputs'!$B$8/F465</f>
        <v>62.238399143326106</v>
      </c>
      <c r="I465" s="1">
        <f>MATCH(H465,'02 Emission rates'!$A$7:$A$15,1)</f>
        <v>5</v>
      </c>
      <c r="J465" s="1">
        <f>INDEX('02 Emission rates'!$D$7:$D$15,I465)</f>
        <v>15845.527995946721</v>
      </c>
      <c r="K465" s="1">
        <f>INDEX('02 Emission rates'!$E$7:$E$15,I465)</f>
        <v>20.885654518874212</v>
      </c>
      <c r="L465" s="1">
        <f>INDEX('02 Emission rates'!$F$7:$F$15,I465)</f>
        <v>98.655405882152721</v>
      </c>
      <c r="M465" s="1">
        <f>INDEX('02 Emission rates'!$G$7:$G$15,I465)</f>
        <v>4.4998305826136002</v>
      </c>
      <c r="N465" s="1">
        <f t="shared" ref="N465:N528" si="106">G465*J465</f>
        <v>2564.217844700298</v>
      </c>
      <c r="O465" s="1">
        <f t="shared" ref="O465:O528" si="107">G465*K465</f>
        <v>3.3798411784853184</v>
      </c>
      <c r="P465" s="1">
        <f t="shared" ref="P465:P528" si="108">G465*L465</f>
        <v>15.965006171070941</v>
      </c>
      <c r="Q465" s="1">
        <f t="shared" ref="Q465:Q528" si="109">G465*M465</f>
        <v>0.7281894223415899</v>
      </c>
      <c r="R465" s="1">
        <f t="shared" ref="R465:R527" si="110">R464+E465</f>
        <v>4477.0525952908256</v>
      </c>
      <c r="S465" s="1">
        <f t="shared" ref="S465:S528" si="111">S464+G465</f>
        <v>191.94420652041498</v>
      </c>
      <c r="T465" s="1">
        <f t="shared" ref="T465:T528" si="112">T464+N465</f>
        <v>1570892.5275731313</v>
      </c>
      <c r="U465" s="1">
        <f t="shared" ref="U465:U528" si="113">U464+O465</f>
        <v>1242.5718303752978</v>
      </c>
      <c r="V465" s="1">
        <f t="shared" ref="V465:V528" si="114">V464+P465</f>
        <v>13496.393170400166</v>
      </c>
      <c r="W465" s="1">
        <f t="shared" ref="W465:W528" si="115">W464+Q465</f>
        <v>585.06434884048826</v>
      </c>
      <c r="X465" s="1"/>
      <c r="Y465" s="1"/>
      <c r="Z465" s="1"/>
      <c r="AA465" s="1"/>
      <c r="AB465" s="1"/>
      <c r="AC465" s="1"/>
      <c r="AD465" s="1"/>
      <c r="AE465" s="1"/>
    </row>
    <row r="466" spans="1:31" ht="22.05" customHeight="1">
      <c r="A466" s="1">
        <f>'01 Traffic inputs'!B416</f>
        <v>0.93571011518916558</v>
      </c>
      <c r="B466" s="1">
        <f>'01 Traffic inputs'!C416</f>
        <v>2.0039827947812561E-3</v>
      </c>
      <c r="C466" s="1">
        <f>IF('01 Traffic inputs'!$B$16&lt;=2/3,(4*A466*(1-A466))^$B$16,1-ABS(2*A466-1)^$B$17)</f>
        <v>7.9214619156466517E-3</v>
      </c>
      <c r="D466" s="1">
        <f>IF('01 Traffic inputs'!$B$16&lt;=2/3,4*$B$16*(1-2*A466)*(4*A466*(1-A466))^($B$16-1),-2*$B$17*SIGN(2*A466-1)*ABS(2*A466-1)^($B$17-1))</f>
        <v>-0.38973197501227147</v>
      </c>
      <c r="E466" s="1">
        <f t="shared" si="103"/>
        <v>9.5493713827883298</v>
      </c>
      <c r="F466" s="1">
        <f t="shared" si="104"/>
        <v>1.6663343611082949E-2</v>
      </c>
      <c r="G466" s="1">
        <f t="shared" si="105"/>
        <v>0.15912445662124425</v>
      </c>
      <c r="H466" s="1">
        <f>'01 Traffic inputs'!$B$8/F466</f>
        <v>62.412444001233133</v>
      </c>
      <c r="I466" s="1">
        <f>MATCH(H466,'02 Emission rates'!$A$7:$A$15,1)</f>
        <v>5</v>
      </c>
      <c r="J466" s="1">
        <f>INDEX('02 Emission rates'!$D$7:$D$15,I466)</f>
        <v>15845.527995946721</v>
      </c>
      <c r="K466" s="1">
        <f>INDEX('02 Emission rates'!$E$7:$E$15,I466)</f>
        <v>20.885654518874212</v>
      </c>
      <c r="L466" s="1">
        <f>INDEX('02 Emission rates'!$F$7:$F$15,I466)</f>
        <v>98.655405882152721</v>
      </c>
      <c r="M466" s="1">
        <f>INDEX('02 Emission rates'!$G$7:$G$15,I466)</f>
        <v>4.4998305826136002</v>
      </c>
      <c r="N466" s="1">
        <f t="shared" si="106"/>
        <v>2521.4110322317351</v>
      </c>
      <c r="O466" s="1">
        <f t="shared" si="107"/>
        <v>3.3234184264948934</v>
      </c>
      <c r="P466" s="1">
        <f t="shared" si="108"/>
        <v>15.698487853745855</v>
      </c>
      <c r="Q466" s="1">
        <f t="shared" si="109"/>
        <v>0.71603309634604606</v>
      </c>
      <c r="R466" s="1">
        <f t="shared" si="110"/>
        <v>4486.6019666736138</v>
      </c>
      <c r="S466" s="1">
        <f t="shared" si="111"/>
        <v>192.10333097703622</v>
      </c>
      <c r="T466" s="1">
        <f t="shared" si="112"/>
        <v>1573413.938605363</v>
      </c>
      <c r="U466" s="1">
        <f t="shared" si="113"/>
        <v>1245.8952488017928</v>
      </c>
      <c r="V466" s="1">
        <f t="shared" si="114"/>
        <v>13512.091658253912</v>
      </c>
      <c r="W466" s="1">
        <f t="shared" si="115"/>
        <v>585.78038193683426</v>
      </c>
      <c r="X466" s="1"/>
      <c r="Y466" s="1"/>
      <c r="Z466" s="1"/>
      <c r="AA466" s="1"/>
      <c r="AB466" s="1"/>
      <c r="AC466" s="1"/>
      <c r="AD466" s="1"/>
      <c r="AE466" s="1"/>
    </row>
    <row r="467" spans="1:31" ht="22.05" customHeight="1">
      <c r="A467" s="1">
        <f>'01 Traffic inputs'!B417</f>
        <v>0.93769953207458623</v>
      </c>
      <c r="B467" s="1">
        <f>'01 Traffic inputs'!C417</f>
        <v>1.9748288409294581E-3</v>
      </c>
      <c r="C467" s="1">
        <f>IF('01 Traffic inputs'!$B$16&lt;=2/3,(4*A467*(1-A467))^$B$16,1-ABS(2*A467-1)^$B$17)</f>
        <v>7.1708867547111413E-3</v>
      </c>
      <c r="D467" s="1">
        <f>IF('01 Traffic inputs'!$B$16&lt;=2/3,4*$B$16*(1-2*A467)*(4*A467*(1-A467))^($B$16-1),-2*$B$17*SIGN(2*A467-1)*ABS(2*A467-1)^($B$17-1))</f>
        <v>-0.36495638640226741</v>
      </c>
      <c r="E467" s="1">
        <f t="shared" si="103"/>
        <v>9.4134668092192619</v>
      </c>
      <c r="F467" s="1">
        <f t="shared" si="104"/>
        <v>1.662030581922691E-2</v>
      </c>
      <c r="G467" s="1">
        <f t="shared" si="105"/>
        <v>0.15645469718836627</v>
      </c>
      <c r="H467" s="1">
        <f>'01 Traffic inputs'!$B$8/F467</f>
        <v>62.5740591846941</v>
      </c>
      <c r="I467" s="1">
        <f>MATCH(H467,'02 Emission rates'!$A$7:$A$15,1)</f>
        <v>5</v>
      </c>
      <c r="J467" s="1">
        <f>INDEX('02 Emission rates'!$D$7:$D$15,I467)</f>
        <v>15845.527995946721</v>
      </c>
      <c r="K467" s="1">
        <f>INDEX('02 Emission rates'!$E$7:$E$15,I467)</f>
        <v>20.885654518874212</v>
      </c>
      <c r="L467" s="1">
        <f>INDEX('02 Emission rates'!$F$7:$F$15,I467)</f>
        <v>98.655405882152721</v>
      </c>
      <c r="M467" s="1">
        <f>INDEX('02 Emission rates'!$G$7:$G$15,I467)</f>
        <v>4.4998305826136002</v>
      </c>
      <c r="N467" s="1">
        <f t="shared" si="106"/>
        <v>2479.1072843956244</v>
      </c>
      <c r="O467" s="1">
        <f t="shared" si="107"/>
        <v>3.2676587533312986</v>
      </c>
      <c r="P467" s="1">
        <f t="shared" si="108"/>
        <v>15.435101653287573</v>
      </c>
      <c r="Q467" s="1">
        <f t="shared" si="109"/>
        <v>0.70401963120176059</v>
      </c>
      <c r="R467" s="1">
        <f t="shared" si="110"/>
        <v>4496.015433482833</v>
      </c>
      <c r="S467" s="1">
        <f t="shared" si="111"/>
        <v>192.25978567422459</v>
      </c>
      <c r="T467" s="1">
        <f t="shared" si="112"/>
        <v>1575893.0458897587</v>
      </c>
      <c r="U467" s="1">
        <f t="shared" si="113"/>
        <v>1249.1629075551241</v>
      </c>
      <c r="V467" s="1">
        <f t="shared" si="114"/>
        <v>13527.526759907199</v>
      </c>
      <c r="W467" s="1">
        <f t="shared" si="115"/>
        <v>586.48440156803599</v>
      </c>
      <c r="X467" s="1"/>
      <c r="Y467" s="1"/>
      <c r="Z467" s="1"/>
      <c r="AA467" s="1"/>
      <c r="AB467" s="1"/>
      <c r="AC467" s="1"/>
      <c r="AD467" s="1"/>
      <c r="AE467" s="1"/>
    </row>
    <row r="468" spans="1:31" ht="22.05" customHeight="1">
      <c r="A468" s="1">
        <f>'01 Traffic inputs'!B418</f>
        <v>0.93965972892558502</v>
      </c>
      <c r="B468" s="1">
        <f>'01 Traffic inputs'!C418</f>
        <v>1.9455430510525271E-3</v>
      </c>
      <c r="C468" s="1">
        <f>IF('01 Traffic inputs'!$B$16&lt;=2/3,(4*A468*(1-A468))^$B$16,1-ABS(2*A468-1)^$B$17)</f>
        <v>6.4788436689510853E-3</v>
      </c>
      <c r="D468" s="1">
        <f>IF('01 Traffic inputs'!$B$16&lt;=2/3,4*$B$16*(1-2*A468)*(4*A468*(1-A468))^($B$16-1),-2*$B$17*SIGN(2*A468-1)*ABS(2*A468-1)^($B$17-1))</f>
        <v>-0.34125839694465243</v>
      </c>
      <c r="E468" s="1">
        <f t="shared" si="103"/>
        <v>9.2767150544822758</v>
      </c>
      <c r="F468" s="1">
        <f t="shared" si="104"/>
        <v>1.6580624241910615E-2</v>
      </c>
      <c r="G468" s="1">
        <f t="shared" si="105"/>
        <v>0.15381372651764597</v>
      </c>
      <c r="H468" s="1">
        <f>'01 Traffic inputs'!$B$8/F468</f>
        <v>62.723814545608413</v>
      </c>
      <c r="I468" s="1">
        <f>MATCH(H468,'02 Emission rates'!$A$7:$A$15,1)</f>
        <v>5</v>
      </c>
      <c r="J468" s="1">
        <f>INDEX('02 Emission rates'!$D$7:$D$15,I468)</f>
        <v>15845.527995946721</v>
      </c>
      <c r="K468" s="1">
        <f>INDEX('02 Emission rates'!$E$7:$E$15,I468)</f>
        <v>20.885654518874212</v>
      </c>
      <c r="L468" s="1">
        <f>INDEX('02 Emission rates'!$F$7:$F$15,I468)</f>
        <v>98.655405882152721</v>
      </c>
      <c r="M468" s="1">
        <f>INDEX('02 Emission rates'!$G$7:$G$15,I468)</f>
        <v>4.4998305826136002</v>
      </c>
      <c r="N468" s="1">
        <f t="shared" si="106"/>
        <v>2437.2597096962518</v>
      </c>
      <c r="O468" s="1">
        <f t="shared" si="107"/>
        <v>3.2125003523081546</v>
      </c>
      <c r="P468" s="1">
        <f t="shared" si="108"/>
        <v>15.174555619844799</v>
      </c>
      <c r="Q468" s="1">
        <f t="shared" si="109"/>
        <v>0.69213571060986778</v>
      </c>
      <c r="R468" s="1">
        <f t="shared" si="110"/>
        <v>4505.2921485373154</v>
      </c>
      <c r="S468" s="1">
        <f t="shared" si="111"/>
        <v>192.41359940074224</v>
      </c>
      <c r="T468" s="1">
        <f t="shared" si="112"/>
        <v>1578330.305599455</v>
      </c>
      <c r="U468" s="1">
        <f t="shared" si="113"/>
        <v>1252.3754079074322</v>
      </c>
      <c r="V468" s="1">
        <f t="shared" si="114"/>
        <v>13542.701315527045</v>
      </c>
      <c r="W468" s="1">
        <f t="shared" si="115"/>
        <v>587.17653727864581</v>
      </c>
      <c r="X468" s="1"/>
      <c r="Y468" s="1"/>
      <c r="Z468" s="1"/>
      <c r="AA468" s="1"/>
      <c r="AB468" s="1"/>
      <c r="AC468" s="1"/>
      <c r="AD468" s="1"/>
      <c r="AE468" s="1"/>
    </row>
    <row r="469" spans="1:31" ht="22.05" customHeight="1">
      <c r="A469" s="1">
        <f>'01 Traffic inputs'!B419</f>
        <v>0.94159057488294229</v>
      </c>
      <c r="B469" s="1">
        <f>'01 Traffic inputs'!C419</f>
        <v>1.9161273802176767E-3</v>
      </c>
      <c r="C469" s="1">
        <f>IF('01 Traffic inputs'!$B$16&lt;=2/3,(4*A469*(1-A469))^$B$16,1-ABS(2*A469-1)^$B$17)</f>
        <v>5.8418940881410164E-3</v>
      </c>
      <c r="D469" s="1">
        <f>IF('01 Traffic inputs'!$B$16&lt;=2/3,4*$B$16*(1-2*A469)*(4*A469*(1-A469))^($B$16-1),-2*$B$17*SIGN(2*A469-1)*ABS(2*A469-1)^($B$17-1))</f>
        <v>-0.31862178722007983</v>
      </c>
      <c r="E469" s="1">
        <f t="shared" si="103"/>
        <v>9.1391326262909764</v>
      </c>
      <c r="F469" s="1">
        <f t="shared" si="104"/>
        <v>1.6544101712378027E-2</v>
      </c>
      <c r="G469" s="1">
        <f t="shared" si="105"/>
        <v>0.15119873973227044</v>
      </c>
      <c r="H469" s="1">
        <f>'01 Traffic inputs'!$B$8/F469</f>
        <v>62.862282768843805</v>
      </c>
      <c r="I469" s="1">
        <f>MATCH(H469,'02 Emission rates'!$A$7:$A$15,1)</f>
        <v>5</v>
      </c>
      <c r="J469" s="1">
        <f>INDEX('02 Emission rates'!$D$7:$D$15,I469)</f>
        <v>15845.527995946721</v>
      </c>
      <c r="K469" s="1">
        <f>INDEX('02 Emission rates'!$E$7:$E$15,I469)</f>
        <v>20.885654518874212</v>
      </c>
      <c r="L469" s="1">
        <f>INDEX('02 Emission rates'!$F$7:$F$15,I469)</f>
        <v>98.655405882152721</v>
      </c>
      <c r="M469" s="1">
        <f>INDEX('02 Emission rates'!$G$7:$G$15,I469)</f>
        <v>4.4998305826136002</v>
      </c>
      <c r="N469" s="1">
        <f t="shared" si="106"/>
        <v>2395.8238633795531</v>
      </c>
      <c r="O469" s="1">
        <f t="shared" si="107"/>
        <v>3.1578846417373798</v>
      </c>
      <c r="P469" s="1">
        <f t="shared" si="108"/>
        <v>14.916573037157111</v>
      </c>
      <c r="Q469" s="1">
        <f t="shared" si="109"/>
        <v>0.68036871309990454</v>
      </c>
      <c r="R469" s="1">
        <f t="shared" si="110"/>
        <v>4514.4312811636064</v>
      </c>
      <c r="S469" s="1">
        <f t="shared" si="111"/>
        <v>192.56479814047452</v>
      </c>
      <c r="T469" s="1">
        <f t="shared" si="112"/>
        <v>1580726.1294628347</v>
      </c>
      <c r="U469" s="1">
        <f t="shared" si="113"/>
        <v>1255.5332925491696</v>
      </c>
      <c r="V469" s="1">
        <f t="shared" si="114"/>
        <v>13557.617888564202</v>
      </c>
      <c r="W469" s="1">
        <f t="shared" si="115"/>
        <v>587.85690599174575</v>
      </c>
      <c r="X469" s="1"/>
      <c r="Y469" s="1"/>
      <c r="Z469" s="1"/>
      <c r="AA469" s="1"/>
      <c r="AB469" s="1"/>
      <c r="AC469" s="1"/>
      <c r="AD469" s="1"/>
      <c r="AE469" s="1"/>
    </row>
    <row r="470" spans="1:31" ht="22.05" customHeight="1">
      <c r="A470" s="1">
        <f>'01 Traffic inputs'!B420</f>
        <v>0.94349194104685163</v>
      </c>
      <c r="B470" s="1">
        <f>'01 Traffic inputs'!C420</f>
        <v>1.8865837921618117E-3</v>
      </c>
      <c r="C470" s="1">
        <f>IF('01 Traffic inputs'!$B$16&lt;=2/3,(4*A470*(1-A470))^$B$16,1-ABS(2*A470-1)^$B$17)</f>
        <v>5.2567161437741565E-3</v>
      </c>
      <c r="D470" s="1">
        <f>IF('01 Traffic inputs'!$B$16&lt;=2/3,4*$B$16*(1-2*A470)*(4*A470*(1-A470))^($B$16-1),-2*$B$17*SIGN(2*A470-1)*ABS(2*A470-1)^($B$17-1))</f>
        <v>-0.29702889768171792</v>
      </c>
      <c r="E470" s="1">
        <f t="shared" si="103"/>
        <v>9.0007361861152315</v>
      </c>
      <c r="F470" s="1">
        <f t="shared" si="104"/>
        <v>1.6510547755520438E-2</v>
      </c>
      <c r="G470" s="1">
        <f t="shared" si="105"/>
        <v>0.14860708463569641</v>
      </c>
      <c r="H470" s="1">
        <f>'01 Traffic inputs'!$B$8/F470</f>
        <v>62.99003615142253</v>
      </c>
      <c r="I470" s="1">
        <f>MATCH(H470,'02 Emission rates'!$A$7:$A$15,1)</f>
        <v>5</v>
      </c>
      <c r="J470" s="1">
        <f>INDEX('02 Emission rates'!$D$7:$D$15,I470)</f>
        <v>15845.527995946721</v>
      </c>
      <c r="K470" s="1">
        <f>INDEX('02 Emission rates'!$E$7:$E$15,I470)</f>
        <v>20.885654518874212</v>
      </c>
      <c r="L470" s="1">
        <f>INDEX('02 Emission rates'!$F$7:$F$15,I470)</f>
        <v>98.655405882152721</v>
      </c>
      <c r="M470" s="1">
        <f>INDEX('02 Emission rates'!$G$7:$G$15,I470)</f>
        <v>4.4998305826136002</v>
      </c>
      <c r="N470" s="1">
        <f t="shared" si="106"/>
        <v>2354.7577199909515</v>
      </c>
      <c r="O470" s="1">
        <f t="shared" si="107"/>
        <v>3.1037562287582552</v>
      </c>
      <c r="P470" s="1">
        <f t="shared" si="108"/>
        <v>14.660892251698051</v>
      </c>
      <c r="Q470" s="1">
        <f t="shared" si="109"/>
        <v>0.66870670423675438</v>
      </c>
      <c r="R470" s="1">
        <f t="shared" si="110"/>
        <v>4523.4320173497217</v>
      </c>
      <c r="S470" s="1">
        <f t="shared" si="111"/>
        <v>192.71340522511022</v>
      </c>
      <c r="T470" s="1">
        <f t="shared" si="112"/>
        <v>1583080.8871828257</v>
      </c>
      <c r="U470" s="1">
        <f t="shared" si="113"/>
        <v>1258.6370487779279</v>
      </c>
      <c r="V470" s="1">
        <f t="shared" si="114"/>
        <v>13572.278780815901</v>
      </c>
      <c r="W470" s="1">
        <f t="shared" si="115"/>
        <v>588.52561269598255</v>
      </c>
      <c r="X470" s="1"/>
      <c r="Y470" s="1"/>
      <c r="Z470" s="1"/>
      <c r="AA470" s="1"/>
      <c r="AB470" s="1"/>
      <c r="AC470" s="1"/>
      <c r="AD470" s="1"/>
      <c r="AE470" s="1"/>
    </row>
    <row r="471" spans="1:31" ht="22.05" customHeight="1">
      <c r="A471" s="1">
        <f>'01 Traffic inputs'!B421</f>
        <v>0.94536370048552454</v>
      </c>
      <c r="B471" s="1">
        <f>'01 Traffic inputs'!C421</f>
        <v>1.856914259162339E-3</v>
      </c>
      <c r="C471" s="1">
        <f>IF('01 Traffic inputs'!$B$16&lt;=2/3,(4*A471*(1-A471))^$B$16,1-ABS(2*A471-1)^$B$17)</f>
        <v>4.7201062811094196E-3</v>
      </c>
      <c r="D471" s="1">
        <f>IF('01 Traffic inputs'!$B$16&lt;=2/3,4*$B$16*(1-2*A471)*(4*A471*(1-A471))^($B$16-1),-2*$B$17*SIGN(2*A471-1)*ABS(2*A471-1)^($B$17-1))</f>
        <v>-0.27646071322612747</v>
      </c>
      <c r="E471" s="1">
        <f t="shared" si="103"/>
        <v>8.861542523180491</v>
      </c>
      <c r="F471" s="1">
        <f t="shared" si="104"/>
        <v>1.6479778680310864E-2</v>
      </c>
      <c r="G471" s="1">
        <f t="shared" si="105"/>
        <v>0.146036259548178</v>
      </c>
      <c r="H471" s="1">
        <f>'01 Traffic inputs'!$B$8/F471</f>
        <v>63.107643626461773</v>
      </c>
      <c r="I471" s="1">
        <f>MATCH(H471,'02 Emission rates'!$A$7:$A$15,1)</f>
        <v>5</v>
      </c>
      <c r="J471" s="1">
        <f>INDEX('02 Emission rates'!$D$7:$D$15,I471)</f>
        <v>15845.527995946721</v>
      </c>
      <c r="K471" s="1">
        <f>INDEX('02 Emission rates'!$E$7:$E$15,I471)</f>
        <v>20.885654518874212</v>
      </c>
      <c r="L471" s="1">
        <f>INDEX('02 Emission rates'!$F$7:$F$15,I471)</f>
        <v>98.655405882152721</v>
      </c>
      <c r="M471" s="1">
        <f>INDEX('02 Emission rates'!$G$7:$G$15,I471)</f>
        <v>4.4998305826136002</v>
      </c>
      <c r="N471" s="1">
        <f t="shared" si="106"/>
        <v>2314.0216390939963</v>
      </c>
      <c r="O471" s="1">
        <f t="shared" si="107"/>
        <v>3.050062864151891</v>
      </c>
      <c r="P471" s="1">
        <f t="shared" si="108"/>
        <v>14.407266459236901</v>
      </c>
      <c r="Q471" s="1">
        <f t="shared" si="109"/>
        <v>0.65713842688538882</v>
      </c>
      <c r="R471" s="1">
        <f t="shared" si="110"/>
        <v>4532.2935598729018</v>
      </c>
      <c r="S471" s="1">
        <f t="shared" si="111"/>
        <v>192.85944148465839</v>
      </c>
      <c r="T471" s="1">
        <f t="shared" si="112"/>
        <v>1585394.9088219197</v>
      </c>
      <c r="U471" s="1">
        <f t="shared" si="113"/>
        <v>1261.6871116420798</v>
      </c>
      <c r="V471" s="1">
        <f t="shared" si="114"/>
        <v>13586.686047275138</v>
      </c>
      <c r="W471" s="1">
        <f t="shared" si="115"/>
        <v>589.1827511228679</v>
      </c>
      <c r="X471" s="1"/>
      <c r="Y471" s="1"/>
      <c r="Z471" s="1"/>
      <c r="AA471" s="1"/>
      <c r="AB471" s="1"/>
      <c r="AC471" s="1"/>
      <c r="AD471" s="1"/>
      <c r="AE471" s="1"/>
    </row>
    <row r="472" spans="1:31" ht="22.05" customHeight="1">
      <c r="A472" s="1">
        <f>'01 Traffic inputs'!B422</f>
        <v>0.94720572824366434</v>
      </c>
      <c r="B472" s="1">
        <f>'01 Traffic inputs'!C422</f>
        <v>1.8271207619034633E-3</v>
      </c>
      <c r="C472" s="1">
        <f>IF('01 Traffic inputs'!$B$16&lt;=2/3,(4*A472*(1-A472))^$B$16,1-ABS(2*A472-1)^$B$17)</f>
        <v>4.2289804650739544E-3</v>
      </c>
      <c r="D472" s="1">
        <f>IF('01 Traffic inputs'!$B$16&lt;=2/3,4*$B$16*(1-2*A472)*(4*A472*(1-A472))^($B$16-1),-2*$B$17*SIGN(2*A472-1)*ABS(2*A472-1)^($B$17-1))</f>
        <v>-0.25689694915123995</v>
      </c>
      <c r="E472" s="1">
        <f t="shared" si="103"/>
        <v>8.7215685290870208</v>
      </c>
      <c r="F472" s="1">
        <f t="shared" si="104"/>
        <v>1.6451617648950173E-2</v>
      </c>
      <c r="G472" s="1">
        <f t="shared" si="105"/>
        <v>0.14348391073965644</v>
      </c>
      <c r="H472" s="1">
        <f>'01 Traffic inputs'!$B$8/F472</f>
        <v>63.215668038965518</v>
      </c>
      <c r="I472" s="1">
        <f>MATCH(H472,'02 Emission rates'!$A$7:$A$15,1)</f>
        <v>5</v>
      </c>
      <c r="J472" s="1">
        <f>INDEX('02 Emission rates'!$D$7:$D$15,I472)</f>
        <v>15845.527995946721</v>
      </c>
      <c r="K472" s="1">
        <f>INDEX('02 Emission rates'!$E$7:$E$15,I472)</f>
        <v>20.885654518874212</v>
      </c>
      <c r="L472" s="1">
        <f>INDEX('02 Emission rates'!$F$7:$F$15,I472)</f>
        <v>98.655405882152721</v>
      </c>
      <c r="M472" s="1">
        <f>INDEX('02 Emission rates'!$G$7:$G$15,I472)</f>
        <v>4.4998305826136002</v>
      </c>
      <c r="N472" s="1">
        <f t="shared" si="106"/>
        <v>2273.5783245931466</v>
      </c>
      <c r="O472" s="1">
        <f t="shared" si="107"/>
        <v>2.9967553887254494</v>
      </c>
      <c r="P472" s="1">
        <f t="shared" si="108"/>
        <v>14.155463451579378</v>
      </c>
      <c r="Q472" s="1">
        <f t="shared" si="109"/>
        <v>0.64565328965930602</v>
      </c>
      <c r="R472" s="1">
        <f t="shared" si="110"/>
        <v>4541.0151284019885</v>
      </c>
      <c r="S472" s="1">
        <f t="shared" si="111"/>
        <v>193.00292539539805</v>
      </c>
      <c r="T472" s="1">
        <f t="shared" si="112"/>
        <v>1587668.4871465128</v>
      </c>
      <c r="U472" s="1">
        <f t="shared" si="113"/>
        <v>1264.6838670308052</v>
      </c>
      <c r="V472" s="1">
        <f t="shared" si="114"/>
        <v>13600.841510726717</v>
      </c>
      <c r="W472" s="1">
        <f t="shared" si="115"/>
        <v>589.82840441252722</v>
      </c>
      <c r="X472" s="1"/>
      <c r="Y472" s="1"/>
      <c r="Z472" s="1"/>
      <c r="AA472" s="1"/>
      <c r="AB472" s="1"/>
      <c r="AC472" s="1"/>
      <c r="AD472" s="1"/>
      <c r="AE472" s="1"/>
    </row>
    <row r="473" spans="1:31" ht="22.05" customHeight="1">
      <c r="A473" s="1">
        <f>'01 Traffic inputs'!B423</f>
        <v>0.94901790135080821</v>
      </c>
      <c r="B473" s="1">
        <f>'01 Traffic inputs'!C423</f>
        <v>1.7972052893462571E-3</v>
      </c>
      <c r="C473" s="1">
        <f>IF('01 Traffic inputs'!$B$16&lt;=2/3,(4*A473*(1-A473))^$B$16,1-ABS(2*A473-1)^$B$17)</f>
        <v>3.7803749909357926E-3</v>
      </c>
      <c r="D473" s="1">
        <f>IF('01 Traffic inputs'!$B$16&lt;=2/3,4*$B$16*(1-2*A473)*(4*A473*(1-A473))^($B$16-1),-2*$B$17*SIGN(2*A473-1)*ABS(2*A473-1)^($B$17-1))</f>
        <v>-0.23831613826875153</v>
      </c>
      <c r="E473" s="1">
        <f t="shared" si="103"/>
        <v>8.5808311731523279</v>
      </c>
      <c r="F473" s="1">
        <f t="shared" si="104"/>
        <v>1.6425894723350858E-2</v>
      </c>
      <c r="G473" s="1">
        <f t="shared" si="105"/>
        <v>0.14094782948904738</v>
      </c>
      <c r="H473" s="1">
        <f>'01 Traffic inputs'!$B$8/F473</f>
        <v>63.314663676832701</v>
      </c>
      <c r="I473" s="1">
        <f>MATCH(H473,'02 Emission rates'!$A$7:$A$15,1)</f>
        <v>5</v>
      </c>
      <c r="J473" s="1">
        <f>INDEX('02 Emission rates'!$D$7:$D$15,I473)</f>
        <v>15845.527995946721</v>
      </c>
      <c r="K473" s="1">
        <f>INDEX('02 Emission rates'!$E$7:$E$15,I473)</f>
        <v>20.885654518874212</v>
      </c>
      <c r="L473" s="1">
        <f>INDEX('02 Emission rates'!$F$7:$F$15,I473)</f>
        <v>98.655405882152721</v>
      </c>
      <c r="M473" s="1">
        <f>INDEX('02 Emission rates'!$G$7:$G$15,I473)</f>
        <v>4.4998305826136002</v>
      </c>
      <c r="N473" s="1">
        <f t="shared" si="106"/>
        <v>2233.3927781366251</v>
      </c>
      <c r="O473" s="1">
        <f t="shared" si="107"/>
        <v>2.9437876718934342</v>
      </c>
      <c r="P473" s="1">
        <f t="shared" si="108"/>
        <v>13.905265326450424</v>
      </c>
      <c r="Q473" s="1">
        <f t="shared" si="109"/>
        <v>0.63424135368782242</v>
      </c>
      <c r="R473" s="1">
        <f t="shared" si="110"/>
        <v>4549.595959575141</v>
      </c>
      <c r="S473" s="1">
        <f t="shared" si="111"/>
        <v>193.1438732248871</v>
      </c>
      <c r="T473" s="1">
        <f t="shared" si="112"/>
        <v>1589901.8799246494</v>
      </c>
      <c r="U473" s="1">
        <f t="shared" si="113"/>
        <v>1267.6276547026987</v>
      </c>
      <c r="V473" s="1">
        <f t="shared" si="114"/>
        <v>13614.746776053167</v>
      </c>
      <c r="W473" s="1">
        <f t="shared" si="115"/>
        <v>590.46264576621502</v>
      </c>
      <c r="X473" s="1"/>
      <c r="Y473" s="1"/>
      <c r="Z473" s="1"/>
      <c r="AA473" s="1"/>
      <c r="AB473" s="1"/>
      <c r="AC473" s="1"/>
      <c r="AD473" s="1"/>
      <c r="AE473" s="1"/>
    </row>
    <row r="474" spans="1:31" ht="22.05" customHeight="1">
      <c r="A474" s="1">
        <f>'01 Traffic inputs'!B424</f>
        <v>0.95080009882953609</v>
      </c>
      <c r="B474" s="1">
        <f>'01 Traffic inputs'!C424</f>
        <v>1.767169838593685E-3</v>
      </c>
      <c r="C474" s="1">
        <f>IF('01 Traffic inputs'!$B$16&lt;=2/3,(4*A474*(1-A474))^$B$16,1-ABS(2*A474-1)^$B$17)</f>
        <v>3.3714469116651363E-3</v>
      </c>
      <c r="D474" s="1">
        <f>IF('01 Traffic inputs'!$B$16&lt;=2/3,4*$B$16*(1-2*A474)*(4*A474*(1-A474))^($B$16-1),-2*$B$17*SIGN(2*A474-1)*ABS(2*A474-1)^($B$17-1))</f>
        <v>-0.2206957189373111</v>
      </c>
      <c r="E474" s="1">
        <f t="shared" si="103"/>
        <v>8.4393474784948612</v>
      </c>
      <c r="F474" s="1">
        <f t="shared" si="104"/>
        <v>1.6402446889641834E-2</v>
      </c>
      <c r="G474" s="1">
        <f t="shared" si="105"/>
        <v>0.13842594879924469</v>
      </c>
      <c r="H474" s="1">
        <f>'01 Traffic inputs'!$B$8/F474</f>
        <v>63.405174057096431</v>
      </c>
      <c r="I474" s="1">
        <f>MATCH(H474,'02 Emission rates'!$A$7:$A$15,1)</f>
        <v>5</v>
      </c>
      <c r="J474" s="1">
        <f>INDEX('02 Emission rates'!$D$7:$D$15,I474)</f>
        <v>15845.527995946721</v>
      </c>
      <c r="K474" s="1">
        <f>INDEX('02 Emission rates'!$E$7:$E$15,I474)</f>
        <v>20.885654518874212</v>
      </c>
      <c r="L474" s="1">
        <f>INDEX('02 Emission rates'!$F$7:$F$15,I474)</f>
        <v>98.655405882152721</v>
      </c>
      <c r="M474" s="1">
        <f>INDEX('02 Emission rates'!$G$7:$G$15,I474)</f>
        <v>4.4998305826136002</v>
      </c>
      <c r="N474" s="1">
        <f t="shared" si="106"/>
        <v>2193.432247063919</v>
      </c>
      <c r="O474" s="1">
        <f t="shared" si="107"/>
        <v>2.8911165430683949</v>
      </c>
      <c r="P474" s="1">
        <f t="shared" si="108"/>
        <v>13.656468163411576</v>
      </c>
      <c r="Q474" s="1">
        <f t="shared" si="109"/>
        <v>0.62289331783414559</v>
      </c>
      <c r="R474" s="1">
        <f t="shared" si="110"/>
        <v>4558.0353070536357</v>
      </c>
      <c r="S474" s="1">
        <f t="shared" si="111"/>
        <v>193.28229917368634</v>
      </c>
      <c r="T474" s="1">
        <f t="shared" si="112"/>
        <v>1592095.3121717132</v>
      </c>
      <c r="U474" s="1">
        <f t="shared" si="113"/>
        <v>1270.5187712457671</v>
      </c>
      <c r="V474" s="1">
        <f t="shared" si="114"/>
        <v>13628.403244216579</v>
      </c>
      <c r="W474" s="1">
        <f t="shared" si="115"/>
        <v>591.08553908404917</v>
      </c>
      <c r="X474" s="1"/>
      <c r="Y474" s="1"/>
      <c r="Z474" s="1"/>
      <c r="AA474" s="1"/>
      <c r="AB474" s="1"/>
      <c r="AC474" s="1"/>
      <c r="AD474" s="1"/>
      <c r="AE474" s="1"/>
    </row>
    <row r="475" spans="1:31" ht="22.05" customHeight="1">
      <c r="A475" s="1">
        <f>'01 Traffic inputs'!B425</f>
        <v>0.95255220170354726</v>
      </c>
      <c r="B475" s="1">
        <f>'01 Traffic inputs'!C425</f>
        <v>1.7370164147588218E-3</v>
      </c>
      <c r="C475" s="1">
        <f>IF('01 Traffic inputs'!$B$16&lt;=2/3,(4*A475*(1-A475))^$B$16,1-ABS(2*A475-1)^$B$17)</f>
        <v>2.9994740948469803E-3</v>
      </c>
      <c r="D475" s="1">
        <f>IF('01 Traffic inputs'!$B$16&lt;=2/3,4*$B$16*(1-2*A475)*(4*A475*(1-A475))^($B$16-1),-2*$B$17*SIGN(2*A475-1)*ABS(2*A475-1)^($B$17-1))</f>
        <v>-0.20401212378249384</v>
      </c>
      <c r="E475" s="1">
        <f t="shared" si="103"/>
        <v>8.2971344989547102</v>
      </c>
      <c r="F475" s="1">
        <f t="shared" si="104"/>
        <v>1.6381118061431783E-2</v>
      </c>
      <c r="G475" s="1">
        <f t="shared" si="105"/>
        <v>0.13591633979895576</v>
      </c>
      <c r="H475" s="1">
        <f>'01 Traffic inputs'!$B$8/F475</f>
        <v>63.487729964453955</v>
      </c>
      <c r="I475" s="1">
        <f>MATCH(H475,'02 Emission rates'!$A$7:$A$15,1)</f>
        <v>5</v>
      </c>
      <c r="J475" s="1">
        <f>INDEX('02 Emission rates'!$D$7:$D$15,I475)</f>
        <v>15845.527995946721</v>
      </c>
      <c r="K475" s="1">
        <f>INDEX('02 Emission rates'!$E$7:$E$15,I475)</f>
        <v>20.885654518874212</v>
      </c>
      <c r="L475" s="1">
        <f>INDEX('02 Emission rates'!$F$7:$F$15,I475)</f>
        <v>98.655405882152721</v>
      </c>
      <c r="M475" s="1">
        <f>INDEX('02 Emission rates'!$G$7:$G$15,I475)</f>
        <v>4.4998305826136002</v>
      </c>
      <c r="N475" s="1">
        <f t="shared" si="106"/>
        <v>2153.6661673909612</v>
      </c>
      <c r="O475" s="1">
        <f t="shared" si="107"/>
        <v>2.8387017165109034</v>
      </c>
      <c r="P475" s="1">
        <f t="shared" si="108"/>
        <v>13.408881668882568</v>
      </c>
      <c r="Q475" s="1">
        <f t="shared" si="109"/>
        <v>0.61160050250424314</v>
      </c>
      <c r="R475" s="1">
        <f t="shared" si="110"/>
        <v>4566.3324415525904</v>
      </c>
      <c r="S475" s="1">
        <f t="shared" si="111"/>
        <v>193.41821551348531</v>
      </c>
      <c r="T475" s="1">
        <f t="shared" si="112"/>
        <v>1594248.9783391042</v>
      </c>
      <c r="U475" s="1">
        <f t="shared" si="113"/>
        <v>1273.3574729622781</v>
      </c>
      <c r="V475" s="1">
        <f t="shared" si="114"/>
        <v>13641.812125885461</v>
      </c>
      <c r="W475" s="1">
        <f t="shared" si="115"/>
        <v>591.69713958655336</v>
      </c>
      <c r="X475" s="1"/>
      <c r="Y475" s="1"/>
      <c r="Z475" s="1"/>
      <c r="AA475" s="1"/>
      <c r="AB475" s="1"/>
      <c r="AC475" s="1"/>
      <c r="AD475" s="1"/>
      <c r="AE475" s="1"/>
    </row>
    <row r="476" spans="1:31" ht="22.05" customHeight="1">
      <c r="A476" s="1">
        <f>'01 Traffic inputs'!B426</f>
        <v>0.95427409300560273</v>
      </c>
      <c r="B476" s="1">
        <f>'01 Traffic inputs'!C426</f>
        <v>1.7067470308297034E-3</v>
      </c>
      <c r="C476" s="1">
        <f>IF('01 Traffic inputs'!$B$16&lt;=2/3,(4*A476*(1-A476))^$B$16,1-ABS(2*A476-1)^$B$17)</f>
        <v>2.6618549228908436E-3</v>
      </c>
      <c r="D476" s="1">
        <f>IF('01 Traffic inputs'!$B$16&lt;=2/3,4*$B$16*(1-2*A476)*(4*A476*(1-A476))^($B$16-1),-2*$B$17*SIGN(2*A476-1)*ABS(2*A476-1)^($B$17-1))</f>
        <v>-0.18824086886975727</v>
      </c>
      <c r="E476" s="1">
        <f t="shared" si="103"/>
        <v>8.1542092968725051</v>
      </c>
      <c r="F476" s="1">
        <f t="shared" si="104"/>
        <v>1.6361759062619264E-2</v>
      </c>
      <c r="G476" s="1">
        <f t="shared" si="105"/>
        <v>0.13341720786159797</v>
      </c>
      <c r="H476" s="1">
        <f>'01 Traffic inputs'!$B$8/F476</f>
        <v>63.562847736588822</v>
      </c>
      <c r="I476" s="1">
        <f>MATCH(H476,'02 Emission rates'!$A$7:$A$15,1)</f>
        <v>5</v>
      </c>
      <c r="J476" s="1">
        <f>INDEX('02 Emission rates'!$D$7:$D$15,I476)</f>
        <v>15845.527995946721</v>
      </c>
      <c r="K476" s="1">
        <f>INDEX('02 Emission rates'!$E$7:$E$15,I476)</f>
        <v>20.885654518874212</v>
      </c>
      <c r="L476" s="1">
        <f>INDEX('02 Emission rates'!$F$7:$F$15,I476)</f>
        <v>98.655405882152721</v>
      </c>
      <c r="M476" s="1">
        <f>INDEX('02 Emission rates'!$G$7:$G$15,I476)</f>
        <v>4.4998305826136002</v>
      </c>
      <c r="N476" s="1">
        <f t="shared" si="106"/>
        <v>2114.0661023119937</v>
      </c>
      <c r="O476" s="1">
        <f t="shared" si="107"/>
        <v>2.7865057102701636</v>
      </c>
      <c r="P476" s="1">
        <f t="shared" si="108"/>
        <v>13.162328793249484</v>
      </c>
      <c r="Q476" s="1">
        <f t="shared" si="109"/>
        <v>0.60035483218253416</v>
      </c>
      <c r="R476" s="1">
        <f t="shared" si="110"/>
        <v>4574.4866508494624</v>
      </c>
      <c r="S476" s="1">
        <f t="shared" si="111"/>
        <v>193.55163272134692</v>
      </c>
      <c r="T476" s="1">
        <f t="shared" si="112"/>
        <v>1596363.0444414162</v>
      </c>
      <c r="U476" s="1">
        <f t="shared" si="113"/>
        <v>1276.1439786725482</v>
      </c>
      <c r="V476" s="1">
        <f t="shared" si="114"/>
        <v>13654.97445467871</v>
      </c>
      <c r="W476" s="1">
        <f t="shared" si="115"/>
        <v>592.29749441873594</v>
      </c>
      <c r="X476" s="1"/>
      <c r="Y476" s="1"/>
      <c r="Z476" s="1"/>
      <c r="AA476" s="1"/>
      <c r="AB476" s="1"/>
      <c r="AC476" s="1"/>
      <c r="AD476" s="1"/>
      <c r="AE476" s="1"/>
    </row>
    <row r="477" spans="1:31" ht="22.05" customHeight="1">
      <c r="A477" s="1">
        <f>'01 Traffic inputs'!B427</f>
        <v>0.95596565778533404</v>
      </c>
      <c r="B477" s="1">
        <f>'01 Traffic inputs'!C427</f>
        <v>1.6763637075368517E-3</v>
      </c>
      <c r="C477" s="1">
        <f>IF('01 Traffic inputs'!$B$16&lt;=2/3,(4*A477*(1-A477))^$B$16,1-ABS(2*A477-1)^$B$17)</f>
        <v>2.3561076511009887E-3</v>
      </c>
      <c r="D477" s="1">
        <f>IF('01 Traffic inputs'!$B$16&lt;=2/3,4*$B$16*(1-2*A477)*(4*A477*(1-A477))^($B$16-1),-2*$B$17*SIGN(2*A477-1)*ABS(2*A477-1)^($B$17-1))</f>
        <v>-0.17335664309728202</v>
      </c>
      <c r="E477" s="1">
        <f t="shared" si="103"/>
        <v>8.0105889218038087</v>
      </c>
      <c r="F477" s="1">
        <f t="shared" si="104"/>
        <v>1.6344227590584612E-2</v>
      </c>
      <c r="G477" s="1">
        <f t="shared" si="105"/>
        <v>0.13092688847257725</v>
      </c>
      <c r="H477" s="1">
        <f>'01 Traffic inputs'!$B$8/F477</f>
        <v>63.631027788620081</v>
      </c>
      <c r="I477" s="1">
        <f>MATCH(H477,'02 Emission rates'!$A$7:$A$15,1)</f>
        <v>5</v>
      </c>
      <c r="J477" s="1">
        <f>INDEX('02 Emission rates'!$D$7:$D$15,I477)</f>
        <v>15845.527995946721</v>
      </c>
      <c r="K477" s="1">
        <f>INDEX('02 Emission rates'!$E$7:$E$15,I477)</f>
        <v>20.885654518874212</v>
      </c>
      <c r="L477" s="1">
        <f>INDEX('02 Emission rates'!$F$7:$F$15,I477)</f>
        <v>98.655405882152721</v>
      </c>
      <c r="M477" s="1">
        <f>INDEX('02 Emission rates'!$G$7:$G$15,I477)</f>
        <v>4.4998305826136002</v>
      </c>
      <c r="N477" s="1">
        <f t="shared" si="106"/>
        <v>2074.6056767144169</v>
      </c>
      <c r="O477" s="1">
        <f t="shared" si="107"/>
        <v>2.734493759869423</v>
      </c>
      <c r="P477" s="1">
        <f t="shared" si="108"/>
        <v>12.916645323149451</v>
      </c>
      <c r="Q477" s="1">
        <f t="shared" si="109"/>
        <v>0.58914881683534315</v>
      </c>
      <c r="R477" s="1">
        <f t="shared" si="110"/>
        <v>4582.4972397712663</v>
      </c>
      <c r="S477" s="1">
        <f t="shared" si="111"/>
        <v>193.68255960981949</v>
      </c>
      <c r="T477" s="1">
        <f t="shared" si="112"/>
        <v>1598437.6501181305</v>
      </c>
      <c r="U477" s="1">
        <f t="shared" si="113"/>
        <v>1278.8784724324175</v>
      </c>
      <c r="V477" s="1">
        <f t="shared" si="114"/>
        <v>13667.89110000186</v>
      </c>
      <c r="W477" s="1">
        <f t="shared" si="115"/>
        <v>592.88664323557123</v>
      </c>
      <c r="X477" s="1"/>
      <c r="Y477" s="1"/>
      <c r="Z477" s="1"/>
      <c r="AA477" s="1"/>
      <c r="AB477" s="1"/>
      <c r="AC477" s="1"/>
      <c r="AD477" s="1"/>
      <c r="AE477" s="1"/>
    </row>
    <row r="478" spans="1:31" ht="22.05" customHeight="1">
      <c r="A478" s="1">
        <f>'01 Traffic inputs'!B428</f>
        <v>0.95762678311691696</v>
      </c>
      <c r="B478" s="1">
        <f>'01 Traffic inputs'!C428</f>
        <v>1.6458684732157632E-3</v>
      </c>
      <c r="C478" s="1">
        <f>IF('01 Traffic inputs'!$B$16&lt;=2/3,(4*A478*(1-A478))^$B$16,1-ABS(2*A478-1)^$B$17)</f>
        <v>2.0798694389228636E-3</v>
      </c>
      <c r="D478" s="1">
        <f>IF('01 Traffic inputs'!$B$16&lt;=2/3,4*$B$16*(1-2*A478)*(4*A478*(1-A478))^($B$16-1),-2*$B$17*SIGN(2*A478-1)*ABS(2*A478-1)^($B$17-1))</f>
        <v>-0.15933339757689505</v>
      </c>
      <c r="E478" s="1">
        <f t="shared" si="103"/>
        <v>7.8662903901765109</v>
      </c>
      <c r="F478" s="1">
        <f t="shared" si="104"/>
        <v>1.6328388160641864E-2</v>
      </c>
      <c r="G478" s="1">
        <f t="shared" si="105"/>
        <v>0.128443842875129</v>
      </c>
      <c r="H478" s="1">
        <f>'01 Traffic inputs'!$B$8/F478</f>
        <v>63.692753367221421</v>
      </c>
      <c r="I478" s="1">
        <f>MATCH(H478,'02 Emission rates'!$A$7:$A$15,1)</f>
        <v>5</v>
      </c>
      <c r="J478" s="1">
        <f>INDEX('02 Emission rates'!$D$7:$D$15,I478)</f>
        <v>15845.527995946721</v>
      </c>
      <c r="K478" s="1">
        <f>INDEX('02 Emission rates'!$E$7:$E$15,I478)</f>
        <v>20.885654518874212</v>
      </c>
      <c r="L478" s="1">
        <f>INDEX('02 Emission rates'!$F$7:$F$15,I478)</f>
        <v>98.655405882152721</v>
      </c>
      <c r="M478" s="1">
        <f>INDEX('02 Emission rates'!$G$7:$G$15,I478)</f>
        <v>4.4998305826136002</v>
      </c>
      <c r="N478" s="1">
        <f t="shared" si="106"/>
        <v>2035.2605081848383</v>
      </c>
      <c r="O478" s="1">
        <f t="shared" si="107"/>
        <v>2.6826337273665071</v>
      </c>
      <c r="P478" s="1">
        <f t="shared" si="108"/>
        <v>12.671679451909302</v>
      </c>
      <c r="Q478" s="1">
        <f t="shared" si="109"/>
        <v>0.57797553231792143</v>
      </c>
      <c r="R478" s="1">
        <f t="shared" si="110"/>
        <v>4590.3635301614431</v>
      </c>
      <c r="S478" s="1">
        <f t="shared" si="111"/>
        <v>193.81100345269462</v>
      </c>
      <c r="T478" s="1">
        <f t="shared" si="112"/>
        <v>1600472.9106263153</v>
      </c>
      <c r="U478" s="1">
        <f t="shared" si="113"/>
        <v>1281.561106159784</v>
      </c>
      <c r="V478" s="1">
        <f t="shared" si="114"/>
        <v>13680.562779453769</v>
      </c>
      <c r="W478" s="1">
        <f t="shared" si="115"/>
        <v>593.46461876788919</v>
      </c>
      <c r="X478" s="1"/>
      <c r="Y478" s="1"/>
      <c r="Z478" s="1"/>
      <c r="AA478" s="1"/>
      <c r="AB478" s="1"/>
      <c r="AC478" s="1"/>
      <c r="AD478" s="1"/>
      <c r="AE478" s="1"/>
    </row>
    <row r="479" spans="1:31" ht="22.05" customHeight="1">
      <c r="A479" s="1">
        <f>'01 Traffic inputs'!B429</f>
        <v>0.95925735810661039</v>
      </c>
      <c r="B479" s="1">
        <f>'01 Traffic inputs'!C429</f>
        <v>1.6152633636741032E-3</v>
      </c>
      <c r="C479" s="1">
        <f>IF('01 Traffic inputs'!$B$16&lt;=2/3,(4*A479*(1-A479))^$B$16,1-ABS(2*A479-1)^$B$17)</f>
        <v>1.8308950703649651E-3</v>
      </c>
      <c r="D479" s="1">
        <f>IF('01 Traffic inputs'!$B$16&lt;=2/3,4*$B$16*(1-2*A479)*(4*A479*(1-A479))^($B$16-1),-2*$B$17*SIGN(2*A479-1)*ABS(2*A479-1)^($B$17-1))</f>
        <v>-0.14614443477307035</v>
      </c>
      <c r="E479" s="1">
        <f t="shared" si="103"/>
        <v>7.7213306659778445</v>
      </c>
      <c r="F479" s="1">
        <f t="shared" si="104"/>
        <v>1.6314112032668044E-2</v>
      </c>
      <c r="G479" s="1">
        <f t="shared" si="105"/>
        <v>0.12596665352603792</v>
      </c>
      <c r="H479" s="1">
        <f>'01 Traffic inputs'!$B$8/F479</f>
        <v>63.748489523516938</v>
      </c>
      <c r="I479" s="1">
        <f>MATCH(H479,'02 Emission rates'!$A$7:$A$15,1)</f>
        <v>5</v>
      </c>
      <c r="J479" s="1">
        <f>INDEX('02 Emission rates'!$D$7:$D$15,I479)</f>
        <v>15845.527995946721</v>
      </c>
      <c r="K479" s="1">
        <f>INDEX('02 Emission rates'!$E$7:$E$15,I479)</f>
        <v>20.885654518874212</v>
      </c>
      <c r="L479" s="1">
        <f>INDEX('02 Emission rates'!$F$7:$F$15,I479)</f>
        <v>98.655405882152721</v>
      </c>
      <c r="M479" s="1">
        <f>INDEX('02 Emission rates'!$G$7:$G$15,I479)</f>
        <v>4.4998305826136002</v>
      </c>
      <c r="N479" s="1">
        <f t="shared" si="106"/>
        <v>1996.0081350025546</v>
      </c>
      <c r="O479" s="1">
        <f t="shared" si="107"/>
        <v>2.6308960064435558</v>
      </c>
      <c r="P479" s="1">
        <f t="shared" si="108"/>
        <v>12.427291331227774</v>
      </c>
      <c r="Q479" s="1">
        <f t="shared" si="109"/>
        <v>0.56682859992595669</v>
      </c>
      <c r="R479" s="1">
        <f t="shared" si="110"/>
        <v>4598.0848608274209</v>
      </c>
      <c r="S479" s="1">
        <f t="shared" si="111"/>
        <v>193.93697010622066</v>
      </c>
      <c r="T479" s="1">
        <f t="shared" si="112"/>
        <v>1602468.9187613179</v>
      </c>
      <c r="U479" s="1">
        <f t="shared" si="113"/>
        <v>1284.1920021662277</v>
      </c>
      <c r="V479" s="1">
        <f t="shared" si="114"/>
        <v>13692.990070784996</v>
      </c>
      <c r="W479" s="1">
        <f t="shared" si="115"/>
        <v>594.03144736781519</v>
      </c>
      <c r="X479" s="1"/>
      <c r="Y479" s="1"/>
      <c r="Z479" s="1"/>
      <c r="AA479" s="1"/>
      <c r="AB479" s="1"/>
      <c r="AC479" s="1"/>
      <c r="AD479" s="1"/>
      <c r="AE479" s="1"/>
    </row>
    <row r="480" spans="1:31" ht="22.05" customHeight="1">
      <c r="A480" s="1">
        <f>'01 Traffic inputs'!B430</f>
        <v>0.96085727390015907</v>
      </c>
      <c r="B480" s="1">
        <f>'01 Traffic inputs'!C430</f>
        <v>1.5845504220543653E-3</v>
      </c>
      <c r="C480" s="1">
        <f>IF('01 Traffic inputs'!$B$16&lt;=2/3,(4*A480*(1-A480))^$B$16,1-ABS(2*A480-1)^$B$17)</f>
        <v>1.6070553802100618E-3</v>
      </c>
      <c r="D480" s="1">
        <f>IF('01 Traffic inputs'!$B$16&lt;=2/3,4*$B$16*(1-2*A480)*(4*A480*(1-A480))^($B$16-1),-2*$B$17*SIGN(2*A480-1)*ABS(2*A480-1)^($B$17-1))</f>
        <v>-0.13376249717237079</v>
      </c>
      <c r="E480" s="1">
        <f t="shared" si="103"/>
        <v>7.5757266424626053</v>
      </c>
      <c r="F480" s="1">
        <f t="shared" si="104"/>
        <v>1.6301277120862545E-2</v>
      </c>
      <c r="G480" s="1">
        <f t="shared" si="105"/>
        <v>0.1234940193906845</v>
      </c>
      <c r="H480" s="1">
        <f>'01 Traffic inputs'!$B$8/F480</f>
        <v>63.79868229275224</v>
      </c>
      <c r="I480" s="1">
        <f>MATCH(H480,'02 Emission rates'!$A$7:$A$15,1)</f>
        <v>5</v>
      </c>
      <c r="J480" s="1">
        <f>INDEX('02 Emission rates'!$D$7:$D$15,I480)</f>
        <v>15845.527995946721</v>
      </c>
      <c r="K480" s="1">
        <f>INDEX('02 Emission rates'!$E$7:$E$15,I480)</f>
        <v>20.885654518874212</v>
      </c>
      <c r="L480" s="1">
        <f>INDEX('02 Emission rates'!$F$7:$F$15,I480)</f>
        <v>98.655405882152721</v>
      </c>
      <c r="M480" s="1">
        <f>INDEX('02 Emission rates'!$G$7:$G$15,I480)</f>
        <v>4.4998305826136002</v>
      </c>
      <c r="N480" s="1">
        <f t="shared" si="106"/>
        <v>1956.8279415870784</v>
      </c>
      <c r="O480" s="1">
        <f t="shared" si="107"/>
        <v>2.579253424140989</v>
      </c>
      <c r="P480" s="1">
        <f t="shared" si="108"/>
        <v>12.183352607006418</v>
      </c>
      <c r="Q480" s="1">
        <f t="shared" si="109"/>
        <v>0.555702165224079</v>
      </c>
      <c r="R480" s="1">
        <f t="shared" si="110"/>
        <v>4605.6605874698835</v>
      </c>
      <c r="S480" s="1">
        <f t="shared" si="111"/>
        <v>194.06046412561133</v>
      </c>
      <c r="T480" s="1">
        <f t="shared" si="112"/>
        <v>1604425.7467029048</v>
      </c>
      <c r="U480" s="1">
        <f t="shared" si="113"/>
        <v>1286.7712555903686</v>
      </c>
      <c r="V480" s="1">
        <f t="shared" si="114"/>
        <v>13705.173423392001</v>
      </c>
      <c r="W480" s="1">
        <f t="shared" si="115"/>
        <v>594.58714953303922</v>
      </c>
      <c r="X480" s="1"/>
      <c r="Y480" s="1"/>
      <c r="Z480" s="1"/>
      <c r="AA480" s="1"/>
      <c r="AB480" s="1"/>
      <c r="AC480" s="1"/>
      <c r="AD480" s="1"/>
      <c r="AE480" s="1"/>
    </row>
    <row r="481" spans="1:31" ht="22.05" customHeight="1">
      <c r="A481" s="1">
        <f>'01 Traffic inputs'!B431</f>
        <v>0.96242642369006104</v>
      </c>
      <c r="B481" s="1">
        <f>'01 Traffic inputs'!C431</f>
        <v>1.5537316986970787E-3</v>
      </c>
      <c r="C481" s="1">
        <f>IF('01 Traffic inputs'!$B$16&lt;=2/3,(4*A481*(1-A481))^$B$16,1-ABS(2*A481-1)^$B$17)</f>
        <v>1.4063354031728726E-3</v>
      </c>
      <c r="D481" s="1">
        <f>IF('01 Traffic inputs'!$B$16&lt;=2/3,4*$B$16*(1-2*A481)*(4*A481*(1-A481))^($B$16-1),-2*$B$17*SIGN(2*A481-1)*ABS(2*A481-1)^($B$17-1))</f>
        <v>-0.12215985525854886</v>
      </c>
      <c r="E481" s="1">
        <f t="shared" si="103"/>
        <v>7.42949512493822</v>
      </c>
      <c r="F481" s="1">
        <f t="shared" si="104"/>
        <v>1.6289767887620255E-2</v>
      </c>
      <c r="G481" s="1">
        <f t="shared" si="105"/>
        <v>0.12102475110744985</v>
      </c>
      <c r="H481" s="1">
        <f>'01 Traffic inputs'!$B$8/F481</f>
        <v>63.843758067933543</v>
      </c>
      <c r="I481" s="1">
        <f>MATCH(H481,'02 Emission rates'!$A$7:$A$15,1)</f>
        <v>5</v>
      </c>
      <c r="J481" s="1">
        <f>INDEX('02 Emission rates'!$D$7:$D$15,I481)</f>
        <v>15845.527995946721</v>
      </c>
      <c r="K481" s="1">
        <f>INDEX('02 Emission rates'!$E$7:$E$15,I481)</f>
        <v>20.885654518874212</v>
      </c>
      <c r="L481" s="1">
        <f>INDEX('02 Emission rates'!$F$7:$F$15,I481)</f>
        <v>98.655405882152721</v>
      </c>
      <c r="M481" s="1">
        <f>INDEX('02 Emission rates'!$G$7:$G$15,I481)</f>
        <v>4.4998305826136002</v>
      </c>
      <c r="N481" s="1">
        <f t="shared" si="106"/>
        <v>1917.7010818755805</v>
      </c>
      <c r="O481" s="1">
        <f t="shared" si="107"/>
        <v>2.5276811398629366</v>
      </c>
      <c r="P481" s="1">
        <f t="shared" si="108"/>
        <v>11.939745942291978</v>
      </c>
      <c r="Q481" s="1">
        <f t="shared" si="109"/>
        <v>0.54459087628650205</v>
      </c>
      <c r="R481" s="1">
        <f t="shared" si="110"/>
        <v>4613.090082594822</v>
      </c>
      <c r="S481" s="1">
        <f t="shared" si="111"/>
        <v>194.18148887671879</v>
      </c>
      <c r="T481" s="1">
        <f t="shared" si="112"/>
        <v>1606343.4477847803</v>
      </c>
      <c r="U481" s="1">
        <f t="shared" si="113"/>
        <v>1289.2989367302316</v>
      </c>
      <c r="V481" s="1">
        <f t="shared" si="114"/>
        <v>13717.113169334294</v>
      </c>
      <c r="W481" s="1">
        <f t="shared" si="115"/>
        <v>595.13174040932574</v>
      </c>
      <c r="X481" s="1"/>
      <c r="Y481" s="1"/>
      <c r="Z481" s="1"/>
      <c r="AA481" s="1"/>
      <c r="AB481" s="1"/>
      <c r="AC481" s="1"/>
      <c r="AD481" s="1"/>
      <c r="AE481" s="1"/>
    </row>
    <row r="482" spans="1:31" ht="22.05" customHeight="1">
      <c r="A482" s="1">
        <f>'01 Traffic inputs'!B432</f>
        <v>0.96396470272269785</v>
      </c>
      <c r="B482" s="1">
        <f>'01 Traffic inputs'!C432</f>
        <v>1.5228092510050338E-3</v>
      </c>
      <c r="C482" s="1">
        <f>IF('01 Traffic inputs'!$B$16&lt;=2/3,(4*A482*(1-A482))^$B$16,1-ABS(2*A482-1)^$B$17)</f>
        <v>1.2268322636335136E-3</v>
      </c>
      <c r="D482" s="1">
        <f>IF('01 Traffic inputs'!$B$16&lt;=2/3,4*$B$16*(1-2*A482)*(4*A482*(1-A482))^($B$16-1),-2*$B$17*SIGN(2*A482-1)*ABS(2*A482-1)^($B$17-1))</f>
        <v>-0.1113083945719399</v>
      </c>
      <c r="E482" s="1">
        <f t="shared" si="103"/>
        <v>7.282652814655779</v>
      </c>
      <c r="F482" s="1">
        <f t="shared" si="104"/>
        <v>1.627947522252943E-2</v>
      </c>
      <c r="G482" s="1">
        <f t="shared" si="105"/>
        <v>0.11855776605047297</v>
      </c>
      <c r="H482" s="1">
        <f>'01 Traffic inputs'!$B$8/F482</f>
        <v>63.884123154089608</v>
      </c>
      <c r="I482" s="1">
        <f>MATCH(H482,'02 Emission rates'!$A$7:$A$15,1)</f>
        <v>5</v>
      </c>
      <c r="J482" s="1">
        <f>INDEX('02 Emission rates'!$D$7:$D$15,I482)</f>
        <v>15845.527995946721</v>
      </c>
      <c r="K482" s="1">
        <f>INDEX('02 Emission rates'!$E$7:$E$15,I482)</f>
        <v>20.885654518874212</v>
      </c>
      <c r="L482" s="1">
        <f>INDEX('02 Emission rates'!$F$7:$F$15,I482)</f>
        <v>98.655405882152721</v>
      </c>
      <c r="M482" s="1">
        <f>INDEX('02 Emission rates'!$G$7:$G$15,I482)</f>
        <v>4.4998305826136002</v>
      </c>
      <c r="N482" s="1">
        <f t="shared" si="106"/>
        <v>1878.6104010896711</v>
      </c>
      <c r="O482" s="1">
        <f t="shared" si="107"/>
        <v>2.4761565422596923</v>
      </c>
      <c r="P482" s="1">
        <f t="shared" si="108"/>
        <v>11.696364530190717</v>
      </c>
      <c r="Q482" s="1">
        <f t="shared" si="109"/>
        <v>0.53348986148026667</v>
      </c>
      <c r="R482" s="1">
        <f t="shared" si="110"/>
        <v>4620.3727354094781</v>
      </c>
      <c r="S482" s="1">
        <f t="shared" si="111"/>
        <v>194.30004664276927</v>
      </c>
      <c r="T482" s="1">
        <f t="shared" si="112"/>
        <v>1608222.0581858701</v>
      </c>
      <c r="U482" s="1">
        <f t="shared" si="113"/>
        <v>1291.7750932724914</v>
      </c>
      <c r="V482" s="1">
        <f t="shared" si="114"/>
        <v>13728.809533864485</v>
      </c>
      <c r="W482" s="1">
        <f t="shared" si="115"/>
        <v>595.66523027080598</v>
      </c>
      <c r="X482" s="1"/>
      <c r="Y482" s="1"/>
      <c r="Z482" s="1"/>
      <c r="AA482" s="1"/>
      <c r="AB482" s="1"/>
      <c r="AC482" s="1"/>
      <c r="AD482" s="1"/>
      <c r="AE482" s="1"/>
    </row>
    <row r="483" spans="1:31" ht="22.05" customHeight="1">
      <c r="A483" s="1">
        <f>'01 Traffic inputs'!B433</f>
        <v>0.96547200830532698</v>
      </c>
      <c r="B483" s="1">
        <f>'01 Traffic inputs'!C433</f>
        <v>1.4917851433062944E-3</v>
      </c>
      <c r="C483" s="1">
        <f>IF('01 Traffic inputs'!$B$16&lt;=2/3,(4*A483*(1-A483))^$B$16,1-ABS(2*A483-1)^$B$17)</f>
        <v>1.0667528239750393E-3</v>
      </c>
      <c r="D483" s="1">
        <f>IF('01 Traffic inputs'!$B$16&lt;=2/3,4*$B$16*(1-2*A483)*(4*A483*(1-A483))^($B$16-1),-2*$B$17*SIGN(2*A483-1)*ABS(2*A483-1)^($B$17-1))</f>
        <v>-0.10117970163567323</v>
      </c>
      <c r="E483" s="1">
        <f t="shared" si="103"/>
        <v>7.1352162938187824</v>
      </c>
      <c r="F483" s="1">
        <f t="shared" si="104"/>
        <v>1.6270296307527948E-2</v>
      </c>
      <c r="G483" s="1">
        <f t="shared" si="105"/>
        <v>0.11609208331873298</v>
      </c>
      <c r="H483" s="1">
        <f>'01 Traffic inputs'!$B$8/F483</f>
        <v>63.920163489513882</v>
      </c>
      <c r="I483" s="1">
        <f>MATCH(H483,'02 Emission rates'!$A$7:$A$15,1)</f>
        <v>5</v>
      </c>
      <c r="J483" s="1">
        <f>INDEX('02 Emission rates'!$D$7:$D$15,I483)</f>
        <v>15845.527995946721</v>
      </c>
      <c r="K483" s="1">
        <f>INDEX('02 Emission rates'!$E$7:$E$15,I483)</f>
        <v>20.885654518874212</v>
      </c>
      <c r="L483" s="1">
        <f>INDEX('02 Emission rates'!$F$7:$F$15,I483)</f>
        <v>98.655405882152721</v>
      </c>
      <c r="M483" s="1">
        <f>INDEX('02 Emission rates'!$G$7:$G$15,I483)</f>
        <v>4.4998305826136002</v>
      </c>
      <c r="N483" s="1">
        <f t="shared" si="106"/>
        <v>1839.5403563347627</v>
      </c>
      <c r="O483" s="1">
        <f t="shared" si="107"/>
        <v>2.4246591445714172</v>
      </c>
      <c r="P483" s="1">
        <f t="shared" si="108"/>
        <v>11.453111599514294</v>
      </c>
      <c r="Q483" s="1">
        <f t="shared" si="109"/>
        <v>0.52239470691696088</v>
      </c>
      <c r="R483" s="1">
        <f t="shared" si="110"/>
        <v>4627.5079517032973</v>
      </c>
      <c r="S483" s="1">
        <f t="shared" si="111"/>
        <v>194.41613872608801</v>
      </c>
      <c r="T483" s="1">
        <f t="shared" si="112"/>
        <v>1610061.5985422048</v>
      </c>
      <c r="U483" s="1">
        <f t="shared" si="113"/>
        <v>1294.1997524170629</v>
      </c>
      <c r="V483" s="1">
        <f t="shared" si="114"/>
        <v>13740.262645463999</v>
      </c>
      <c r="W483" s="1">
        <f t="shared" si="115"/>
        <v>596.18762497772298</v>
      </c>
      <c r="X483" s="1"/>
      <c r="Y483" s="1"/>
      <c r="Z483" s="1"/>
      <c r="AA483" s="1"/>
      <c r="AB483" s="1"/>
      <c r="AC483" s="1"/>
      <c r="AD483" s="1"/>
      <c r="AE483" s="1"/>
    </row>
    <row r="484" spans="1:31" ht="22.05" customHeight="1">
      <c r="A484" s="1">
        <f>'01 Traffic inputs'!B434</f>
        <v>0.96694823981293876</v>
      </c>
      <c r="B484" s="1">
        <f>'01 Traffic inputs'!C434</f>
        <v>1.4606614467143283E-3</v>
      </c>
      <c r="C484" s="1">
        <f>IF('01 Traffic inputs'!$B$16&lt;=2/3,(4*A484*(1-A484))^$B$16,1-ABS(2*A484-1)^$B$17)</f>
        <v>9.2441110987916662E-4</v>
      </c>
      <c r="D484" s="1">
        <f>IF('01 Traffic inputs'!$B$16&lt;=2/3,4*$B$16*(1-2*A484)*(4*A484*(1-A484))^($B$16-1),-2*$B$17*SIGN(2*A484-1)*ABS(2*A484-1)^($B$17-1))</f>
        <v>-9.1745148535597357E-2</v>
      </c>
      <c r="E484" s="1">
        <f t="shared" si="103"/>
        <v>6.9872020117194484</v>
      </c>
      <c r="F484" s="1">
        <f t="shared" si="104"/>
        <v>1.6262134469270398E-2</v>
      </c>
      <c r="G484" s="1">
        <f t="shared" si="105"/>
        <v>0.11362681867853831</v>
      </c>
      <c r="H484" s="1">
        <f>'01 Traffic inputs'!$B$8/F484</f>
        <v>63.952244520253323</v>
      </c>
      <c r="I484" s="1">
        <f>MATCH(H484,'02 Emission rates'!$A$7:$A$15,1)</f>
        <v>5</v>
      </c>
      <c r="J484" s="1">
        <f>INDEX('02 Emission rates'!$D$7:$D$15,I484)</f>
        <v>15845.527995946721</v>
      </c>
      <c r="K484" s="1">
        <f>INDEX('02 Emission rates'!$E$7:$E$15,I484)</f>
        <v>20.885654518874212</v>
      </c>
      <c r="L484" s="1">
        <f>INDEX('02 Emission rates'!$F$7:$F$15,I484)</f>
        <v>98.655405882152721</v>
      </c>
      <c r="M484" s="1">
        <f>INDEX('02 Emission rates'!$G$7:$G$15,I484)</f>
        <v>4.4998305826136002</v>
      </c>
      <c r="N484" s="1">
        <f t="shared" si="106"/>
        <v>1800.4769364611407</v>
      </c>
      <c r="O484" s="1">
        <f t="shared" si="107"/>
        <v>2.3731704789987145</v>
      </c>
      <c r="P484" s="1">
        <f t="shared" si="108"/>
        <v>11.20989991582897</v>
      </c>
      <c r="Q484" s="1">
        <f t="shared" si="109"/>
        <v>0.51130143369477699</v>
      </c>
      <c r="R484" s="1">
        <f t="shared" si="110"/>
        <v>4634.4951537150164</v>
      </c>
      <c r="S484" s="1">
        <f t="shared" si="111"/>
        <v>194.52976554476655</v>
      </c>
      <c r="T484" s="1">
        <f t="shared" si="112"/>
        <v>1611862.075478666</v>
      </c>
      <c r="U484" s="1">
        <f t="shared" si="113"/>
        <v>1296.5729228960615</v>
      </c>
      <c r="V484" s="1">
        <f t="shared" si="114"/>
        <v>13751.472545379829</v>
      </c>
      <c r="W484" s="1">
        <f t="shared" si="115"/>
        <v>596.6989264114178</v>
      </c>
      <c r="X484" s="1"/>
      <c r="Y484" s="1"/>
      <c r="Z484" s="1"/>
      <c r="AA484" s="1"/>
      <c r="AB484" s="1"/>
      <c r="AC484" s="1"/>
      <c r="AD484" s="1"/>
      <c r="AE484" s="1"/>
    </row>
    <row r="485" spans="1:31" ht="22.05" customHeight="1">
      <c r="A485" s="1">
        <f>'01 Traffic inputs'!B435</f>
        <v>0.96839329869497293</v>
      </c>
      <c r="B485" s="1">
        <f>'01 Traffic inputs'!C435</f>
        <v>1.4294402389917033E-3</v>
      </c>
      <c r="C485" s="1">
        <f>IF('01 Traffic inputs'!$B$16&lt;=2/3,(4*A485*(1-A485))^$B$16,1-ABS(2*A485-1)^$B$17)</f>
        <v>7.9822553118801215E-4</v>
      </c>
      <c r="D485" s="1">
        <f>IF('01 Traffic inputs'!$B$16&lt;=2/3,4*$B$16*(1-2*A485)*(4*A485*(1-A485))^($B$16-1),-2*$B$17*SIGN(2*A485-1)*ABS(2*A485-1)^($B$17-1))</f>
        <v>-8.2975975945751596E-2</v>
      </c>
      <c r="E485" s="1">
        <f t="shared" si="103"/>
        <v>6.8386262720467919</v>
      </c>
      <c r="F485" s="1">
        <f t="shared" si="104"/>
        <v>1.6254899019773006E-2</v>
      </c>
      <c r="G485" s="1">
        <f t="shared" si="105"/>
        <v>0.11116117948608732</v>
      </c>
      <c r="H485" s="1">
        <f>'01 Traffic inputs'!$B$8/F485</f>
        <v>63.980711214196376</v>
      </c>
      <c r="I485" s="1">
        <f>MATCH(H485,'02 Emission rates'!$A$7:$A$15,1)</f>
        <v>5</v>
      </c>
      <c r="J485" s="1">
        <f>INDEX('02 Emission rates'!$D$7:$D$15,I485)</f>
        <v>15845.527995946721</v>
      </c>
      <c r="K485" s="1">
        <f>INDEX('02 Emission rates'!$E$7:$E$15,I485)</f>
        <v>20.885654518874212</v>
      </c>
      <c r="L485" s="1">
        <f>INDEX('02 Emission rates'!$F$7:$F$15,I485)</f>
        <v>98.655405882152721</v>
      </c>
      <c r="M485" s="1">
        <f>INDEX('02 Emission rates'!$G$7:$G$15,I485)</f>
        <v>4.4998305826136002</v>
      </c>
      <c r="N485" s="1">
        <f t="shared" si="106"/>
        <v>1761.407581609255</v>
      </c>
      <c r="O485" s="1">
        <f t="shared" si="107"/>
        <v>2.3216739906569872</v>
      </c>
      <c r="P485" s="1">
        <f t="shared" si="108"/>
        <v>10.966651280538773</v>
      </c>
      <c r="Q485" s="1">
        <f t="shared" si="109"/>
        <v>0.50020647505089533</v>
      </c>
      <c r="R485" s="1">
        <f t="shared" si="110"/>
        <v>4641.3337799870633</v>
      </c>
      <c r="S485" s="1">
        <f t="shared" si="111"/>
        <v>194.64092672425264</v>
      </c>
      <c r="T485" s="1">
        <f t="shared" si="112"/>
        <v>1613623.4830602752</v>
      </c>
      <c r="U485" s="1">
        <f t="shared" si="113"/>
        <v>1298.8945968867185</v>
      </c>
      <c r="V485" s="1">
        <f t="shared" si="114"/>
        <v>13762.439196660367</v>
      </c>
      <c r="W485" s="1">
        <f t="shared" si="115"/>
        <v>597.19913288646865</v>
      </c>
      <c r="X485" s="1"/>
      <c r="Y485" s="1"/>
      <c r="Z485" s="1"/>
      <c r="AA485" s="1"/>
      <c r="AB485" s="1"/>
      <c r="AC485" s="1"/>
      <c r="AD485" s="1"/>
      <c r="AE485" s="1"/>
    </row>
    <row r="486" spans="1:31" ht="22.05" customHeight="1">
      <c r="A486" s="1">
        <f>'01 Traffic inputs'!B436</f>
        <v>0.96980708848189812</v>
      </c>
      <c r="B486" s="1">
        <f>'01 Traffic inputs'!C436</f>
        <v>1.3981236044103543E-3</v>
      </c>
      <c r="C486" s="1">
        <f>IF('01 Traffic inputs'!$B$16&lt;=2/3,(4*A486*(1-A486))^$B$16,1-ABS(2*A486-1)^$B$17)</f>
        <v>6.8671591711799056E-4</v>
      </c>
      <c r="D486" s="1">
        <f>IF('01 Traffic inputs'!$B$16&lt;=2/3,4*$B$16*(1-2*A486)*(4*A486*(1-A486))^($B$16-1),-2*$B$17*SIGN(2*A486-1)*ABS(2*A486-1)^($B$17-1))</f>
        <v>-7.4843374396495493E-2</v>
      </c>
      <c r="E486" s="1">
        <f t="shared" si="103"/>
        <v>6.6895052213418067</v>
      </c>
      <c r="F486" s="1">
        <f t="shared" si="104"/>
        <v>1.6248505086413539E-2</v>
      </c>
      <c r="G486" s="1">
        <f t="shared" si="105"/>
        <v>0.10869445961456227</v>
      </c>
      <c r="H486" s="1">
        <f>'01 Traffic inputs'!$B$8/F486</f>
        <v>64.005888201348071</v>
      </c>
      <c r="I486" s="1">
        <f>MATCH(H486,'02 Emission rates'!$A$7:$A$15,1)</f>
        <v>5</v>
      </c>
      <c r="J486" s="1">
        <f>INDEX('02 Emission rates'!$D$7:$D$15,I486)</f>
        <v>15845.527995946721</v>
      </c>
      <c r="K486" s="1">
        <f>INDEX('02 Emission rates'!$E$7:$E$15,I486)</f>
        <v>20.885654518874212</v>
      </c>
      <c r="L486" s="1">
        <f>INDEX('02 Emission rates'!$F$7:$F$15,I486)</f>
        <v>98.655405882152721</v>
      </c>
      <c r="M486" s="1">
        <f>INDEX('02 Emission rates'!$G$7:$G$15,I486)</f>
        <v>4.4998305826136002</v>
      </c>
      <c r="N486" s="1">
        <f t="shared" si="106"/>
        <v>1722.3211028268468</v>
      </c>
      <c r="O486" s="1">
        <f t="shared" si="107"/>
        <v>2.270154931625473</v>
      </c>
      <c r="P486" s="1">
        <f t="shared" si="108"/>
        <v>10.723296030415899</v>
      </c>
      <c r="Q486" s="1">
        <f t="shared" si="109"/>
        <v>0.48910665353426619</v>
      </c>
      <c r="R486" s="1">
        <f t="shared" si="110"/>
        <v>4648.0232852084055</v>
      </c>
      <c r="S486" s="1">
        <f t="shared" si="111"/>
        <v>194.74962118386719</v>
      </c>
      <c r="T486" s="1">
        <f t="shared" si="112"/>
        <v>1615345.8041631021</v>
      </c>
      <c r="U486" s="1">
        <f t="shared" si="113"/>
        <v>1301.164751818344</v>
      </c>
      <c r="V486" s="1">
        <f t="shared" si="114"/>
        <v>13773.162492690783</v>
      </c>
      <c r="W486" s="1">
        <f t="shared" si="115"/>
        <v>597.68823954000288</v>
      </c>
      <c r="X486" s="1"/>
      <c r="Y486" s="1"/>
      <c r="Z486" s="1"/>
      <c r="AA486" s="1"/>
      <c r="AB486" s="1"/>
      <c r="AC486" s="1"/>
      <c r="AD486" s="1"/>
      <c r="AE486" s="1"/>
    </row>
    <row r="487" spans="1:31" ht="22.05" customHeight="1">
      <c r="A487" s="1">
        <f>'01 Traffic inputs'!B437</f>
        <v>0.97118951479165228</v>
      </c>
      <c r="B487" s="1">
        <f>'01 Traffic inputs'!C437</f>
        <v>1.3667136336128873E-3</v>
      </c>
      <c r="C487" s="1">
        <f>IF('01 Traffic inputs'!$B$16&lt;=2/3,(4*A487*(1-A487))^$B$16,1-ABS(2*A487-1)^$B$17)</f>
        <v>5.8850038471909072E-4</v>
      </c>
      <c r="D487" s="1">
        <f>IF('01 Traffic inputs'!$B$16&lt;=2/3,4*$B$16*(1-2*A487)*(4*A487*(1-A487))^($B$16-1),-2*$B$17*SIGN(2*A487-1)*ABS(2*A487-1)^($B$17-1))</f>
        <v>-6.7318563588255151E-2</v>
      </c>
      <c r="E487" s="1">
        <f t="shared" si="103"/>
        <v>6.539854838625434</v>
      </c>
      <c r="F487" s="1">
        <f t="shared" si="104"/>
        <v>1.6242873432369534E-2</v>
      </c>
      <c r="G487" s="1">
        <f t="shared" si="105"/>
        <v>0.1062260344098624</v>
      </c>
      <c r="H487" s="1">
        <f>'01 Traffic inputs'!$B$8/F487</f>
        <v>64.028080027235902</v>
      </c>
      <c r="I487" s="1">
        <f>MATCH(H487,'02 Emission rates'!$A$7:$A$15,1)</f>
        <v>5</v>
      </c>
      <c r="J487" s="1">
        <f>INDEX('02 Emission rates'!$D$7:$D$15,I487)</f>
        <v>15845.527995946721</v>
      </c>
      <c r="K487" s="1">
        <f>INDEX('02 Emission rates'!$E$7:$E$15,I487)</f>
        <v>20.885654518874212</v>
      </c>
      <c r="L487" s="1">
        <f>INDEX('02 Emission rates'!$F$7:$F$15,I487)</f>
        <v>98.655405882152721</v>
      </c>
      <c r="M487" s="1">
        <f>INDEX('02 Emission rates'!$G$7:$G$15,I487)</f>
        <v>4.4998305826136002</v>
      </c>
      <c r="N487" s="1">
        <f t="shared" si="106"/>
        <v>1683.2076021398743</v>
      </c>
      <c r="O487" s="1">
        <f t="shared" si="107"/>
        <v>2.2186002555944304</v>
      </c>
      <c r="P487" s="1">
        <f t="shared" si="108"/>
        <v>10.479772539956496</v>
      </c>
      <c r="Q487" s="1">
        <f t="shared" si="109"/>
        <v>0.47799915830726347</v>
      </c>
      <c r="R487" s="1">
        <f t="shared" si="110"/>
        <v>4654.5631400470311</v>
      </c>
      <c r="S487" s="1">
        <f t="shared" si="111"/>
        <v>194.85584721827706</v>
      </c>
      <c r="T487" s="1">
        <f t="shared" si="112"/>
        <v>1617029.0117652419</v>
      </c>
      <c r="U487" s="1">
        <f t="shared" si="113"/>
        <v>1303.3833520739386</v>
      </c>
      <c r="V487" s="1">
        <f t="shared" si="114"/>
        <v>13783.642265230739</v>
      </c>
      <c r="W487" s="1">
        <f t="shared" si="115"/>
        <v>598.16623869831017</v>
      </c>
      <c r="X487" s="1"/>
      <c r="Y487" s="1"/>
      <c r="Z487" s="1"/>
      <c r="AA487" s="1"/>
      <c r="AB487" s="1"/>
      <c r="AC487" s="1"/>
      <c r="AD487" s="1"/>
      <c r="AE487" s="1"/>
    </row>
    <row r="488" spans="1:31" ht="22.05" customHeight="1">
      <c r="A488" s="1">
        <f>'01 Traffic inputs'!B438</f>
        <v>0.97254048533594251</v>
      </c>
      <c r="B488" s="1">
        <f>'01 Traffic inputs'!C438</f>
        <v>1.3352124234738646E-3</v>
      </c>
      <c r="C488" s="1">
        <f>IF('01 Traffic inputs'!$B$16&lt;=2/3,(4*A488*(1-A488))^$B$16,1-ABS(2*A488-1)^$B$17)</f>
        <v>5.0229205950611758E-4</v>
      </c>
      <c r="D488" s="1">
        <f>IF('01 Traffic inputs'!$B$16&lt;=2/3,4*$B$16*(1-2*A488)*(4*A488*(1-A488))^($B$16-1),-2*$B$17*SIGN(2*A488-1)*ABS(2*A488-1)^($B$17-1))</f>
        <v>-6.0372869560068369E-2</v>
      </c>
      <c r="E488" s="1">
        <f t="shared" si="103"/>
        <v>6.3896909261941213</v>
      </c>
      <c r="F488" s="1">
        <f t="shared" si="104"/>
        <v>1.6237930268580114E-2</v>
      </c>
      <c r="G488" s="1">
        <f t="shared" si="105"/>
        <v>0.10375535569731922</v>
      </c>
      <c r="H488" s="1">
        <f>'01 Traffic inputs'!$B$8/F488</f>
        <v>64.047571506843326</v>
      </c>
      <c r="I488" s="1">
        <f>MATCH(H488,'02 Emission rates'!$A$7:$A$15,1)</f>
        <v>5</v>
      </c>
      <c r="J488" s="1">
        <f>INDEX('02 Emission rates'!$D$7:$D$15,I488)</f>
        <v>15845.527995946721</v>
      </c>
      <c r="K488" s="1">
        <f>INDEX('02 Emission rates'!$E$7:$E$15,I488)</f>
        <v>20.885654518874212</v>
      </c>
      <c r="L488" s="1">
        <f>INDEX('02 Emission rates'!$F$7:$F$15,I488)</f>
        <v>98.655405882152721</v>
      </c>
      <c r="M488" s="1">
        <f>INDEX('02 Emission rates'!$G$7:$G$15,I488)</f>
        <v>4.4998305826136002</v>
      </c>
      <c r="N488" s="1">
        <f t="shared" si="106"/>
        <v>1644.058393431282</v>
      </c>
      <c r="O488" s="1">
        <f t="shared" si="107"/>
        <v>2.1669985135771164</v>
      </c>
      <c r="P488" s="1">
        <f t="shared" si="108"/>
        <v>10.236026728766154</v>
      </c>
      <c r="Q488" s="1">
        <f t="shared" si="109"/>
        <v>0.46688152267674932</v>
      </c>
      <c r="R488" s="1">
        <f t="shared" si="110"/>
        <v>4660.952830973225</v>
      </c>
      <c r="S488" s="1">
        <f t="shared" si="111"/>
        <v>194.95960257397439</v>
      </c>
      <c r="T488" s="1">
        <f t="shared" si="112"/>
        <v>1618673.0701586732</v>
      </c>
      <c r="U488" s="1">
        <f t="shared" si="113"/>
        <v>1305.5503505875156</v>
      </c>
      <c r="V488" s="1">
        <f t="shared" si="114"/>
        <v>13793.878291959505</v>
      </c>
      <c r="W488" s="1">
        <f t="shared" si="115"/>
        <v>598.63312022098694</v>
      </c>
      <c r="X488" s="1"/>
      <c r="Y488" s="1"/>
      <c r="Z488" s="1"/>
      <c r="AA488" s="1"/>
      <c r="AB488" s="1"/>
      <c r="AC488" s="1"/>
      <c r="AD488" s="1"/>
      <c r="AE488" s="1"/>
    </row>
    <row r="489" spans="1:31" ht="22.05" customHeight="1">
      <c r="A489" s="1">
        <f>'01 Traffic inputs'!B439</f>
        <v>0.97385990992640781</v>
      </c>
      <c r="B489" s="1">
        <f>'01 Traffic inputs'!C439</f>
        <v>1.3036220769573987E-3</v>
      </c>
      <c r="C489" s="1">
        <f>IF('01 Traffic inputs'!$B$16&lt;=2/3,(4*A489*(1-A489))^$B$16,1-ABS(2*A489-1)^$B$17)</f>
        <v>4.2689566714991338E-4</v>
      </c>
      <c r="D489" s="1">
        <f>IF('01 Traffic inputs'!$B$16&lt;=2/3,4*$B$16*(1-2*A489)*(4*A489*(1-A489))^($B$16-1),-2*$B$17*SIGN(2*A489-1)*ABS(2*A489-1)^($B$17-1))</f>
        <v>-5.3977799528744888E-2</v>
      </c>
      <c r="E489" s="1">
        <f t="shared" si="103"/>
        <v>6.2390291015608152</v>
      </c>
      <c r="F489" s="1">
        <f t="shared" si="104"/>
        <v>1.623360705831443E-2</v>
      </c>
      <c r="G489" s="1">
        <f t="shared" si="105"/>
        <v>0.10128194686012679</v>
      </c>
      <c r="H489" s="1">
        <f>'01 Traffic inputs'!$B$8/F489</f>
        <v>64.064628166995064</v>
      </c>
      <c r="I489" s="1">
        <f>MATCH(H489,'02 Emission rates'!$A$7:$A$15,1)</f>
        <v>5</v>
      </c>
      <c r="J489" s="1">
        <f>INDEX('02 Emission rates'!$D$7:$D$15,I489)</f>
        <v>15845.527995946721</v>
      </c>
      <c r="K489" s="1">
        <f>INDEX('02 Emission rates'!$E$7:$E$15,I489)</f>
        <v>20.885654518874212</v>
      </c>
      <c r="L489" s="1">
        <f>INDEX('02 Emission rates'!$F$7:$F$15,I489)</f>
        <v>98.655405882152721</v>
      </c>
      <c r="M489" s="1">
        <f>INDEX('02 Emission rates'!$G$7:$G$15,I489)</f>
        <v>4.4998305826136002</v>
      </c>
      <c r="N489" s="1">
        <f t="shared" si="106"/>
        <v>1604.865924456127</v>
      </c>
      <c r="O489" s="1">
        <f t="shared" si="107"/>
        <v>2.1153397511195848</v>
      </c>
      <c r="P489" s="1">
        <f t="shared" si="108"/>
        <v>9.9920115760204311</v>
      </c>
      <c r="Q489" s="1">
        <f t="shared" si="109"/>
        <v>0.45575160194784403</v>
      </c>
      <c r="R489" s="1">
        <f t="shared" si="110"/>
        <v>4667.1918600747858</v>
      </c>
      <c r="S489" s="1">
        <f t="shared" si="111"/>
        <v>195.06088452083452</v>
      </c>
      <c r="T489" s="1">
        <f t="shared" si="112"/>
        <v>1620277.9360831294</v>
      </c>
      <c r="U489" s="1">
        <f t="shared" si="113"/>
        <v>1307.6656903386352</v>
      </c>
      <c r="V489" s="1">
        <f t="shared" si="114"/>
        <v>13803.870303535525</v>
      </c>
      <c r="W489" s="1">
        <f t="shared" si="115"/>
        <v>599.08887182293483</v>
      </c>
      <c r="X489" s="1"/>
      <c r="Y489" s="1"/>
      <c r="Z489" s="1"/>
      <c r="AA489" s="1"/>
      <c r="AB489" s="1"/>
      <c r="AC489" s="1"/>
      <c r="AD489" s="1"/>
      <c r="AE489" s="1"/>
    </row>
    <row r="490" spans="1:31" ht="22.05" customHeight="1">
      <c r="A490" s="1">
        <f>'01 Traffic inputs'!B440</f>
        <v>0.97514770048063859</v>
      </c>
      <c r="B490" s="1">
        <f>'01 Traffic inputs'!C440</f>
        <v>1.2719447029789833E-3</v>
      </c>
      <c r="C490" s="1">
        <f>IF('01 Traffic inputs'!$B$16&lt;=2/3,(4*A490*(1-A490))^$B$16,1-ABS(2*A490-1)^$B$17)</f>
        <v>3.6120401500787613E-4</v>
      </c>
      <c r="D490" s="1">
        <f>IF('01 Traffic inputs'!$B$16&lt;=2/3,4*$B$16*(1-2*A490)*(4*A490*(1-A490))^($B$16-1),-2*$B$17*SIGN(2*A490-1)*ABS(2*A490-1)^($B$17-1))</f>
        <v>-4.8105114221565277E-2</v>
      </c>
      <c r="E490" s="1">
        <f t="shared" si="103"/>
        <v>6.0878847905704285</v>
      </c>
      <c r="F490" s="1">
        <f t="shared" si="104"/>
        <v>1.6229840315423495E-2</v>
      </c>
      <c r="G490" s="1">
        <f t="shared" si="105"/>
        <v>9.8805398009653461E-2</v>
      </c>
      <c r="H490" s="1">
        <f>'01 Traffic inputs'!$B$8/F490</f>
        <v>64.07949676570081</v>
      </c>
      <c r="I490" s="1">
        <f>MATCH(H490,'02 Emission rates'!$A$7:$A$15,1)</f>
        <v>5</v>
      </c>
      <c r="J490" s="1">
        <f>INDEX('02 Emission rates'!$D$7:$D$15,I490)</f>
        <v>15845.527995946721</v>
      </c>
      <c r="K490" s="1">
        <f>INDEX('02 Emission rates'!$E$7:$E$15,I490)</f>
        <v>20.885654518874212</v>
      </c>
      <c r="L490" s="1">
        <f>INDEX('02 Emission rates'!$F$7:$F$15,I490)</f>
        <v>98.655405882152721</v>
      </c>
      <c r="M490" s="1">
        <f>INDEX('02 Emission rates'!$G$7:$G$15,I490)</f>
        <v>4.4998305826136002</v>
      </c>
      <c r="N490" s="1">
        <f t="shared" si="106"/>
        <v>1565.6237003126223</v>
      </c>
      <c r="O490" s="1">
        <f t="shared" si="107"/>
        <v>2.0636154074294839</v>
      </c>
      <c r="P490" s="1">
        <f t="shared" si="108"/>
        <v>9.7476866439900061</v>
      </c>
      <c r="Q490" s="1">
        <f t="shared" si="109"/>
        <v>0.44460755169114757</v>
      </c>
      <c r="R490" s="1">
        <f t="shared" si="110"/>
        <v>4673.2797448653564</v>
      </c>
      <c r="S490" s="1">
        <f t="shared" si="111"/>
        <v>195.15968991884418</v>
      </c>
      <c r="T490" s="1">
        <f t="shared" si="112"/>
        <v>1621843.5597834419</v>
      </c>
      <c r="U490" s="1">
        <f t="shared" si="113"/>
        <v>1309.7293057460647</v>
      </c>
      <c r="V490" s="1">
        <f t="shared" si="114"/>
        <v>13813.617990179515</v>
      </c>
      <c r="W490" s="1">
        <f t="shared" si="115"/>
        <v>599.53347937462593</v>
      </c>
      <c r="X490" s="1"/>
      <c r="Y490" s="1"/>
      <c r="Z490" s="1"/>
      <c r="AA490" s="1"/>
      <c r="AB490" s="1"/>
      <c r="AC490" s="1"/>
      <c r="AD490" s="1"/>
      <c r="AE490" s="1"/>
    </row>
    <row r="491" spans="1:31" ht="22.05" customHeight="1">
      <c r="A491" s="1">
        <f>'01 Traffic inputs'!B441</f>
        <v>0.9764037710280572</v>
      </c>
      <c r="B491" s="1">
        <f>'01 Traffic inputs'!C441</f>
        <v>1.2401824162640775E-3</v>
      </c>
      <c r="C491" s="1">
        <f>IF('01 Traffic inputs'!$B$16&lt;=2/3,(4*A491*(1-A491))^$B$16,1-ABS(2*A491-1)^$B$17)</f>
        <v>3.0419438209326678E-4</v>
      </c>
      <c r="D491" s="1">
        <f>IF('01 Traffic inputs'!$B$16&lt;=2/3,4*$B$16*(1-2*A491)*(4*A491*(1-A491))^($B$16-1),-2*$B$17*SIGN(2*A491-1)*ABS(2*A491-1)^($B$17-1))</f>
        <v>-4.2726897532822189E-2</v>
      </c>
      <c r="E491" s="1">
        <f t="shared" si="103"/>
        <v>5.9362732216407768</v>
      </c>
      <c r="F491" s="1">
        <f t="shared" si="104"/>
        <v>1.6226571397341912E-2</v>
      </c>
      <c r="G491" s="1">
        <f t="shared" si="105"/>
        <v>9.6325361265082954E-2</v>
      </c>
      <c r="H491" s="1">
        <f>'01 Traffic inputs'!$B$8/F491</f>
        <v>64.092405877583218</v>
      </c>
      <c r="I491" s="1">
        <f>MATCH(H491,'02 Emission rates'!$A$7:$A$15,1)</f>
        <v>5</v>
      </c>
      <c r="J491" s="1">
        <f>INDEX('02 Emission rates'!$D$7:$D$15,I491)</f>
        <v>15845.527995946721</v>
      </c>
      <c r="K491" s="1">
        <f>INDEX('02 Emission rates'!$E$7:$E$15,I491)</f>
        <v>20.885654518874212</v>
      </c>
      <c r="L491" s="1">
        <f>INDEX('02 Emission rates'!$F$7:$F$15,I491)</f>
        <v>98.655405882152721</v>
      </c>
      <c r="M491" s="1">
        <f>INDEX('02 Emission rates'!$G$7:$G$15,I491)</f>
        <v>4.4998305826136002</v>
      </c>
      <c r="N491" s="1">
        <f t="shared" si="106"/>
        <v>1526.3262086455538</v>
      </c>
      <c r="O491" s="1">
        <f t="shared" si="107"/>
        <v>2.0118182167882708</v>
      </c>
      <c r="P491" s="1">
        <f t="shared" si="108"/>
        <v>9.5030176123517514</v>
      </c>
      <c r="Q491" s="1">
        <f t="shared" si="109"/>
        <v>0.43344780650192377</v>
      </c>
      <c r="R491" s="1">
        <f t="shared" si="110"/>
        <v>4679.2160180869969</v>
      </c>
      <c r="S491" s="1">
        <f t="shared" si="111"/>
        <v>195.25601528010927</v>
      </c>
      <c r="T491" s="1">
        <f t="shared" si="112"/>
        <v>1623369.8859920874</v>
      </c>
      <c r="U491" s="1">
        <f t="shared" si="113"/>
        <v>1311.741123962853</v>
      </c>
      <c r="V491" s="1">
        <f t="shared" si="114"/>
        <v>13823.121007791866</v>
      </c>
      <c r="W491" s="1">
        <f t="shared" si="115"/>
        <v>599.96692718112786</v>
      </c>
      <c r="X491" s="1"/>
      <c r="Y491" s="1"/>
      <c r="Z491" s="1"/>
      <c r="AA491" s="1"/>
      <c r="AB491" s="1"/>
      <c r="AC491" s="1"/>
      <c r="AD491" s="1"/>
      <c r="AE491" s="1"/>
    </row>
    <row r="492" spans="1:31" ht="22.05" customHeight="1">
      <c r="A492" s="1">
        <f>'01 Traffic inputs'!B442</f>
        <v>0.97762803771565798</v>
      </c>
      <c r="B492" s="1">
        <f>'01 Traffic inputs'!C442</f>
        <v>1.2083373372072919E-3</v>
      </c>
      <c r="C492" s="1">
        <f>IF('01 Traffic inputs'!$B$16&lt;=2/3,(4*A492*(1-A492))^$B$16,1-ABS(2*A492-1)^$B$17)</f>
        <v>2.5492483583573278E-4</v>
      </c>
      <c r="D492" s="1">
        <f>IF('01 Traffic inputs'!$B$16&lt;=2/3,4*$B$16*(1-2*A492)*(4*A492*(1-A492))^($B$16-1),-2*$B$17*SIGN(2*A492-1)*ABS(2*A492-1)^($B$17-1))</f>
        <v>-3.7815623342340239E-2</v>
      </c>
      <c r="E492" s="1">
        <f t="shared" si="103"/>
        <v>5.7842094211300523</v>
      </c>
      <c r="F492" s="1">
        <f t="shared" si="104"/>
        <v>1.6223746293891873E-2</v>
      </c>
      <c r="G492" s="1">
        <f t="shared" si="105"/>
        <v>9.3841546159153147E-2</v>
      </c>
      <c r="H492" s="1">
        <f>'01 Traffic inputs'!$B$8/F492</f>
        <v>64.103566535157981</v>
      </c>
      <c r="I492" s="1">
        <f>MATCH(H492,'02 Emission rates'!$A$7:$A$15,1)</f>
        <v>5</v>
      </c>
      <c r="J492" s="1">
        <f>INDEX('02 Emission rates'!$D$7:$D$15,I492)</f>
        <v>15845.527995946721</v>
      </c>
      <c r="K492" s="1">
        <f>INDEX('02 Emission rates'!$E$7:$E$15,I492)</f>
        <v>20.885654518874212</v>
      </c>
      <c r="L492" s="1">
        <f>INDEX('02 Emission rates'!$F$7:$F$15,I492)</f>
        <v>98.655405882152721</v>
      </c>
      <c r="M492" s="1">
        <f>INDEX('02 Emission rates'!$G$7:$G$15,I492)</f>
        <v>4.4998305826136002</v>
      </c>
      <c r="N492" s="1">
        <f t="shared" si="106"/>
        <v>1486.9688468477877</v>
      </c>
      <c r="O492" s="1">
        <f t="shared" si="107"/>
        <v>1.9599421125970597</v>
      </c>
      <c r="P492" s="1">
        <f t="shared" si="108"/>
        <v>9.2579758249400239</v>
      </c>
      <c r="Q492" s="1">
        <f t="shared" si="109"/>
        <v>0.42227105932670317</v>
      </c>
      <c r="R492" s="1">
        <f t="shared" si="110"/>
        <v>4685.000227508127</v>
      </c>
      <c r="S492" s="1">
        <f t="shared" si="111"/>
        <v>195.34985682626842</v>
      </c>
      <c r="T492" s="1">
        <f t="shared" si="112"/>
        <v>1624856.8548389352</v>
      </c>
      <c r="U492" s="1">
        <f t="shared" si="113"/>
        <v>1313.7010660754499</v>
      </c>
      <c r="V492" s="1">
        <f t="shared" si="114"/>
        <v>13832.378983616805</v>
      </c>
      <c r="W492" s="1">
        <f t="shared" si="115"/>
        <v>600.38919824045456</v>
      </c>
      <c r="X492" s="1"/>
      <c r="Y492" s="1"/>
      <c r="Z492" s="1"/>
      <c r="AA492" s="1"/>
      <c r="AB492" s="1"/>
      <c r="AC492" s="1"/>
      <c r="AD492" s="1"/>
      <c r="AE492" s="1"/>
    </row>
    <row r="493" spans="1:31" ht="22.05" customHeight="1">
      <c r="A493" s="1">
        <f>'01 Traffic inputs'!B443</f>
        <v>0.97882041881360471</v>
      </c>
      <c r="B493" s="1">
        <f>'01 Traffic inputs'!C443</f>
        <v>1.176411591729321E-3</v>
      </c>
      <c r="C493" s="1">
        <f>IF('01 Traffic inputs'!$B$16&lt;=2/3,(4*A493*(1-A493))^$B$16,1-ABS(2*A493-1)^$B$17)</f>
        <v>2.1253049367116065E-4</v>
      </c>
      <c r="D493" s="1">
        <f>IF('01 Traffic inputs'!$B$16&lt;=2/3,4*$B$16*(1-2*A493)*(4*A493*(1-A493))^($B$16-1),-2*$B$17*SIGN(2*A493-1)*ABS(2*A493-1)^($B$17-1))</f>
        <v>-3.3344219342243533E-2</v>
      </c>
      <c r="E493" s="1">
        <f t="shared" si="103"/>
        <v>5.6317082097957556</v>
      </c>
      <c r="F493" s="1">
        <f t="shared" si="104"/>
        <v>1.6221315412923633E-2</v>
      </c>
      <c r="G493" s="1">
        <f t="shared" si="105"/>
        <v>9.1353715184648451E-2</v>
      </c>
      <c r="H493" s="1">
        <f>'01 Traffic inputs'!$B$8/F493</f>
        <v>64.113172916386631</v>
      </c>
      <c r="I493" s="1">
        <f>MATCH(H493,'02 Emission rates'!$A$7:$A$15,1)</f>
        <v>5</v>
      </c>
      <c r="J493" s="1">
        <f>INDEX('02 Emission rates'!$D$7:$D$15,I493)</f>
        <v>15845.527995946721</v>
      </c>
      <c r="K493" s="1">
        <f>INDEX('02 Emission rates'!$E$7:$E$15,I493)</f>
        <v>20.885654518874212</v>
      </c>
      <c r="L493" s="1">
        <f>INDEX('02 Emission rates'!$F$7:$F$15,I493)</f>
        <v>98.655405882152721</v>
      </c>
      <c r="M493" s="1">
        <f>INDEX('02 Emission rates'!$G$7:$G$15,I493)</f>
        <v>4.4998305826136002</v>
      </c>
      <c r="N493" s="1">
        <f t="shared" si="106"/>
        <v>1447.5478514920901</v>
      </c>
      <c r="O493" s="1">
        <f t="shared" si="107"/>
        <v>1.9079821343622005</v>
      </c>
      <c r="P493" s="1">
        <f t="shared" si="108"/>
        <v>9.0125378503840707</v>
      </c>
      <c r="Q493" s="1">
        <f t="shared" si="109"/>
        <v>0.41107624142325355</v>
      </c>
      <c r="R493" s="1">
        <f t="shared" si="110"/>
        <v>4690.6319357179227</v>
      </c>
      <c r="S493" s="1">
        <f t="shared" si="111"/>
        <v>195.44121054145307</v>
      </c>
      <c r="T493" s="1">
        <f t="shared" si="112"/>
        <v>1626304.4026904274</v>
      </c>
      <c r="U493" s="1">
        <f t="shared" si="113"/>
        <v>1315.609048209812</v>
      </c>
      <c r="V493" s="1">
        <f t="shared" si="114"/>
        <v>13841.391521467189</v>
      </c>
      <c r="W493" s="1">
        <f t="shared" si="115"/>
        <v>600.80027448187786</v>
      </c>
      <c r="X493" s="1"/>
      <c r="Y493" s="1"/>
      <c r="Z493" s="1"/>
      <c r="AA493" s="1"/>
      <c r="AB493" s="1"/>
      <c r="AC493" s="1"/>
      <c r="AD493" s="1"/>
      <c r="AE493" s="1"/>
    </row>
    <row r="494" spans="1:31" ht="22.05" customHeight="1">
      <c r="A494" s="1">
        <f>'01 Traffic inputs'!B444</f>
        <v>0.97998083472068709</v>
      </c>
      <c r="B494" s="1">
        <f>'01 Traffic inputs'!C444</f>
        <v>1.1444073111375607E-3</v>
      </c>
      <c r="C494" s="1">
        <f>IF('01 Traffic inputs'!$B$16&lt;=2/3,(4*A494*(1-A494))^$B$16,1-ABS(2*A494-1)^$B$17)</f>
        <v>1.7621974711964718E-4</v>
      </c>
      <c r="D494" s="1">
        <f>IF('01 Traffic inputs'!$B$16&lt;=2/3,4*$B$16*(1-2*A494)*(4*A494*(1-A494))^($B$16-1),-2*$B$17*SIGN(2*A494-1)*ABS(2*A494-1)^($B$17-1))</f>
        <v>-2.9286127726672988E-2</v>
      </c>
      <c r="E494" s="1">
        <f t="shared" si="103"/>
        <v>5.4787842003481311</v>
      </c>
      <c r="F494" s="1">
        <f t="shared" si="104"/>
        <v>1.6219233363805093E-2</v>
      </c>
      <c r="G494" s="1">
        <f t="shared" si="105"/>
        <v>8.8861679495374615E-2</v>
      </c>
      <c r="H494" s="1">
        <f>'01 Traffic inputs'!$B$8/F494</f>
        <v>64.121403069573475</v>
      </c>
      <c r="I494" s="1">
        <f>MATCH(H494,'02 Emission rates'!$A$7:$A$15,1)</f>
        <v>5</v>
      </c>
      <c r="J494" s="1">
        <f>INDEX('02 Emission rates'!$D$7:$D$15,I494)</f>
        <v>15845.527995946721</v>
      </c>
      <c r="K494" s="1">
        <f>INDEX('02 Emission rates'!$E$7:$E$15,I494)</f>
        <v>20.885654518874212</v>
      </c>
      <c r="L494" s="1">
        <f>INDEX('02 Emission rates'!$F$7:$F$15,I494)</f>
        <v>98.655405882152721</v>
      </c>
      <c r="M494" s="1">
        <f>INDEX('02 Emission rates'!$G$7:$G$15,I494)</f>
        <v>4.4998305826136002</v>
      </c>
      <c r="N494" s="1">
        <f t="shared" si="106"/>
        <v>1408.0602302108032</v>
      </c>
      <c r="O494" s="1">
        <f t="shared" si="107"/>
        <v>1.8559343379073228</v>
      </c>
      <c r="P494" s="1">
        <f t="shared" si="108"/>
        <v>8.766685057985951</v>
      </c>
      <c r="Q494" s="1">
        <f t="shared" si="109"/>
        <v>0.39986250301569459</v>
      </c>
      <c r="R494" s="1">
        <f t="shared" si="110"/>
        <v>4696.1107199182707</v>
      </c>
      <c r="S494" s="1">
        <f t="shared" si="111"/>
        <v>195.53007222094845</v>
      </c>
      <c r="T494" s="1">
        <f t="shared" si="112"/>
        <v>1627712.4629206383</v>
      </c>
      <c r="U494" s="1">
        <f t="shared" si="113"/>
        <v>1317.4649825477193</v>
      </c>
      <c r="V494" s="1">
        <f t="shared" si="114"/>
        <v>13850.158206525175</v>
      </c>
      <c r="W494" s="1">
        <f t="shared" si="115"/>
        <v>601.20013698489356</v>
      </c>
      <c r="X494" s="1"/>
      <c r="Y494" s="1"/>
      <c r="Z494" s="1"/>
      <c r="AA494" s="1"/>
      <c r="AB494" s="1"/>
      <c r="AC494" s="1"/>
      <c r="AD494" s="1"/>
      <c r="AE494" s="1"/>
    </row>
    <row r="495" spans="1:31" ht="22.05" customHeight="1">
      <c r="A495" s="1">
        <f>'01 Traffic inputs'!B445</f>
        <v>0.98110920796963486</v>
      </c>
      <c r="B495" s="1">
        <f>'01 Traffic inputs'!C445</f>
        <v>1.1123266319816396E-3</v>
      </c>
      <c r="C495" s="1">
        <f>IF('01 Traffic inputs'!$B$16&lt;=2/3,(4*A495*(1-A495))^$B$16,1-ABS(2*A495-1)^$B$17)</f>
        <v>1.4527046556854443E-4</v>
      </c>
      <c r="D495" s="1">
        <f>IF('01 Traffic inputs'!$B$16&lt;=2/3,4*$B$16*(1-2*A495)*(4*A495*(1-A495))^($B$16-1),-2*$B$17*SIGN(2*A495-1)*ABS(2*A495-1)^($B$17-1))</f>
        <v>-2.5615362607909736E-2</v>
      </c>
      <c r="E495" s="1">
        <f t="shared" si="103"/>
        <v>5.3254517960269698</v>
      </c>
      <c r="F495" s="1">
        <f t="shared" si="104"/>
        <v>1.6217458739747684E-2</v>
      </c>
      <c r="G495" s="1">
        <f t="shared" si="105"/>
        <v>8.6365294772582576E-2</v>
      </c>
      <c r="H495" s="1">
        <f>'01 Traffic inputs'!$B$8/F495</f>
        <v>64.12841966732212</v>
      </c>
      <c r="I495" s="1">
        <f>MATCH(H495,'02 Emission rates'!$A$7:$A$15,1)</f>
        <v>5</v>
      </c>
      <c r="J495" s="1">
        <f>INDEX('02 Emission rates'!$D$7:$D$15,I495)</f>
        <v>15845.527995946721</v>
      </c>
      <c r="K495" s="1">
        <f>INDEX('02 Emission rates'!$E$7:$E$15,I495)</f>
        <v>20.885654518874212</v>
      </c>
      <c r="L495" s="1">
        <f>INDEX('02 Emission rates'!$F$7:$F$15,I495)</f>
        <v>98.655405882152721</v>
      </c>
      <c r="M495" s="1">
        <f>INDEX('02 Emission rates'!$G$7:$G$15,I495)</f>
        <v>4.4998305826136002</v>
      </c>
      <c r="N495" s="1">
        <f t="shared" si="106"/>
        <v>1368.5036961971482</v>
      </c>
      <c r="O495" s="1">
        <f t="shared" si="107"/>
        <v>1.8037957090408927</v>
      </c>
      <c r="P495" s="1">
        <f t="shared" si="108"/>
        <v>8.5204032099208966</v>
      </c>
      <c r="Q495" s="1">
        <f t="shared" si="109"/>
        <v>0.38862919469410556</v>
      </c>
      <c r="R495" s="1">
        <f t="shared" si="110"/>
        <v>4701.4361717142974</v>
      </c>
      <c r="S495" s="1">
        <f t="shared" si="111"/>
        <v>195.61643751572103</v>
      </c>
      <c r="T495" s="1">
        <f t="shared" si="112"/>
        <v>1629080.9666168354</v>
      </c>
      <c r="U495" s="1">
        <f t="shared" si="113"/>
        <v>1319.2687782567602</v>
      </c>
      <c r="V495" s="1">
        <f t="shared" si="114"/>
        <v>13858.678609735096</v>
      </c>
      <c r="W495" s="1">
        <f t="shared" si="115"/>
        <v>601.58876617958765</v>
      </c>
      <c r="X495" s="1"/>
      <c r="Y495" s="1"/>
      <c r="Z495" s="1"/>
      <c r="AA495" s="1"/>
      <c r="AB495" s="1"/>
      <c r="AC495" s="1"/>
      <c r="AD495" s="1"/>
      <c r="AE495" s="1"/>
    </row>
    <row r="496" spans="1:31" ht="22.05" customHeight="1">
      <c r="A496" s="1">
        <f>'01 Traffic inputs'!B446</f>
        <v>0.98220546323229008</v>
      </c>
      <c r="B496" s="1">
        <f>'01 Traffic inputs'!C446</f>
        <v>1.0801716959114621E-3</v>
      </c>
      <c r="C496" s="1">
        <f>IF('01 Traffic inputs'!$B$16&lt;=2/3,(4*A496*(1-A496))^$B$16,1-ABS(2*A496-1)^$B$17)</f>
        <v>1.1902619647486786E-4</v>
      </c>
      <c r="D496" s="1">
        <f>IF('01 Traffic inputs'!$B$16&lt;=2/3,4*$B$16*(1-2*A496)*(4*A496*(1-A496))^($B$16-1),-2*$B$17*SIGN(2*A496-1)*ABS(2*A496-1)^($B$17-1))</f>
        <v>-2.2306564031354975E-2</v>
      </c>
      <c r="E496" s="1">
        <f t="shared" si="103"/>
        <v>5.1717251902053007</v>
      </c>
      <c r="F496" s="1">
        <f t="shared" si="104"/>
        <v>1.6215953899926899E-2</v>
      </c>
      <c r="G496" s="1">
        <f t="shared" si="105"/>
        <v>8.3864457267459822E-2</v>
      </c>
      <c r="H496" s="1">
        <f>'01 Traffic inputs'!$B$8/F496</f>
        <v>64.134370781894532</v>
      </c>
      <c r="I496" s="1">
        <f>MATCH(H496,'02 Emission rates'!$A$7:$A$15,1)</f>
        <v>5</v>
      </c>
      <c r="J496" s="1">
        <f>INDEX('02 Emission rates'!$D$7:$D$15,I496)</f>
        <v>15845.527995946721</v>
      </c>
      <c r="K496" s="1">
        <f>INDEX('02 Emission rates'!$E$7:$E$15,I496)</f>
        <v>20.885654518874212</v>
      </c>
      <c r="L496" s="1">
        <f>INDEX('02 Emission rates'!$F$7:$F$15,I496)</f>
        <v>98.655405882152721</v>
      </c>
      <c r="M496" s="1">
        <f>INDEX('02 Emission rates'!$G$7:$G$15,I496)</f>
        <v>4.4998305826136002</v>
      </c>
      <c r="N496" s="1">
        <f t="shared" si="106"/>
        <v>1328.8766054964119</v>
      </c>
      <c r="O496" s="1">
        <f t="shared" si="107"/>
        <v>1.7515640809010555</v>
      </c>
      <c r="P496" s="1">
        <f t="shared" si="108"/>
        <v>8.2736820708077019</v>
      </c>
      <c r="Q496" s="1">
        <f t="shared" si="109"/>
        <v>0.37737584960640713</v>
      </c>
      <c r="R496" s="1">
        <f t="shared" si="110"/>
        <v>4706.6078969045029</v>
      </c>
      <c r="S496" s="1">
        <f t="shared" si="111"/>
        <v>195.70030197298848</v>
      </c>
      <c r="T496" s="1">
        <f t="shared" si="112"/>
        <v>1630409.843222332</v>
      </c>
      <c r="U496" s="1">
        <f t="shared" si="113"/>
        <v>1321.0203423376613</v>
      </c>
      <c r="V496" s="1">
        <f t="shared" si="114"/>
        <v>13866.952291805903</v>
      </c>
      <c r="W496" s="1">
        <f t="shared" si="115"/>
        <v>601.96614202919409</v>
      </c>
      <c r="X496" s="1"/>
      <c r="Y496" s="1"/>
      <c r="Z496" s="1"/>
      <c r="AA496" s="1"/>
      <c r="AB496" s="1"/>
      <c r="AC496" s="1"/>
      <c r="AD496" s="1"/>
      <c r="AE496" s="1"/>
    </row>
    <row r="497" spans="1:31" ht="22.05" customHeight="1">
      <c r="A497" s="1">
        <f>'01 Traffic inputs'!B447</f>
        <v>0.98326952732463546</v>
      </c>
      <c r="B497" s="1">
        <f>'01 Traffic inputs'!C447</f>
        <v>1.0479446495357228E-3</v>
      </c>
      <c r="C497" s="1">
        <f>IF('01 Traffic inputs'!$B$16&lt;=2/3,(4*A497*(1-A497))^$B$16,1-ABS(2*A497-1)^$B$17)</f>
        <v>9.6892378140733956E-5</v>
      </c>
      <c r="D497" s="1">
        <f>IF('01 Traffic inputs'!$B$16&lt;=2/3,4*$B$16*(1-2*A497)*(4*A497*(1-A497))^($B$16-1),-2*$B$17*SIGN(2*A497-1)*ABS(2*A497-1)^($B$17-1))</f>
        <v>-1.9335048471067498E-2</v>
      </c>
      <c r="E497" s="1">
        <f t="shared" si="103"/>
        <v>5.0176183669738492</v>
      </c>
      <c r="F497" s="1">
        <f t="shared" si="104"/>
        <v>1.6214684752323804E-2</v>
      </c>
      <c r="G497" s="1">
        <f t="shared" si="105"/>
        <v>8.1359100027950743E-2</v>
      </c>
      <c r="H497" s="1">
        <f>'01 Traffic inputs'!$B$8/F497</f>
        <v>64.139390674923433</v>
      </c>
      <c r="I497" s="1">
        <f>MATCH(H497,'02 Emission rates'!$A$7:$A$15,1)</f>
        <v>5</v>
      </c>
      <c r="J497" s="1">
        <f>INDEX('02 Emission rates'!$D$7:$D$15,I497)</f>
        <v>15845.527995946721</v>
      </c>
      <c r="K497" s="1">
        <f>INDEX('02 Emission rates'!$E$7:$E$15,I497)</f>
        <v>20.885654518874212</v>
      </c>
      <c r="L497" s="1">
        <f>INDEX('02 Emission rates'!$F$7:$F$15,I497)</f>
        <v>98.655405882152721</v>
      </c>
      <c r="M497" s="1">
        <f>INDEX('02 Emission rates'!$G$7:$G$15,I497)</f>
        <v>4.4998305826136002</v>
      </c>
      <c r="N497" s="1">
        <f t="shared" si="106"/>
        <v>1289.1778972179231</v>
      </c>
      <c r="O497" s="1">
        <f t="shared" si="107"/>
        <v>1.6992380551503083</v>
      </c>
      <c r="P497" s="1">
        <f t="shared" si="108"/>
        <v>8.0265150354641435</v>
      </c>
      <c r="Q497" s="1">
        <f t="shared" si="109"/>
        <v>0.36610216647969179</v>
      </c>
      <c r="R497" s="1">
        <f t="shared" si="110"/>
        <v>4711.6255152714766</v>
      </c>
      <c r="S497" s="1">
        <f t="shared" si="111"/>
        <v>195.78166107301644</v>
      </c>
      <c r="T497" s="1">
        <f t="shared" si="112"/>
        <v>1631699.0211195499</v>
      </c>
      <c r="U497" s="1">
        <f t="shared" si="113"/>
        <v>1322.7195803928116</v>
      </c>
      <c r="V497" s="1">
        <f t="shared" si="114"/>
        <v>13874.978806841367</v>
      </c>
      <c r="W497" s="1">
        <f t="shared" si="115"/>
        <v>602.33224419567375</v>
      </c>
      <c r="X497" s="1"/>
      <c r="Y497" s="1"/>
      <c r="Z497" s="1"/>
      <c r="AA497" s="1"/>
      <c r="AB497" s="1"/>
      <c r="AC497" s="1"/>
      <c r="AD497" s="1"/>
      <c r="AE497" s="1"/>
    </row>
    <row r="498" spans="1:31" ht="22.05" customHeight="1">
      <c r="A498" s="1">
        <f>'01 Traffic inputs'!B448</f>
        <v>0.98430132921168134</v>
      </c>
      <c r="B498" s="1">
        <f>'01 Traffic inputs'!C448</f>
        <v>1.0156476442760352E-3</v>
      </c>
      <c r="C498" s="1">
        <f>IF('01 Traffic inputs'!$B$16&lt;=2/3,(4*A498*(1-A498))^$B$16,1-ABS(2*A498-1)^$B$17)</f>
        <v>7.8332580599169539E-5</v>
      </c>
      <c r="D498" s="1">
        <f>IF('01 Traffic inputs'!$B$16&lt;=2/3,4*$B$16*(1-2*A498)*(4*A498*(1-A498))^($B$16-1),-2*$B$17*SIGN(2*A498-1)*ABS(2*A498-1)^($B$17-1))</f>
        <v>-1.6676855696994234E-2</v>
      </c>
      <c r="E498" s="1">
        <f t="shared" si="103"/>
        <v>4.863145102643343</v>
      </c>
      <c r="F498" s="1">
        <f t="shared" si="104"/>
        <v>1.6213620538178364E-2</v>
      </c>
      <c r="G498" s="1">
        <f t="shared" si="105"/>
        <v>7.8849189316359633E-2</v>
      </c>
      <c r="H498" s="1">
        <f>'01 Traffic inputs'!$B$8/F498</f>
        <v>64.143600595013481</v>
      </c>
      <c r="I498" s="1">
        <f>MATCH(H498,'02 Emission rates'!$A$7:$A$15,1)</f>
        <v>6</v>
      </c>
      <c r="J498" s="1">
        <f>INDEX('02 Emission rates'!$D$7:$D$15,I498)</f>
        <v>20615.635195313702</v>
      </c>
      <c r="K498" s="1">
        <f>INDEX('02 Emission rates'!$E$7:$E$15,I498)</f>
        <v>30.344373182827162</v>
      </c>
      <c r="L498" s="1">
        <f>INDEX('02 Emission rates'!$F$7:$F$15,I498)</f>
        <v>135.13776314017983</v>
      </c>
      <c r="M498" s="1">
        <f>INDEX('02 Emission rates'!$G$7:$G$15,I498)</f>
        <v>5.4702300406244557</v>
      </c>
      <c r="N498" s="1">
        <f t="shared" si="106"/>
        <v>1625.5261223922969</v>
      </c>
      <c r="O498" s="1">
        <f t="shared" si="107"/>
        <v>2.3926292257790052</v>
      </c>
      <c r="P498" s="1">
        <f t="shared" si="108"/>
        <v>10.655503069629406</v>
      </c>
      <c r="Q498" s="1">
        <f t="shared" si="109"/>
        <v>0.43132320407723534</v>
      </c>
      <c r="R498" s="1">
        <f t="shared" si="110"/>
        <v>4716.4886603741197</v>
      </c>
      <c r="S498" s="1">
        <f t="shared" si="111"/>
        <v>195.86051026233281</v>
      </c>
      <c r="T498" s="1">
        <f t="shared" si="112"/>
        <v>1633324.5472419423</v>
      </c>
      <c r="U498" s="1">
        <f t="shared" si="113"/>
        <v>1325.1122096185907</v>
      </c>
      <c r="V498" s="1">
        <f t="shared" si="114"/>
        <v>13885.634309910996</v>
      </c>
      <c r="W498" s="1">
        <f t="shared" si="115"/>
        <v>602.76356739975097</v>
      </c>
      <c r="X498" s="1"/>
      <c r="Y498" s="1"/>
      <c r="Z498" s="1"/>
      <c r="AA498" s="1"/>
      <c r="AB498" s="1"/>
      <c r="AC498" s="1"/>
      <c r="AD498" s="1"/>
      <c r="AE498" s="1"/>
    </row>
    <row r="499" spans="1:31" ht="22.05" customHeight="1">
      <c r="A499" s="1">
        <f>'01 Traffic inputs'!B449</f>
        <v>0.98530080001220754</v>
      </c>
      <c r="B499" s="1">
        <f>'01 Traffic inputs'!C449</f>
        <v>9.8328283622693582E-4</v>
      </c>
      <c r="C499" s="1">
        <f>IF('01 Traffic inputs'!$B$16&lt;=2/3,(4*A499*(1-A499))^$B$16,1-ABS(2*A499-1)^$B$17)</f>
        <v>6.2864789478875611E-5</v>
      </c>
      <c r="D499" s="1">
        <f>IF('01 Traffic inputs'!$B$16&lt;=2/3,4*$B$16*(1-2*A499)*(4*A499*(1-A499))^($B$16-1),-2*$B$17*SIGN(2*A499-1)*ABS(2*A499-1)^($B$17-1))</f>
        <v>-1.4308791914680263E-2</v>
      </c>
      <c r="E499" s="1">
        <f t="shared" si="103"/>
        <v>4.708318968170917</v>
      </c>
      <c r="F499" s="1">
        <f t="shared" si="104"/>
        <v>1.6212733618907179E-2</v>
      </c>
      <c r="G499" s="1">
        <f t="shared" si="105"/>
        <v>7.6334721223802984E-2</v>
      </c>
      <c r="H499" s="1">
        <f>'01 Traffic inputs'!$B$8/F499</f>
        <v>64.14710957732504</v>
      </c>
      <c r="I499" s="1">
        <f>MATCH(H499,'02 Emission rates'!$A$7:$A$15,1)</f>
        <v>6</v>
      </c>
      <c r="J499" s="1">
        <f>INDEX('02 Emission rates'!$D$7:$D$15,I499)</f>
        <v>20615.635195313702</v>
      </c>
      <c r="K499" s="1">
        <f>INDEX('02 Emission rates'!$E$7:$E$15,I499)</f>
        <v>30.344373182827162</v>
      </c>
      <c r="L499" s="1">
        <f>INDEX('02 Emission rates'!$F$7:$F$15,I499)</f>
        <v>135.13776314017983</v>
      </c>
      <c r="M499" s="1">
        <f>INDEX('02 Emission rates'!$G$7:$G$15,I499)</f>
        <v>5.4702300406244557</v>
      </c>
      <c r="N499" s="1">
        <f t="shared" si="106"/>
        <v>1573.6887654858926</v>
      </c>
      <c r="O499" s="1">
        <f t="shared" si="107"/>
        <v>2.3163292676221547</v>
      </c>
      <c r="P499" s="1">
        <f t="shared" si="108"/>
        <v>10.315703476113946</v>
      </c>
      <c r="Q499" s="1">
        <f t="shared" si="109"/>
        <v>0.41756848518114031</v>
      </c>
      <c r="R499" s="1">
        <f t="shared" si="110"/>
        <v>4721.1969793422904</v>
      </c>
      <c r="S499" s="1">
        <f t="shared" si="111"/>
        <v>195.93684498355663</v>
      </c>
      <c r="T499" s="1">
        <f t="shared" si="112"/>
        <v>1634898.2360074283</v>
      </c>
      <c r="U499" s="1">
        <f t="shared" si="113"/>
        <v>1327.4285388862129</v>
      </c>
      <c r="V499" s="1">
        <f t="shared" si="114"/>
        <v>13895.95001338711</v>
      </c>
      <c r="W499" s="1">
        <f t="shared" si="115"/>
        <v>603.18113588493213</v>
      </c>
      <c r="X499" s="1"/>
      <c r="Y499" s="1"/>
      <c r="Z499" s="1"/>
      <c r="AA499" s="1"/>
      <c r="AB499" s="1"/>
      <c r="AC499" s="1"/>
      <c r="AD499" s="1"/>
      <c r="AE499" s="1"/>
    </row>
    <row r="500" spans="1:31" ht="22.05" customHeight="1">
      <c r="A500" s="1">
        <f>'01 Traffic inputs'!B450</f>
        <v>0.98626787300336283</v>
      </c>
      <c r="B500" s="1">
        <f>'01 Traffic inputs'!C450</f>
        <v>9.508523860076131E-4</v>
      </c>
      <c r="C500" s="1">
        <f>IF('01 Traffic inputs'!$B$16&lt;=2/3,(4*A500*(1-A500))^$B$16,1-ABS(2*A500-1)^$B$17)</f>
        <v>5.0057746997719437E-5</v>
      </c>
      <c r="D500" s="1">
        <f>IF('01 Traffic inputs'!$B$16&lt;=2/3,4*$B$16*(1-2*A500)*(4*A500*(1-A500))^($B$16-1),-2*$B$17*SIGN(2*A500-1)*ABS(2*A500-1)^($B$17-1))</f>
        <v>-1.2208469088002808E-2</v>
      </c>
      <c r="E500" s="1">
        <f t="shared" si="103"/>
        <v>4.5531533323970628</v>
      </c>
      <c r="F500" s="1">
        <f t="shared" si="104"/>
        <v>1.6211999266296961E-2</v>
      </c>
      <c r="G500" s="1">
        <f t="shared" si="105"/>
        <v>7.3815718484158743E-2</v>
      </c>
      <c r="H500" s="1">
        <f>'01 Traffic inputs'!$B$8/F500</f>
        <v>64.150015239765708</v>
      </c>
      <c r="I500" s="1">
        <f>MATCH(H500,'02 Emission rates'!$A$7:$A$15,1)</f>
        <v>6</v>
      </c>
      <c r="J500" s="1">
        <f>INDEX('02 Emission rates'!$D$7:$D$15,I500)</f>
        <v>20615.635195313702</v>
      </c>
      <c r="K500" s="1">
        <f>INDEX('02 Emission rates'!$E$7:$E$15,I500)</f>
        <v>30.344373182827162</v>
      </c>
      <c r="L500" s="1">
        <f>INDEX('02 Emission rates'!$F$7:$F$15,I500)</f>
        <v>135.13776314017983</v>
      </c>
      <c r="M500" s="1">
        <f>INDEX('02 Emission rates'!$G$7:$G$15,I500)</f>
        <v>5.4702300406244557</v>
      </c>
      <c r="N500" s="1">
        <f t="shared" si="106"/>
        <v>1521.7579239493912</v>
      </c>
      <c r="O500" s="1">
        <f t="shared" si="107"/>
        <v>2.2398917084418257</v>
      </c>
      <c r="P500" s="1">
        <f t="shared" si="108"/>
        <v>9.9752910805344381</v>
      </c>
      <c r="Q500" s="1">
        <f t="shared" si="109"/>
        <v>0.40378896072232306</v>
      </c>
      <c r="R500" s="1">
        <f t="shared" si="110"/>
        <v>4725.7501326746878</v>
      </c>
      <c r="S500" s="1">
        <f t="shared" si="111"/>
        <v>196.01066070204078</v>
      </c>
      <c r="T500" s="1">
        <f t="shared" si="112"/>
        <v>1636419.9939313775</v>
      </c>
      <c r="U500" s="1">
        <f t="shared" si="113"/>
        <v>1329.6684305946546</v>
      </c>
      <c r="V500" s="1">
        <f t="shared" si="114"/>
        <v>13905.925304467644</v>
      </c>
      <c r="W500" s="1">
        <f t="shared" si="115"/>
        <v>603.58492484565443</v>
      </c>
      <c r="X500" s="1"/>
      <c r="Y500" s="1"/>
      <c r="Z500" s="1"/>
      <c r="AA500" s="1"/>
      <c r="AB500" s="1"/>
      <c r="AC500" s="1"/>
      <c r="AD500" s="1"/>
      <c r="AE500" s="1"/>
    </row>
    <row r="501" spans="1:31" ht="22.05" customHeight="1">
      <c r="A501" s="1">
        <f>'01 Traffic inputs'!B451</f>
        <v>0.98720248362511986</v>
      </c>
      <c r="B501" s="1">
        <f>'01 Traffic inputs'!C451</f>
        <v>9.1835845862212268E-4</v>
      </c>
      <c r="C501" s="1">
        <f>IF('01 Traffic inputs'!$B$16&lt;=2/3,(4*A501*(1-A501))^$B$16,1-ABS(2*A501-1)^$B$17)</f>
        <v>3.9527363469522983E-5</v>
      </c>
      <c r="D501" s="1">
        <f>IF('01 Traffic inputs'!$B$16&lt;=2/3,4*$B$16*(1-2*A501)*(4*A501*(1-A501))^($B$16-1),-2*$B$17*SIGN(2*A501-1)*ABS(2*A501-1)^($B$17-1))</f>
        <v>-1.0354340365384296E-2</v>
      </c>
      <c r="E501" s="1">
        <f t="shared" si="103"/>
        <v>4.3976613661247486</v>
      </c>
      <c r="F501" s="1">
        <f t="shared" si="104"/>
        <v>1.6211395456741252E-2</v>
      </c>
      <c r="G501" s="1">
        <f t="shared" si="105"/>
        <v>7.1292227491081273E-2</v>
      </c>
      <c r="H501" s="1">
        <f>'01 Traffic inputs'!$B$8/F501</f>
        <v>64.152404570918847</v>
      </c>
      <c r="I501" s="1">
        <f>MATCH(H501,'02 Emission rates'!$A$7:$A$15,1)</f>
        <v>6</v>
      </c>
      <c r="J501" s="1">
        <f>INDEX('02 Emission rates'!$D$7:$D$15,I501)</f>
        <v>20615.635195313702</v>
      </c>
      <c r="K501" s="1">
        <f>INDEX('02 Emission rates'!$E$7:$E$15,I501)</f>
        <v>30.344373182827162</v>
      </c>
      <c r="L501" s="1">
        <f>INDEX('02 Emission rates'!$F$7:$F$15,I501)</f>
        <v>135.13776314017983</v>
      </c>
      <c r="M501" s="1">
        <f>INDEX('02 Emission rates'!$G$7:$G$15,I501)</f>
        <v>5.4702300406244557</v>
      </c>
      <c r="N501" s="1">
        <f t="shared" si="106"/>
        <v>1469.7345542174462</v>
      </c>
      <c r="O501" s="1">
        <f t="shared" si="107"/>
        <v>2.1633179560243798</v>
      </c>
      <c r="P501" s="1">
        <f t="shared" si="108"/>
        <v>9.6342721524255577</v>
      </c>
      <c r="Q501" s="1">
        <f t="shared" si="109"/>
        <v>0.38998488448474544</v>
      </c>
      <c r="R501" s="1">
        <f t="shared" si="110"/>
        <v>4730.1477940408122</v>
      </c>
      <c r="S501" s="1">
        <f t="shared" si="111"/>
        <v>196.08195292953187</v>
      </c>
      <c r="T501" s="1">
        <f t="shared" si="112"/>
        <v>1637889.728485595</v>
      </c>
      <c r="U501" s="1">
        <f t="shared" si="113"/>
        <v>1331.8317485506791</v>
      </c>
      <c r="V501" s="1">
        <f t="shared" si="114"/>
        <v>13915.559576620069</v>
      </c>
      <c r="W501" s="1">
        <f t="shared" si="115"/>
        <v>603.97490973013919</v>
      </c>
      <c r="X501" s="1"/>
      <c r="Y501" s="1"/>
      <c r="Z501" s="1"/>
      <c r="AA501" s="1"/>
      <c r="AB501" s="1"/>
      <c r="AC501" s="1"/>
      <c r="AD501" s="1"/>
      <c r="AE501" s="1"/>
    </row>
    <row r="502" spans="1:31" ht="22.05" customHeight="1">
      <c r="A502" s="1">
        <f>'01 Traffic inputs'!B452</f>
        <v>0.98810456948458625</v>
      </c>
      <c r="B502" s="1">
        <f>'01 Traffic inputs'!C452</f>
        <v>8.8580322331196517E-4</v>
      </c>
      <c r="C502" s="1">
        <f>IF('01 Traffic inputs'!$B$16&lt;=2/3,(4*A502*(1-A502))^$B$16,1-ABS(2*A502-1)^$B$17)</f>
        <v>3.0933211899929044E-5</v>
      </c>
      <c r="D502" s="1">
        <f>IF('01 Traffic inputs'!$B$16&lt;=2/3,4*$B$16*(1-2*A502)*(4*A502*(1-A502))^($B$16-1),-2*$B$17*SIGN(2*A502-1)*ABS(2*A502-1)^($B$17-1))</f>
        <v>-8.7257315399089617E-3</v>
      </c>
      <c r="E502" s="1">
        <f t="shared" si="103"/>
        <v>4.2418560469123356</v>
      </c>
      <c r="F502" s="1">
        <f t="shared" si="104"/>
        <v>1.6210902670241403E-2</v>
      </c>
      <c r="G502" s="1">
        <f t="shared" si="105"/>
        <v>6.8764315517670829E-2</v>
      </c>
      <c r="H502" s="1">
        <f>'01 Traffic inputs'!$B$8/F502</f>
        <v>64.154354705315953</v>
      </c>
      <c r="I502" s="1">
        <f>MATCH(H502,'02 Emission rates'!$A$7:$A$15,1)</f>
        <v>6</v>
      </c>
      <c r="J502" s="1">
        <f>INDEX('02 Emission rates'!$D$7:$D$15,I502)</f>
        <v>20615.635195313702</v>
      </c>
      <c r="K502" s="1">
        <f>INDEX('02 Emission rates'!$E$7:$E$15,I502)</f>
        <v>30.344373182827162</v>
      </c>
      <c r="L502" s="1">
        <f>INDEX('02 Emission rates'!$F$7:$F$15,I502)</f>
        <v>135.13776314017983</v>
      </c>
      <c r="M502" s="1">
        <f>INDEX('02 Emission rates'!$G$7:$G$15,I502)</f>
        <v>5.4702300406244557</v>
      </c>
      <c r="N502" s="1">
        <f t="shared" si="106"/>
        <v>1417.620043167751</v>
      </c>
      <c r="O502" s="1">
        <f t="shared" si="107"/>
        <v>2.0866100517298762</v>
      </c>
      <c r="P502" s="1">
        <f t="shared" si="108"/>
        <v>9.2926557829235925</v>
      </c>
      <c r="Q502" s="1">
        <f t="shared" si="109"/>
        <v>0.3761566244677414</v>
      </c>
      <c r="R502" s="1">
        <f t="shared" si="110"/>
        <v>4734.3896500877245</v>
      </c>
      <c r="S502" s="1">
        <f t="shared" si="111"/>
        <v>196.15071724504955</v>
      </c>
      <c r="T502" s="1">
        <f t="shared" si="112"/>
        <v>1639307.3485287628</v>
      </c>
      <c r="U502" s="1">
        <f t="shared" si="113"/>
        <v>1333.9183586024089</v>
      </c>
      <c r="V502" s="1">
        <f t="shared" si="114"/>
        <v>13924.852232402993</v>
      </c>
      <c r="W502" s="1">
        <f t="shared" si="115"/>
        <v>604.35106635460693</v>
      </c>
      <c r="X502" s="1"/>
      <c r="Y502" s="1"/>
      <c r="Z502" s="1"/>
      <c r="AA502" s="1"/>
      <c r="AB502" s="1"/>
      <c r="AC502" s="1"/>
      <c r="AD502" s="1"/>
      <c r="AE502" s="1"/>
    </row>
    <row r="503" spans="1:31" ht="22.05" customHeight="1">
      <c r="A503" s="1">
        <f>'01 Traffic inputs'!B453</f>
        <v>0.9889740703601706</v>
      </c>
      <c r="B503" s="1">
        <f>'01 Traffic inputs'!C453</f>
        <v>8.531888534144338E-4</v>
      </c>
      <c r="C503" s="1">
        <f>IF('01 Traffic inputs'!$B$16&lt;=2/3,(4*A503*(1-A503))^$B$16,1-ABS(2*A503-1)^$B$17)</f>
        <v>2.397511739835905E-5</v>
      </c>
      <c r="D503" s="1">
        <f>IF('01 Traffic inputs'!$B$16&lt;=2/3,4*$B$16*(1-2*A503)*(4*A503*(1-A503))^($B$16-1),-2*$B$17*SIGN(2*A503-1)*ABS(2*A503-1)^($B$17-1))</f>
        <v>-7.3028684837942344E-3</v>
      </c>
      <c r="E503" s="1">
        <f t="shared" si="103"/>
        <v>4.0857501645909355</v>
      </c>
      <c r="F503" s="1">
        <f t="shared" si="104"/>
        <v>1.6210503694844322E-2</v>
      </c>
      <c r="G503" s="1">
        <f t="shared" si="105"/>
        <v>6.6232068139312164E-2</v>
      </c>
      <c r="H503" s="1">
        <f>'01 Traffic inputs'!$B$8/F503</f>
        <v>64.155933682109321</v>
      </c>
      <c r="I503" s="1">
        <f>MATCH(H503,'02 Emission rates'!$A$7:$A$15,1)</f>
        <v>6</v>
      </c>
      <c r="J503" s="1">
        <f>INDEX('02 Emission rates'!$D$7:$D$15,I503)</f>
        <v>20615.635195313702</v>
      </c>
      <c r="K503" s="1">
        <f>INDEX('02 Emission rates'!$E$7:$E$15,I503)</f>
        <v>30.344373182827162</v>
      </c>
      <c r="L503" s="1">
        <f>INDEX('02 Emission rates'!$F$7:$F$15,I503)</f>
        <v>135.13776314017983</v>
      </c>
      <c r="M503" s="1">
        <f>INDEX('02 Emission rates'!$G$7:$G$15,I503)</f>
        <v>5.4702300406244557</v>
      </c>
      <c r="N503" s="1">
        <f t="shared" si="106"/>
        <v>1365.4161549912192</v>
      </c>
      <c r="O503" s="1">
        <f t="shared" si="107"/>
        <v>2.0097705922897253</v>
      </c>
      <c r="P503" s="1">
        <f t="shared" si="108"/>
        <v>8.9504535364946189</v>
      </c>
      <c r="Q503" s="1">
        <f t="shared" si="109"/>
        <v>0.36230464878835128</v>
      </c>
      <c r="R503" s="1">
        <f t="shared" si="110"/>
        <v>4738.475400252315</v>
      </c>
      <c r="S503" s="1">
        <f t="shared" si="111"/>
        <v>196.21694931318885</v>
      </c>
      <c r="T503" s="1">
        <f t="shared" si="112"/>
        <v>1640672.764683754</v>
      </c>
      <c r="U503" s="1">
        <f t="shared" si="113"/>
        <v>1335.9281291946986</v>
      </c>
      <c r="V503" s="1">
        <f t="shared" si="114"/>
        <v>13933.802685939487</v>
      </c>
      <c r="W503" s="1">
        <f t="shared" si="115"/>
        <v>604.71337100339531</v>
      </c>
      <c r="X503" s="1"/>
      <c r="Y503" s="1"/>
      <c r="Z503" s="1"/>
      <c r="AA503" s="1"/>
      <c r="AB503" s="1"/>
      <c r="AC503" s="1"/>
      <c r="AD503" s="1"/>
      <c r="AE503" s="1"/>
    </row>
    <row r="504" spans="1:31" ht="22.05" customHeight="1">
      <c r="A504" s="1">
        <f>'01 Traffic inputs'!B454</f>
        <v>0.98981092820560512</v>
      </c>
      <c r="B504" s="1">
        <f>'01 Traffic inputs'!C454</f>
        <v>8.2051752621428871E-4</v>
      </c>
      <c r="C504" s="1">
        <f>IF('01 Traffic inputs'!$B$16&lt;=2/3,(4*A504*(1-A504))^$B$16,1-ABS(2*A504-1)^$B$17)</f>
        <v>1.838985224764703E-5</v>
      </c>
      <c r="D504" s="1">
        <f>IF('01 Traffic inputs'!$B$16&lt;=2/3,4*$B$16*(1-2*A504)*(4*A504*(1-A504))^($B$16-1),-2*$B$17*SIGN(2*A504-1)*ABS(2*A504-1)^($B$17-1))</f>
        <v>-6.0669005076935626E-3</v>
      </c>
      <c r="E504" s="1">
        <f t="shared" si="103"/>
        <v>3.9293563273909089</v>
      </c>
      <c r="F504" s="1">
        <f t="shared" si="104"/>
        <v>1.6210183437138596E-2</v>
      </c>
      <c r="G504" s="1">
        <f t="shared" si="105"/>
        <v>6.3695586856887851E-2</v>
      </c>
      <c r="H504" s="1">
        <f>'01 Traffic inputs'!$B$8/F504</f>
        <v>64.157201183628317</v>
      </c>
      <c r="I504" s="1">
        <f>MATCH(H504,'02 Emission rates'!$A$7:$A$15,1)</f>
        <v>6</v>
      </c>
      <c r="J504" s="1">
        <f>INDEX('02 Emission rates'!$D$7:$D$15,I504)</f>
        <v>20615.635195313702</v>
      </c>
      <c r="K504" s="1">
        <f>INDEX('02 Emission rates'!$E$7:$E$15,I504)</f>
        <v>30.344373182827162</v>
      </c>
      <c r="L504" s="1">
        <f>INDEX('02 Emission rates'!$F$7:$F$15,I504)</f>
        <v>135.13776314017983</v>
      </c>
      <c r="M504" s="1">
        <f>INDEX('02 Emission rates'!$G$7:$G$15,I504)</f>
        <v>5.4702300406244557</v>
      </c>
      <c r="N504" s="1">
        <f t="shared" si="106"/>
        <v>1313.124982193018</v>
      </c>
      <c r="O504" s="1">
        <f t="shared" si="107"/>
        <v>1.932802657684586</v>
      </c>
      <c r="P504" s="1">
        <f t="shared" si="108"/>
        <v>8.6076791297408626</v>
      </c>
      <c r="Q504" s="1">
        <f t="shared" si="109"/>
        <v>0.3484295126797522</v>
      </c>
      <c r="R504" s="1">
        <f t="shared" si="110"/>
        <v>4742.4047565797064</v>
      </c>
      <c r="S504" s="1">
        <f t="shared" si="111"/>
        <v>196.28064490004573</v>
      </c>
      <c r="T504" s="1">
        <f t="shared" si="112"/>
        <v>1641985.8896659471</v>
      </c>
      <c r="U504" s="1">
        <f t="shared" si="113"/>
        <v>1337.8609318523831</v>
      </c>
      <c r="V504" s="1">
        <f t="shared" si="114"/>
        <v>13942.410365069227</v>
      </c>
      <c r="W504" s="1">
        <f t="shared" si="115"/>
        <v>605.0618005160751</v>
      </c>
      <c r="X504" s="1"/>
      <c r="Y504" s="1"/>
      <c r="Z504" s="1"/>
      <c r="AA504" s="1"/>
      <c r="AB504" s="1"/>
      <c r="AC504" s="1"/>
      <c r="AD504" s="1"/>
      <c r="AE504" s="1"/>
    </row>
    <row r="505" spans="1:31" ht="22.05" customHeight="1">
      <c r="A505" s="1">
        <f>'01 Traffic inputs'!B455</f>
        <v>0.99061508715382218</v>
      </c>
      <c r="B505" s="1">
        <f>'01 Traffic inputs'!C455</f>
        <v>7.8779142280412508E-4</v>
      </c>
      <c r="C505" s="1">
        <f>IF('01 Traffic inputs'!$B$16&lt;=2/3,(4*A505*(1-A505))^$B$16,1-ABS(2*A505-1)^$B$17)</f>
        <v>1.3947946554510175E-5</v>
      </c>
      <c r="D505" s="1">
        <f>IF('01 Traffic inputs'!$B$16&lt;=2/3,4*$B$16*(1-2*A505)*(4*A505*(1-A505))^($B$16-1),-2*$B$17*SIGN(2*A505-1)*ABS(2*A505-1)^($B$17-1))</f>
        <v>-4.9999196053083922E-3</v>
      </c>
      <c r="E505" s="1">
        <f t="shared" si="103"/>
        <v>3.7726869686934816</v>
      </c>
      <c r="F505" s="1">
        <f t="shared" si="104"/>
        <v>1.6209928739377977E-2</v>
      </c>
      <c r="G505" s="1">
        <f t="shared" si="105"/>
        <v>6.1154986918501249E-2</v>
      </c>
      <c r="H505" s="1">
        <f>'01 Traffic inputs'!$B$8/F505</f>
        <v>64.158209250704473</v>
      </c>
      <c r="I505" s="1">
        <f>MATCH(H505,'02 Emission rates'!$A$7:$A$15,1)</f>
        <v>6</v>
      </c>
      <c r="J505" s="1">
        <f>INDEX('02 Emission rates'!$D$7:$D$15,I505)</f>
        <v>20615.635195313702</v>
      </c>
      <c r="K505" s="1">
        <f>INDEX('02 Emission rates'!$E$7:$E$15,I505)</f>
        <v>30.344373182827162</v>
      </c>
      <c r="L505" s="1">
        <f>INDEX('02 Emission rates'!$F$7:$F$15,I505)</f>
        <v>135.13776314017983</v>
      </c>
      <c r="M505" s="1">
        <f>INDEX('02 Emission rates'!$G$7:$G$15,I505)</f>
        <v>5.4702300406244557</v>
      </c>
      <c r="N505" s="1">
        <f t="shared" si="106"/>
        <v>1260.7489006860035</v>
      </c>
      <c r="O505" s="1">
        <f t="shared" si="107"/>
        <v>1.8557097450459152</v>
      </c>
      <c r="P505" s="1">
        <f t="shared" si="108"/>
        <v>8.2643481370332168</v>
      </c>
      <c r="Q505" s="1">
        <f t="shared" si="109"/>
        <v>0.33453184657558116</v>
      </c>
      <c r="R505" s="1">
        <f t="shared" si="110"/>
        <v>4746.1774435483994</v>
      </c>
      <c r="S505" s="1">
        <f t="shared" si="111"/>
        <v>196.34179988696422</v>
      </c>
      <c r="T505" s="1">
        <f t="shared" si="112"/>
        <v>1643246.638566633</v>
      </c>
      <c r="U505" s="1">
        <f t="shared" si="113"/>
        <v>1339.7166415974291</v>
      </c>
      <c r="V505" s="1">
        <f t="shared" si="114"/>
        <v>13950.674713206259</v>
      </c>
      <c r="W505" s="1">
        <f t="shared" si="115"/>
        <v>605.3963323626507</v>
      </c>
      <c r="X505" s="1"/>
      <c r="Y505" s="1"/>
      <c r="Z505" s="1"/>
      <c r="AA505" s="1"/>
      <c r="AB505" s="1"/>
      <c r="AC505" s="1"/>
      <c r="AD505" s="1"/>
      <c r="AE505" s="1"/>
    </row>
    <row r="506" spans="1:31" ht="22.05" customHeight="1">
      <c r="A506" s="1">
        <f>'01 Traffic inputs'!B456</f>
        <v>0.99138649352068708</v>
      </c>
      <c r="B506" s="1">
        <f>'01 Traffic inputs'!C456</f>
        <v>7.5501272793265773E-4</v>
      </c>
      <c r="C506" s="1">
        <f>IF('01 Traffic inputs'!$B$16&lt;=2/3,(4*A506*(1-A506))^$B$16,1-ABS(2*A506-1)^$B$17)</f>
        <v>1.0450623456076382E-5</v>
      </c>
      <c r="D506" s="1">
        <f>IF('01 Traffic inputs'!$B$16&lt;=2/3,4*$B$16*(1-2*A506)*(4*A506*(1-A506))^($B$16-1),-2*$B$17*SIGN(2*A506-1)*ABS(2*A506-1)^($B$17-1))</f>
        <v>-4.0849755536935765E-3</v>
      </c>
      <c r="E506" s="1">
        <f t="shared" si="103"/>
        <v>3.6157543542486272</v>
      </c>
      <c r="F506" s="1">
        <f t="shared" si="104"/>
        <v>1.6209728203746908E-2</v>
      </c>
      <c r="G506" s="1">
        <f t="shared" si="105"/>
        <v>5.8610395333884659E-2</v>
      </c>
      <c r="H506" s="1">
        <f>'01 Traffic inputs'!$B$8/F506</f>
        <v>64.159002972031487</v>
      </c>
      <c r="I506" s="1">
        <f>MATCH(H506,'02 Emission rates'!$A$7:$A$15,1)</f>
        <v>6</v>
      </c>
      <c r="J506" s="1">
        <f>INDEX('02 Emission rates'!$D$7:$D$15,I506)</f>
        <v>20615.635195313702</v>
      </c>
      <c r="K506" s="1">
        <f>INDEX('02 Emission rates'!$E$7:$E$15,I506)</f>
        <v>30.344373182827162</v>
      </c>
      <c r="L506" s="1">
        <f>INDEX('02 Emission rates'!$F$7:$F$15,I506)</f>
        <v>135.13776314017983</v>
      </c>
      <c r="M506" s="1">
        <f>INDEX('02 Emission rates'!$G$7:$G$15,I506)</f>
        <v>5.4702300406244557</v>
      </c>
      <c r="N506" s="1">
        <f t="shared" si="106"/>
        <v>1208.2905288564825</v>
      </c>
      <c r="O506" s="1">
        <f t="shared" si="107"/>
        <v>1.7784957084044279</v>
      </c>
      <c r="P506" s="1">
        <f t="shared" si="108"/>
        <v>7.920477722182806</v>
      </c>
      <c r="Q506" s="1">
        <f t="shared" si="109"/>
        <v>0.3206123452482913</v>
      </c>
      <c r="R506" s="1">
        <f t="shared" si="110"/>
        <v>4749.793197902648</v>
      </c>
      <c r="S506" s="1">
        <f t="shared" si="111"/>
        <v>196.40041028229811</v>
      </c>
      <c r="T506" s="1">
        <f t="shared" si="112"/>
        <v>1644454.9290954894</v>
      </c>
      <c r="U506" s="1">
        <f t="shared" si="113"/>
        <v>1341.4951373058336</v>
      </c>
      <c r="V506" s="1">
        <f t="shared" si="114"/>
        <v>13958.595190928441</v>
      </c>
      <c r="W506" s="1">
        <f t="shared" si="115"/>
        <v>605.71694470789896</v>
      </c>
      <c r="X506" s="1"/>
      <c r="Y506" s="1"/>
      <c r="Z506" s="1"/>
      <c r="AA506" s="1"/>
      <c r="AB506" s="1"/>
      <c r="AC506" s="1"/>
      <c r="AD506" s="1"/>
      <c r="AE506" s="1"/>
    </row>
    <row r="507" spans="1:31" ht="22.05" customHeight="1">
      <c r="A507" s="1">
        <f>'01 Traffic inputs'!B457</f>
        <v>0.99212509580858566</v>
      </c>
      <c r="B507" s="1">
        <f>'01 Traffic inputs'!C457</f>
        <v>7.2218362986750217E-4</v>
      </c>
      <c r="C507" s="1">
        <f>IF('01 Traffic inputs'!$B$16&lt;=2/3,(4*A507*(1-A507))^$B$16,1-ABS(2*A507-1)^$B$17)</f>
        <v>7.726866884065935E-6</v>
      </c>
      <c r="D507" s="1">
        <f>IF('01 Traffic inputs'!$B$16&lt;=2/3,4*$B$16*(1-2*A507)*(4*A507*(1-A507))^($B$16-1),-2*$B$17*SIGN(2*A507-1)*ABS(2*A507-1)^($B$17-1))</f>
        <v>-3.3060868494302312E-3</v>
      </c>
      <c r="E507" s="1">
        <f t="shared" si="103"/>
        <v>3.4585705899256984</v>
      </c>
      <c r="F507" s="1">
        <f t="shared" si="104"/>
        <v>1.6209572024226838E-2</v>
      </c>
      <c r="G507" s="1">
        <f t="shared" si="105"/>
        <v>5.6061949078273311E-2</v>
      </c>
      <c r="H507" s="1">
        <f>'01 Traffic inputs'!$B$8/F507</f>
        <v>64.159621145187288</v>
      </c>
      <c r="I507" s="1">
        <f>MATCH(H507,'02 Emission rates'!$A$7:$A$15,1)</f>
        <v>6</v>
      </c>
      <c r="J507" s="1">
        <f>INDEX('02 Emission rates'!$D$7:$D$15,I507)</f>
        <v>20615.635195313702</v>
      </c>
      <c r="K507" s="1">
        <f>INDEX('02 Emission rates'!$E$7:$E$15,I507)</f>
        <v>30.344373182827162</v>
      </c>
      <c r="L507" s="1">
        <f>INDEX('02 Emission rates'!$F$7:$F$15,I507)</f>
        <v>135.13776314017983</v>
      </c>
      <c r="M507" s="1">
        <f>INDEX('02 Emission rates'!$G$7:$G$15,I507)</f>
        <v>5.4702300406244557</v>
      </c>
      <c r="N507" s="1">
        <f t="shared" si="106"/>
        <v>1155.7526905359359</v>
      </c>
      <c r="O507" s="1">
        <f t="shared" si="107"/>
        <v>1.7011647041877787</v>
      </c>
      <c r="P507" s="1">
        <f t="shared" si="108"/>
        <v>7.5760863957165219</v>
      </c>
      <c r="Q507" s="1">
        <f t="shared" si="109"/>
        <v>0.30667175798392921</v>
      </c>
      <c r="R507" s="1">
        <f t="shared" si="110"/>
        <v>4753.2517684925733</v>
      </c>
      <c r="S507" s="1">
        <f t="shared" si="111"/>
        <v>196.45647223137638</v>
      </c>
      <c r="T507" s="1">
        <f t="shared" si="112"/>
        <v>1645610.6817860254</v>
      </c>
      <c r="U507" s="1">
        <f t="shared" si="113"/>
        <v>1343.1963020100213</v>
      </c>
      <c r="V507" s="1">
        <f t="shared" si="114"/>
        <v>13966.171277324158</v>
      </c>
      <c r="W507" s="1">
        <f t="shared" si="115"/>
        <v>606.02361646588292</v>
      </c>
      <c r="X507" s="1"/>
      <c r="Y507" s="1"/>
      <c r="Z507" s="1"/>
      <c r="AA507" s="1"/>
      <c r="AB507" s="1"/>
      <c r="AC507" s="1"/>
      <c r="AD507" s="1"/>
      <c r="AE507" s="1"/>
    </row>
    <row r="508" spans="1:31" ht="22.05" customHeight="1">
      <c r="A508" s="1">
        <f>'01 Traffic inputs'!B458</f>
        <v>0.9928308447098666</v>
      </c>
      <c r="B508" s="1">
        <f>'01 Traffic inputs'!C458</f>
        <v>6.8930632024402562E-4</v>
      </c>
      <c r="C508" s="1">
        <f>IF('01 Traffic inputs'!$B$16&lt;=2/3,(4*A508*(1-A508))^$B$16,1-ABS(2*A508-1)^$B$17)</f>
        <v>5.6306288925212049E-6</v>
      </c>
      <c r="D508" s="1">
        <f>IF('01 Traffic inputs'!$B$16&lt;=2/3,4*$B$16*(1-2*A508)*(4*A508*(1-A508))^($B$16-1),-2*$B$17*SIGN(2*A508-1)*ABS(2*A508-1)^($B$17-1))</f>
        <v>-2.6482474704358928E-3</v>
      </c>
      <c r="E508" s="1">
        <f t="shared" si="103"/>
        <v>3.3011476297986269</v>
      </c>
      <c r="F508" s="1">
        <f t="shared" si="104"/>
        <v>1.6209451826465097E-2</v>
      </c>
      <c r="G508" s="1">
        <f t="shared" si="105"/>
        <v>5.3509793477270279E-2</v>
      </c>
      <c r="H508" s="1">
        <f>'01 Traffic inputs'!$B$8/F508</f>
        <v>64.160096907288207</v>
      </c>
      <c r="I508" s="1">
        <f>MATCH(H508,'02 Emission rates'!$A$7:$A$15,1)</f>
        <v>6</v>
      </c>
      <c r="J508" s="1">
        <f>INDEX('02 Emission rates'!$D$7:$D$15,I508)</f>
        <v>20615.635195313702</v>
      </c>
      <c r="K508" s="1">
        <f>INDEX('02 Emission rates'!$E$7:$E$15,I508)</f>
        <v>30.344373182827162</v>
      </c>
      <c r="L508" s="1">
        <f>INDEX('02 Emission rates'!$F$7:$F$15,I508)</f>
        <v>135.13776314017983</v>
      </c>
      <c r="M508" s="1">
        <f>INDEX('02 Emission rates'!$G$7:$G$15,I508)</f>
        <v>5.4702300406244557</v>
      </c>
      <c r="N508" s="1">
        <f t="shared" si="106"/>
        <v>1103.1383817039807</v>
      </c>
      <c r="O508" s="1">
        <f t="shared" si="107"/>
        <v>1.6237211422103</v>
      </c>
      <c r="P508" s="1">
        <f t="shared" si="108"/>
        <v>7.2311937966112909</v>
      </c>
      <c r="Q508" s="1">
        <f t="shared" si="109"/>
        <v>0.29271087974697441</v>
      </c>
      <c r="R508" s="1">
        <f t="shared" si="110"/>
        <v>4756.5529161223722</v>
      </c>
      <c r="S508" s="1">
        <f t="shared" si="111"/>
        <v>196.50998202485366</v>
      </c>
      <c r="T508" s="1">
        <f t="shared" si="112"/>
        <v>1646713.8201677294</v>
      </c>
      <c r="U508" s="1">
        <f t="shared" si="113"/>
        <v>1344.8200231522317</v>
      </c>
      <c r="V508" s="1">
        <f t="shared" si="114"/>
        <v>13973.402471120769</v>
      </c>
      <c r="W508" s="1">
        <f t="shared" si="115"/>
        <v>606.31632734562993</v>
      </c>
      <c r="X508" s="1"/>
      <c r="Y508" s="1"/>
      <c r="Z508" s="1"/>
      <c r="AA508" s="1"/>
      <c r="AB508" s="1"/>
      <c r="AC508" s="1"/>
      <c r="AD508" s="1"/>
      <c r="AE508" s="1"/>
    </row>
    <row r="509" spans="1:31" ht="22.05" customHeight="1">
      <c r="A509" s="1">
        <f>'01 Traffic inputs'!B459</f>
        <v>0.99350369311014075</v>
      </c>
      <c r="B509" s="1">
        <f>'01 Traffic inputs'!C459</f>
        <v>6.5638299392527103E-4</v>
      </c>
      <c r="C509" s="1">
        <f>IF('01 Traffic inputs'!$B$16&lt;=2/3,(4*A509*(1-A509))^$B$16,1-ABS(2*A509-1)^$B$17)</f>
        <v>4.0381825409922317E-6</v>
      </c>
      <c r="D509" s="1">
        <f>IF('01 Traffic inputs'!$B$16&lt;=2/3,4*$B$16*(1-2*A509)*(4*A509*(1-A509))^($B$16-1),-2*$B$17*SIGN(2*A509-1)*ABS(2*A509-1)^($B$17-1))</f>
        <v>-2.0974294625312963E-3</v>
      </c>
      <c r="E509" s="1">
        <f t="shared" si="103"/>
        <v>3.1434972846223501</v>
      </c>
      <c r="F509" s="1">
        <f t="shared" si="104"/>
        <v>1.6209360515989896E-2</v>
      </c>
      <c r="G509" s="1">
        <f t="shared" si="105"/>
        <v>5.0954080767478975E-2</v>
      </c>
      <c r="H509" s="1">
        <f>'01 Traffic inputs'!$B$8/F509</f>
        <v>64.160458333572223</v>
      </c>
      <c r="I509" s="1">
        <f>MATCH(H509,'02 Emission rates'!$A$7:$A$15,1)</f>
        <v>6</v>
      </c>
      <c r="J509" s="1">
        <f>INDEX('02 Emission rates'!$D$7:$D$15,I509)</f>
        <v>20615.635195313702</v>
      </c>
      <c r="K509" s="1">
        <f>INDEX('02 Emission rates'!$E$7:$E$15,I509)</f>
        <v>30.344373182827162</v>
      </c>
      <c r="L509" s="1">
        <f>INDEX('02 Emission rates'!$F$7:$F$15,I509)</f>
        <v>135.13776314017983</v>
      </c>
      <c r="M509" s="1">
        <f>INDEX('02 Emission rates'!$G$7:$G$15,I509)</f>
        <v>5.4702300406244557</v>
      </c>
      <c r="N509" s="1">
        <f t="shared" si="106"/>
        <v>1050.4507408148966</v>
      </c>
      <c r="O509" s="1">
        <f t="shared" si="107"/>
        <v>1.5461696419962982</v>
      </c>
      <c r="P509" s="1">
        <f t="shared" si="108"/>
        <v>6.8858204977811663</v>
      </c>
      <c r="Q509" s="1">
        <f t="shared" si="109"/>
        <v>0.2787305433066683</v>
      </c>
      <c r="R509" s="1">
        <f t="shared" si="110"/>
        <v>4759.6964134069949</v>
      </c>
      <c r="S509" s="1">
        <f t="shared" si="111"/>
        <v>196.56093610562112</v>
      </c>
      <c r="T509" s="1">
        <f t="shared" si="112"/>
        <v>1647764.2709085443</v>
      </c>
      <c r="U509" s="1">
        <f t="shared" si="113"/>
        <v>1346.366192794228</v>
      </c>
      <c r="V509" s="1">
        <f t="shared" si="114"/>
        <v>13980.28829161855</v>
      </c>
      <c r="W509" s="1">
        <f t="shared" si="115"/>
        <v>606.59505788893659</v>
      </c>
      <c r="X509" s="1"/>
      <c r="Y509" s="1"/>
      <c r="Z509" s="1"/>
      <c r="AA509" s="1"/>
      <c r="AB509" s="1"/>
      <c r="AC509" s="1"/>
      <c r="AD509" s="1"/>
      <c r="AE509" s="1"/>
    </row>
    <row r="510" spans="1:31" ht="22.05" customHeight="1">
      <c r="A510" s="1">
        <f>'01 Traffic inputs'!B460</f>
        <v>0.99414359609143488</v>
      </c>
      <c r="B510" s="1">
        <f>'01 Traffic inputs'!C460</f>
        <v>6.2341584885722723E-4</v>
      </c>
      <c r="C510" s="1">
        <f>IF('01 Traffic inputs'!$B$16&lt;=2/3,(4*A510*(1-A510))^$B$16,1-ABS(2*A510-1)^$B$17)</f>
        <v>2.8456252965721083E-6</v>
      </c>
      <c r="D510" s="1">
        <f>IF('01 Traffic inputs'!$B$16&lt;=2/3,4*$B$16*(1-2*A510)*(4*A510*(1-A510))^($B$16-1),-2*$B$17*SIGN(2*A510-1)*ABS(2*A510-1)^($B$17-1))</f>
        <v>-1.6405813589195372E-3</v>
      </c>
      <c r="E510" s="1">
        <f t="shared" si="103"/>
        <v>2.9856312305613004</v>
      </c>
      <c r="F510" s="1">
        <f t="shared" si="104"/>
        <v>1.6209292135056005E-2</v>
      </c>
      <c r="G510" s="1">
        <f t="shared" si="105"/>
        <v>4.8394968823714871E-2</v>
      </c>
      <c r="H510" s="1">
        <f>'01 Traffic inputs'!$B$8/F510</f>
        <v>64.160729002520824</v>
      </c>
      <c r="I510" s="1">
        <f>MATCH(H510,'02 Emission rates'!$A$7:$A$15,1)</f>
        <v>6</v>
      </c>
      <c r="J510" s="1">
        <f>INDEX('02 Emission rates'!$D$7:$D$15,I510)</f>
        <v>20615.635195313702</v>
      </c>
      <c r="K510" s="1">
        <f>INDEX('02 Emission rates'!$E$7:$E$15,I510)</f>
        <v>30.344373182827162</v>
      </c>
      <c r="L510" s="1">
        <f>INDEX('02 Emission rates'!$F$7:$F$15,I510)</f>
        <v>135.13776314017983</v>
      </c>
      <c r="M510" s="1">
        <f>INDEX('02 Emission rates'!$G$7:$G$15,I510)</f>
        <v>5.4702300406244557</v>
      </c>
      <c r="N510" s="1">
        <f t="shared" si="106"/>
        <v>997.69302255828563</v>
      </c>
      <c r="O510" s="1">
        <f t="shared" si="107"/>
        <v>1.4685149941580902</v>
      </c>
      <c r="P510" s="1">
        <f t="shared" si="108"/>
        <v>6.5399878340755677</v>
      </c>
      <c r="Q510" s="1">
        <f t="shared" si="109"/>
        <v>0.26473161227456904</v>
      </c>
      <c r="R510" s="1">
        <f t="shared" si="110"/>
        <v>4762.6820446375559</v>
      </c>
      <c r="S510" s="1">
        <f t="shared" si="111"/>
        <v>196.60933107444484</v>
      </c>
      <c r="T510" s="1">
        <f t="shared" si="112"/>
        <v>1648761.9639311025</v>
      </c>
      <c r="U510" s="1">
        <f t="shared" si="113"/>
        <v>1347.8347077883861</v>
      </c>
      <c r="V510" s="1">
        <f t="shared" si="114"/>
        <v>13986.828279452626</v>
      </c>
      <c r="W510" s="1">
        <f t="shared" si="115"/>
        <v>606.85978950121114</v>
      </c>
      <c r="X510" s="1"/>
      <c r="Y510" s="1"/>
      <c r="Z510" s="1"/>
      <c r="AA510" s="1"/>
      <c r="AB510" s="1"/>
      <c r="AC510" s="1"/>
      <c r="AD510" s="1"/>
      <c r="AE510" s="1"/>
    </row>
    <row r="511" spans="1:31" ht="22.05" customHeight="1">
      <c r="A511" s="1">
        <f>'01 Traffic inputs'!B461</f>
        <v>0.99475051093520439</v>
      </c>
      <c r="B511" s="1">
        <f>'01 Traffic inputs'!C461</f>
        <v>5.9040708592796379E-4</v>
      </c>
      <c r="C511" s="1">
        <f>IF('01 Traffic inputs'!$B$16&lt;=2/3,(4*A511*(1-A511))^$B$16,1-ABS(2*A511-1)^$B$17)</f>
        <v>1.9665368787992564E-6</v>
      </c>
      <c r="D511" s="1">
        <f>IF('01 Traffic inputs'!$B$16&lt;=2/3,4*$B$16*(1-2*A511)*(4*A511*(1-A511))^($B$16-1),-2*$B$17*SIGN(2*A511-1)*ABS(2*A511-1)^($B$17-1))</f>
        <v>-1.2656224493581259E-3</v>
      </c>
      <c r="E511" s="1">
        <f t="shared" si="103"/>
        <v>2.8275610181463553</v>
      </c>
      <c r="F511" s="1">
        <f t="shared" si="104"/>
        <v>1.6209241728346167E-2</v>
      </c>
      <c r="G511" s="1">
        <f t="shared" si="105"/>
        <v>4.5832620044782876E-2</v>
      </c>
      <c r="H511" s="1">
        <f>'01 Traffic inputs'!$B$8/F511</f>
        <v>64.160928526428478</v>
      </c>
      <c r="I511" s="1">
        <f>MATCH(H511,'02 Emission rates'!$A$7:$A$15,1)</f>
        <v>6</v>
      </c>
      <c r="J511" s="1">
        <f>INDEX('02 Emission rates'!$D$7:$D$15,I511)</f>
        <v>20615.635195313702</v>
      </c>
      <c r="K511" s="1">
        <f>INDEX('02 Emission rates'!$E$7:$E$15,I511)</f>
        <v>30.344373182827162</v>
      </c>
      <c r="L511" s="1">
        <f>INDEX('02 Emission rates'!$F$7:$F$15,I511)</f>
        <v>135.13776314017983</v>
      </c>
      <c r="M511" s="1">
        <f>INDEX('02 Emission rates'!$G$7:$G$15,I511)</f>
        <v>5.4702300406244557</v>
      </c>
      <c r="N511" s="1">
        <f t="shared" si="106"/>
        <v>944.8685748886661</v>
      </c>
      <c r="O511" s="1">
        <f t="shared" si="107"/>
        <v>1.3907621265856163</v>
      </c>
      <c r="P511" s="1">
        <f t="shared" si="108"/>
        <v>6.1937177517057265</v>
      </c>
      <c r="Q511" s="1">
        <f t="shared" si="109"/>
        <v>0.25071497500949785</v>
      </c>
      <c r="R511" s="1">
        <f t="shared" si="110"/>
        <v>4765.5096056557022</v>
      </c>
      <c r="S511" s="1">
        <f t="shared" si="111"/>
        <v>196.65516369448963</v>
      </c>
      <c r="T511" s="1">
        <f t="shared" si="112"/>
        <v>1649706.8325059912</v>
      </c>
      <c r="U511" s="1">
        <f t="shared" si="113"/>
        <v>1349.2254699149717</v>
      </c>
      <c r="V511" s="1">
        <f t="shared" si="114"/>
        <v>13993.021997204332</v>
      </c>
      <c r="W511" s="1">
        <f t="shared" si="115"/>
        <v>607.11050447622063</v>
      </c>
      <c r="X511" s="1"/>
      <c r="Y511" s="1"/>
      <c r="Z511" s="1"/>
      <c r="AA511" s="1"/>
      <c r="AB511" s="1"/>
      <c r="AC511" s="1"/>
      <c r="AD511" s="1"/>
      <c r="AE511" s="1"/>
    </row>
    <row r="512" spans="1:31" ht="22.05" customHeight="1">
      <c r="A512" s="1">
        <f>'01 Traffic inputs'!B462</f>
        <v>0.99532439712520304</v>
      </c>
      <c r="B512" s="1">
        <f>'01 Traffic inputs'!C462</f>
        <v>5.5735890882341473E-4</v>
      </c>
      <c r="C512" s="1">
        <f>IF('01 Traffic inputs'!$B$16&lt;=2/3,(4*A512*(1-A512))^$B$16,1-ABS(2*A512-1)^$B$17)</f>
        <v>1.3297944249565647E-6</v>
      </c>
      <c r="D512" s="1">
        <f>IF('01 Traffic inputs'!$B$16&lt;=2/3,4*$B$16*(1-2*A512)*(4*A512*(1-A512))^($B$16-1),-2*$B$17*SIGN(2*A512-1)*ABS(2*A512-1)^($B$17-1))</f>
        <v>-9.6143292394013937E-4</v>
      </c>
      <c r="E512" s="1">
        <f t="shared" si="103"/>
        <v>2.6692980813609433</v>
      </c>
      <c r="F512" s="1">
        <f t="shared" si="104"/>
        <v>1.6209205217693243E-2</v>
      </c>
      <c r="G512" s="1">
        <f t="shared" si="105"/>
        <v>4.3267200387974367E-2</v>
      </c>
      <c r="H512" s="1">
        <f>'01 Traffic inputs'!$B$8/F512</f>
        <v>64.161073046616934</v>
      </c>
      <c r="I512" s="1">
        <f>MATCH(H512,'02 Emission rates'!$A$7:$A$15,1)</f>
        <v>6</v>
      </c>
      <c r="J512" s="1">
        <f>INDEX('02 Emission rates'!$D$7:$D$15,I512)</f>
        <v>20615.635195313702</v>
      </c>
      <c r="K512" s="1">
        <f>INDEX('02 Emission rates'!$E$7:$E$15,I512)</f>
        <v>30.344373182827162</v>
      </c>
      <c r="L512" s="1">
        <f>INDEX('02 Emission rates'!$F$7:$F$15,I512)</f>
        <v>135.13776314017983</v>
      </c>
      <c r="M512" s="1">
        <f>INDEX('02 Emission rates'!$G$7:$G$15,I512)</f>
        <v>5.4702300406244557</v>
      </c>
      <c r="N512" s="1">
        <f t="shared" si="106"/>
        <v>891.98081912101497</v>
      </c>
      <c r="O512" s="1">
        <f t="shared" si="107"/>
        <v>1.3129160751488584</v>
      </c>
      <c r="P512" s="1">
        <f t="shared" si="108"/>
        <v>5.8470326777687767</v>
      </c>
      <c r="Q512" s="1">
        <f t="shared" si="109"/>
        <v>0.23668153933601549</v>
      </c>
      <c r="R512" s="1">
        <f t="shared" si="110"/>
        <v>4768.1789037370636</v>
      </c>
      <c r="S512" s="1">
        <f t="shared" si="111"/>
        <v>196.69843089487762</v>
      </c>
      <c r="T512" s="1">
        <f t="shared" si="112"/>
        <v>1650598.8133251122</v>
      </c>
      <c r="U512" s="1">
        <f t="shared" si="113"/>
        <v>1350.5383859901206</v>
      </c>
      <c r="V512" s="1">
        <f t="shared" si="114"/>
        <v>13998.869029882102</v>
      </c>
      <c r="W512" s="1">
        <f t="shared" si="115"/>
        <v>607.34718601555664</v>
      </c>
      <c r="X512" s="1"/>
      <c r="Y512" s="1"/>
      <c r="Z512" s="1"/>
      <c r="AA512" s="1"/>
      <c r="AB512" s="1"/>
      <c r="AC512" s="1"/>
      <c r="AD512" s="1"/>
      <c r="AE512" s="1"/>
    </row>
    <row r="513" spans="1:31" ht="22.05" customHeight="1">
      <c r="A513" s="1">
        <f>'01 Traffic inputs'!B463</f>
        <v>0.99586521635021596</v>
      </c>
      <c r="B513" s="1">
        <f>'01 Traffic inputs'!C463</f>
        <v>5.2427352389644024E-4</v>
      </c>
      <c r="C513" s="1">
        <f>IF('01 Traffic inputs'!$B$16&lt;=2/3,(4*A513*(1-A513))^$B$16,1-ABS(2*A513-1)^$B$17)</f>
        <v>8.7754680323135902E-7</v>
      </c>
      <c r="D513" s="1">
        <f>IF('01 Traffic inputs'!$B$16&lt;=2/3,4*$B$16*(1-2*A513)*(4*A513*(1-A513))^($B$16-1),-2*$B$17*SIGN(2*A513-1)*ABS(2*A513-1)^($B$17-1))</f>
        <v>-7.1783992390579677E-4</v>
      </c>
      <c r="E513" s="1">
        <f t="shared" si="103"/>
        <v>2.5108537468711116</v>
      </c>
      <c r="F513" s="1">
        <f t="shared" si="104"/>
        <v>1.6209179285927813E-2</v>
      </c>
      <c r="G513" s="1">
        <f t="shared" si="105"/>
        <v>4.0698878543777461E-2</v>
      </c>
      <c r="H513" s="1">
        <f>'01 Traffic inputs'!$B$8/F513</f>
        <v>64.161175692769874</v>
      </c>
      <c r="I513" s="1">
        <f>MATCH(H513,'02 Emission rates'!$A$7:$A$15,1)</f>
        <v>6</v>
      </c>
      <c r="J513" s="1">
        <f>INDEX('02 Emission rates'!$D$7:$D$15,I513)</f>
        <v>20615.635195313702</v>
      </c>
      <c r="K513" s="1">
        <f>INDEX('02 Emission rates'!$E$7:$E$15,I513)</f>
        <v>30.344373182827162</v>
      </c>
      <c r="L513" s="1">
        <f>INDEX('02 Emission rates'!$F$7:$F$15,I513)</f>
        <v>135.13776314017983</v>
      </c>
      <c r="M513" s="1">
        <f>INDEX('02 Emission rates'!$G$7:$G$15,I513)</f>
        <v>5.4702300406244557</v>
      </c>
      <c r="N513" s="1">
        <f t="shared" si="106"/>
        <v>839.03323291689628</v>
      </c>
      <c r="O513" s="1">
        <f t="shared" si="107"/>
        <v>1.2349819586549406</v>
      </c>
      <c r="P513" s="1">
        <f t="shared" si="108"/>
        <v>5.4999554087199458</v>
      </c>
      <c r="Q513" s="1">
        <f t="shared" si="109"/>
        <v>0.22263222802989757</v>
      </c>
      <c r="R513" s="1">
        <f t="shared" si="110"/>
        <v>4770.689757483935</v>
      </c>
      <c r="S513" s="1">
        <f t="shared" si="111"/>
        <v>196.73912977342138</v>
      </c>
      <c r="T513" s="1">
        <f t="shared" si="112"/>
        <v>1651437.8465580291</v>
      </c>
      <c r="U513" s="1">
        <f t="shared" si="113"/>
        <v>1351.7733679487756</v>
      </c>
      <c r="V513" s="1">
        <f t="shared" si="114"/>
        <v>14004.368985290823</v>
      </c>
      <c r="W513" s="1">
        <f t="shared" si="115"/>
        <v>607.5698182435865</v>
      </c>
      <c r="X513" s="1"/>
      <c r="Y513" s="1"/>
      <c r="Z513" s="1"/>
      <c r="AA513" s="1"/>
      <c r="AB513" s="1"/>
      <c r="AC513" s="1"/>
      <c r="AD513" s="1"/>
      <c r="AE513" s="1"/>
    </row>
    <row r="514" spans="1:31" ht="22.05" customHeight="1">
      <c r="A514" s="1">
        <f>'01 Traffic inputs'!B464</f>
        <v>0.9963729325066577</v>
      </c>
      <c r="B514" s="1">
        <f>'01 Traffic inputs'!C464</f>
        <v>4.911531400330942E-4</v>
      </c>
      <c r="C514" s="1">
        <f>IF('01 Traffic inputs'!$B$16&lt;=2/3,(4*A514*(1-A514))^$B$16,1-ABS(2*A514-1)^$B$17)</f>
        <v>5.6334885111614509E-7</v>
      </c>
      <c r="D514" s="1">
        <f>IF('01 Traffic inputs'!$B$16&lt;=2/3,4*$B$16*(1-2*A514)*(4*A514*(1-A514))^($B$16-1),-2*$B$17*SIGN(2*A514-1)*ABS(2*A514-1)^($B$17-1))</f>
        <v>-5.2559953865259656E-4</v>
      </c>
      <c r="E514" s="1">
        <f t="shared" si="103"/>
        <v>2.352239243257833</v>
      </c>
      <c r="F514" s="1">
        <f t="shared" si="104"/>
        <v>1.6209161269895883E-2</v>
      </c>
      <c r="G514" s="1">
        <f t="shared" si="105"/>
        <v>3.8127825239344069E-2</v>
      </c>
      <c r="H514" s="1">
        <f>'01 Traffic inputs'!$B$8/F514</f>
        <v>64.161247006132157</v>
      </c>
      <c r="I514" s="1">
        <f>MATCH(H514,'02 Emission rates'!$A$7:$A$15,1)</f>
        <v>6</v>
      </c>
      <c r="J514" s="1">
        <f>INDEX('02 Emission rates'!$D$7:$D$15,I514)</f>
        <v>20615.635195313702</v>
      </c>
      <c r="K514" s="1">
        <f>INDEX('02 Emission rates'!$E$7:$E$15,I514)</f>
        <v>30.344373182827162</v>
      </c>
      <c r="L514" s="1">
        <f>INDEX('02 Emission rates'!$F$7:$F$15,I514)</f>
        <v>135.13776314017983</v>
      </c>
      <c r="M514" s="1">
        <f>INDEX('02 Emission rates'!$G$7:$G$15,I514)</f>
        <v>5.4702300406244557</v>
      </c>
      <c r="N514" s="1">
        <f t="shared" si="106"/>
        <v>786.02933592499164</v>
      </c>
      <c r="O514" s="1">
        <f t="shared" si="107"/>
        <v>1.1569649577122729</v>
      </c>
      <c r="P514" s="1">
        <f t="shared" si="108"/>
        <v>5.1525090162446494</v>
      </c>
      <c r="Q514" s="1">
        <f t="shared" si="109"/>
        <v>0.20856797500793925</v>
      </c>
      <c r="R514" s="1">
        <f t="shared" si="110"/>
        <v>4773.0419967271928</v>
      </c>
      <c r="S514" s="1">
        <f t="shared" si="111"/>
        <v>196.77725759866073</v>
      </c>
      <c r="T514" s="1">
        <f t="shared" si="112"/>
        <v>1652223.875893954</v>
      </c>
      <c r="U514" s="1">
        <f t="shared" si="113"/>
        <v>1352.9303329064878</v>
      </c>
      <c r="V514" s="1">
        <f t="shared" si="114"/>
        <v>14009.521494307068</v>
      </c>
      <c r="W514" s="1">
        <f t="shared" si="115"/>
        <v>607.77838621859439</v>
      </c>
      <c r="X514" s="1"/>
      <c r="Y514" s="1"/>
      <c r="Z514" s="1"/>
      <c r="AA514" s="1"/>
      <c r="AB514" s="1"/>
      <c r="AC514" s="1"/>
      <c r="AD514" s="1"/>
      <c r="AE514" s="1"/>
    </row>
    <row r="515" spans="1:31" ht="22.05" customHeight="1">
      <c r="A515" s="1">
        <f>'01 Traffic inputs'!B465</f>
        <v>0.99684751170104413</v>
      </c>
      <c r="B515" s="1">
        <f>'01 Traffic inputs'!C465</f>
        <v>4.5799996853102573E-4</v>
      </c>
      <c r="C515" s="1">
        <f>IF('01 Traffic inputs'!$B$16&lt;=2/3,(4*A515*(1-A515))^$B$16,1-ABS(2*A515-1)^$B$17)</f>
        <v>3.5045526963936521E-7</v>
      </c>
      <c r="D515" s="1">
        <f>IF('01 Traffic inputs'!$B$16&lt;=2/3,4*$B$16*(1-2*A515)*(4*A515*(1-A515))^($B$16-1),-2*$B$17*SIGN(2*A515-1)*ABS(2*A515-1)^($B$17-1))</f>
        <v>-3.763747938958158E-4</v>
      </c>
      <c r="E515" s="1">
        <f t="shared" si="103"/>
        <v>2.1934657102586175</v>
      </c>
      <c r="F515" s="1">
        <f t="shared" si="104"/>
        <v>1.6209149062631212E-2</v>
      </c>
      <c r="G515" s="1">
        <f t="shared" si="105"/>
        <v>3.5554212661352176E-2</v>
      </c>
      <c r="H515" s="1">
        <f>'01 Traffic inputs'!$B$8/F515</f>
        <v>64.16129532657888</v>
      </c>
      <c r="I515" s="1">
        <f>MATCH(H515,'02 Emission rates'!$A$7:$A$15,1)</f>
        <v>6</v>
      </c>
      <c r="J515" s="1">
        <f>INDEX('02 Emission rates'!$D$7:$D$15,I515)</f>
        <v>20615.635195313702</v>
      </c>
      <c r="K515" s="1">
        <f>INDEX('02 Emission rates'!$E$7:$E$15,I515)</f>
        <v>30.344373182827162</v>
      </c>
      <c r="L515" s="1">
        <f>INDEX('02 Emission rates'!$F$7:$F$15,I515)</f>
        <v>135.13776314017983</v>
      </c>
      <c r="M515" s="1">
        <f>INDEX('02 Emission rates'!$G$7:$G$15,I515)</f>
        <v>5.4702300406244557</v>
      </c>
      <c r="N515" s="1">
        <f t="shared" si="106"/>
        <v>732.97267788303998</v>
      </c>
      <c r="O515" s="1">
        <f t="shared" si="107"/>
        <v>1.0788702972176689</v>
      </c>
      <c r="P515" s="1">
        <f t="shared" si="108"/>
        <v>4.8047167692653927</v>
      </c>
      <c r="Q515" s="1">
        <f t="shared" si="109"/>
        <v>0.19448972217087906</v>
      </c>
      <c r="R515" s="1">
        <f t="shared" si="110"/>
        <v>4775.2354624374511</v>
      </c>
      <c r="S515" s="1">
        <f t="shared" si="111"/>
        <v>196.81281181132206</v>
      </c>
      <c r="T515" s="1">
        <f t="shared" si="112"/>
        <v>1652956.8485718369</v>
      </c>
      <c r="U515" s="1">
        <f t="shared" si="113"/>
        <v>1354.0092032037055</v>
      </c>
      <c r="V515" s="1">
        <f t="shared" si="114"/>
        <v>14014.326211076333</v>
      </c>
      <c r="W515" s="1">
        <f t="shared" si="115"/>
        <v>607.97287594076522</v>
      </c>
      <c r="X515" s="1"/>
      <c r="Y515" s="1"/>
      <c r="Z515" s="1"/>
      <c r="AA515" s="1"/>
      <c r="AB515" s="1"/>
      <c r="AC515" s="1"/>
      <c r="AD515" s="1"/>
      <c r="AE515" s="1"/>
    </row>
    <row r="516" spans="1:31" ht="22.05" customHeight="1">
      <c r="A516" s="1">
        <f>'01 Traffic inputs'!B466</f>
        <v>0.99728892225235333</v>
      </c>
      <c r="B516" s="1">
        <f>'01 Traffic inputs'!C466</f>
        <v>4.2481622300186752E-4</v>
      </c>
      <c r="C516" s="1">
        <f>IF('01 Traffic inputs'!$B$16&lt;=2/3,(4*A516*(1-A516))^$B$16,1-ABS(2*A516-1)^$B$17)</f>
        <v>2.1027286372030877E-7</v>
      </c>
      <c r="D516" s="1">
        <f>IF('01 Traffic inputs'!$B$16&lt;=2/3,4*$B$16*(1-2*A516)*(4*A516*(1-A516))^($B$16-1),-2*$B$17*SIGN(2*A516-1)*ABS(2*A516-1)^($B$17-1))</f>
        <v>-2.6270968051857429E-4</v>
      </c>
      <c r="E516" s="1">
        <f t="shared" si="103"/>
        <v>2.0345442080112406</v>
      </c>
      <c r="F516" s="1">
        <f t="shared" si="104"/>
        <v>1.6209141024607143E-2</v>
      </c>
      <c r="G516" s="1">
        <f t="shared" si="105"/>
        <v>3.2978213988451847E-2</v>
      </c>
      <c r="H516" s="1">
        <f>'01 Traffic inputs'!$B$8/F516</f>
        <v>64.161327143813082</v>
      </c>
      <c r="I516" s="1">
        <f>MATCH(H516,'02 Emission rates'!$A$7:$A$15,1)</f>
        <v>6</v>
      </c>
      <c r="J516" s="1">
        <f>INDEX('02 Emission rates'!$D$7:$D$15,I516)</f>
        <v>20615.635195313702</v>
      </c>
      <c r="K516" s="1">
        <f>INDEX('02 Emission rates'!$E$7:$E$15,I516)</f>
        <v>30.344373182827162</v>
      </c>
      <c r="L516" s="1">
        <f>INDEX('02 Emission rates'!$F$7:$F$15,I516)</f>
        <v>135.13776314017983</v>
      </c>
      <c r="M516" s="1">
        <f>INDEX('02 Emission rates'!$G$7:$G$15,I516)</f>
        <v>5.4702300406244557</v>
      </c>
      <c r="N516" s="1">
        <f t="shared" si="106"/>
        <v>679.86682897891455</v>
      </c>
      <c r="O516" s="1">
        <f t="shared" si="107"/>
        <v>1.0007032321687139</v>
      </c>
      <c r="P516" s="1">
        <f t="shared" si="108"/>
        <v>4.4566020707575706</v>
      </c>
      <c r="Q516" s="1">
        <f t="shared" si="109"/>
        <v>0.18039841684577093</v>
      </c>
      <c r="R516" s="1">
        <f t="shared" si="110"/>
        <v>4777.2700066454627</v>
      </c>
      <c r="S516" s="1">
        <f t="shared" si="111"/>
        <v>196.84579002531052</v>
      </c>
      <c r="T516" s="1">
        <f t="shared" si="112"/>
        <v>1653636.7154008159</v>
      </c>
      <c r="U516" s="1">
        <f t="shared" si="113"/>
        <v>1355.0099064358742</v>
      </c>
      <c r="V516" s="1">
        <f t="shared" si="114"/>
        <v>14018.782813147091</v>
      </c>
      <c r="W516" s="1">
        <f t="shared" si="115"/>
        <v>608.15327435761094</v>
      </c>
      <c r="X516" s="1"/>
      <c r="Y516" s="1"/>
      <c r="Z516" s="1"/>
      <c r="AA516" s="1"/>
      <c r="AB516" s="1"/>
      <c r="AC516" s="1"/>
      <c r="AD516" s="1"/>
      <c r="AE516" s="1"/>
    </row>
    <row r="517" spans="1:31" ht="22.05" customHeight="1">
      <c r="A517" s="1">
        <f>'01 Traffic inputs'!B467</f>
        <v>0.99769713469429766</v>
      </c>
      <c r="B517" s="1">
        <f>'01 Traffic inputs'!C467</f>
        <v>3.9160411929540259E-4</v>
      </c>
      <c r="C517" s="1">
        <f>IF('01 Traffic inputs'!$B$16&lt;=2/3,(4*A517*(1-A517))^$B$16,1-ABS(2*A517-1)^$B$17)</f>
        <v>1.2096878806372224E-7</v>
      </c>
      <c r="D517" s="1">
        <f>IF('01 Traffic inputs'!$B$16&lt;=2/3,4*$B$16*(1-2*A517)*(4*A517*(1-A517))^($B$16-1),-2*$B$17*SIGN(2*A517-1)*ABS(2*A517-1)^($B$17-1))</f>
        <v>-1.7799927671428384E-4</v>
      </c>
      <c r="E517" s="1">
        <f t="shared" si="103"/>
        <v>1.8754857262257456</v>
      </c>
      <c r="F517" s="1">
        <f t="shared" si="104"/>
        <v>1.6209135903933799E-2</v>
      </c>
      <c r="G517" s="1">
        <f t="shared" si="105"/>
        <v>3.0400003022281089E-2</v>
      </c>
      <c r="H517" s="1">
        <f>'01 Traffic inputs'!$B$8/F517</f>
        <v>64.161347413196935</v>
      </c>
      <c r="I517" s="1">
        <f>MATCH(H517,'02 Emission rates'!$A$7:$A$15,1)</f>
        <v>6</v>
      </c>
      <c r="J517" s="1">
        <f>INDEX('02 Emission rates'!$D$7:$D$15,I517)</f>
        <v>20615.635195313702</v>
      </c>
      <c r="K517" s="1">
        <f>INDEX('02 Emission rates'!$E$7:$E$15,I517)</f>
        <v>30.344373182827162</v>
      </c>
      <c r="L517" s="1">
        <f>INDEX('02 Emission rates'!$F$7:$F$15,I517)</f>
        <v>135.13776314017983</v>
      </c>
      <c r="M517" s="1">
        <f>INDEX('02 Emission rates'!$G$7:$G$15,I517)</f>
        <v>5.4702300406244557</v>
      </c>
      <c r="N517" s="1">
        <f t="shared" si="106"/>
        <v>626.71537224378096</v>
      </c>
      <c r="O517" s="1">
        <f t="shared" si="107"/>
        <v>0.92246903646717093</v>
      </c>
      <c r="P517" s="1">
        <f t="shared" si="108"/>
        <v>4.1081884078857724</v>
      </c>
      <c r="Q517" s="1">
        <f t="shared" si="109"/>
        <v>0.16629500976755626</v>
      </c>
      <c r="R517" s="1">
        <f t="shared" si="110"/>
        <v>4779.1454923716883</v>
      </c>
      <c r="S517" s="1">
        <f t="shared" si="111"/>
        <v>196.87619002833281</v>
      </c>
      <c r="T517" s="1">
        <f t="shared" si="112"/>
        <v>1654263.4307730598</v>
      </c>
      <c r="U517" s="1">
        <f t="shared" si="113"/>
        <v>1355.9323754723414</v>
      </c>
      <c r="V517" s="1">
        <f t="shared" si="114"/>
        <v>14022.891001554975</v>
      </c>
      <c r="W517" s="1">
        <f t="shared" si="115"/>
        <v>608.31956936737845</v>
      </c>
      <c r="X517" s="1"/>
      <c r="Y517" s="1"/>
      <c r="Z517" s="1"/>
      <c r="AA517" s="1"/>
      <c r="AB517" s="1"/>
      <c r="AC517" s="1"/>
      <c r="AD517" s="1"/>
      <c r="AE517" s="1"/>
    </row>
    <row r="518" spans="1:31" ht="22.05" customHeight="1">
      <c r="A518" s="1">
        <f>'01 Traffic inputs'!B468</f>
        <v>0.99807212177755433</v>
      </c>
      <c r="B518" s="1">
        <f>'01 Traffic inputs'!C468</f>
        <v>3.5836587549676951E-4</v>
      </c>
      <c r="C518" s="1">
        <f>IF('01 Traffic inputs'!$B$16&lt;=2/3,(4*A518*(1-A518))^$B$16,1-ABS(2*A518-1)^$B$17)</f>
        <v>6.6231439164786948E-8</v>
      </c>
      <c r="D518" s="1">
        <f>IF('01 Traffic inputs'!$B$16&lt;=2/3,4*$B$16*(1-2*A518)*(4*A518*(1-A518))^($B$16-1),-2*$B$17*SIGN(2*A518-1)*ABS(2*A518-1)^($B$17-1))</f>
        <v>-1.1645601711743279E-4</v>
      </c>
      <c r="E518" s="1">
        <f t="shared" si="103"/>
        <v>1.7163011934677432</v>
      </c>
      <c r="F518" s="1">
        <f t="shared" si="104"/>
        <v>1.6209132765307915E-2</v>
      </c>
      <c r="G518" s="1">
        <f t="shared" si="105"/>
        <v>2.7819753910175077E-2</v>
      </c>
      <c r="H518" s="1">
        <f>'01 Traffic inputs'!$B$8/F518</f>
        <v>64.161359836962518</v>
      </c>
      <c r="I518" s="1">
        <f>MATCH(H518,'02 Emission rates'!$A$7:$A$15,1)</f>
        <v>6</v>
      </c>
      <c r="J518" s="1">
        <f>INDEX('02 Emission rates'!$D$7:$D$15,I518)</f>
        <v>20615.635195313702</v>
      </c>
      <c r="K518" s="1">
        <f>INDEX('02 Emission rates'!$E$7:$E$15,I518)</f>
        <v>30.344373182827162</v>
      </c>
      <c r="L518" s="1">
        <f>INDEX('02 Emission rates'!$F$7:$F$15,I518)</f>
        <v>135.13776314017983</v>
      </c>
      <c r="M518" s="1">
        <f>INDEX('02 Emission rates'!$G$7:$G$15,I518)</f>
        <v>5.4702300406244557</v>
      </c>
      <c r="N518" s="1">
        <f t="shared" si="106"/>
        <v>573.52189783557128</v>
      </c>
      <c r="O518" s="1">
        <f t="shared" si="107"/>
        <v>0.84417299450476768</v>
      </c>
      <c r="P518" s="1">
        <f t="shared" si="108"/>
        <v>3.7594993145313311</v>
      </c>
      <c r="Q518" s="1">
        <f t="shared" si="109"/>
        <v>0.15218045356221938</v>
      </c>
      <c r="R518" s="1">
        <f t="shared" si="110"/>
        <v>4780.8617935651564</v>
      </c>
      <c r="S518" s="1">
        <f t="shared" si="111"/>
        <v>196.90400978224298</v>
      </c>
      <c r="T518" s="1">
        <f t="shared" si="112"/>
        <v>1654836.9526708955</v>
      </c>
      <c r="U518" s="1">
        <f t="shared" si="113"/>
        <v>1356.7765484668462</v>
      </c>
      <c r="V518" s="1">
        <f t="shared" si="114"/>
        <v>14026.650500869508</v>
      </c>
      <c r="W518" s="1">
        <f t="shared" si="115"/>
        <v>608.47174982094066</v>
      </c>
      <c r="X518" s="1"/>
      <c r="Y518" s="1"/>
      <c r="Z518" s="1"/>
      <c r="AA518" s="1"/>
      <c r="AB518" s="1"/>
      <c r="AC518" s="1"/>
      <c r="AD518" s="1"/>
      <c r="AE518" s="1"/>
    </row>
    <row r="519" spans="1:31" ht="22.05" customHeight="1">
      <c r="A519" s="1">
        <f>'01 Traffic inputs'!B469</f>
        <v>0.99841385847204567</v>
      </c>
      <c r="B519" s="1">
        <f>'01 Traffic inputs'!C469</f>
        <v>3.2510371204802138E-4</v>
      </c>
      <c r="C519" s="1">
        <f>IF('01 Traffic inputs'!$B$16&lt;=2/3,(4*A519*(1-A519))^$B$16,1-ABS(2*A519-1)^$B$17)</f>
        <v>3.4179629408205456E-8</v>
      </c>
      <c r="D519" s="1">
        <f>IF('01 Traffic inputs'!$B$16&lt;=2/3,4*$B$16*(1-2*A519)*(4*A519*(1-A519))^($B$16-1),-2*$B$17*SIGN(2*A519-1)*ABS(2*A519-1)^($B$17-1))</f>
        <v>-7.3072161123535664E-5</v>
      </c>
      <c r="E519" s="1">
        <f t="shared" si="103"/>
        <v>1.5570014867372546</v>
      </c>
      <c r="F519" s="1">
        <f t="shared" si="104"/>
        <v>1.6209130927465166E-2</v>
      </c>
      <c r="G519" s="1">
        <f t="shared" si="105"/>
        <v>2.5237640952782078E-2</v>
      </c>
      <c r="H519" s="1">
        <f>'01 Traffic inputs'!$B$8/F519</f>
        <v>64.161367111781288</v>
      </c>
      <c r="I519" s="1">
        <f>MATCH(H519,'02 Emission rates'!$A$7:$A$15,1)</f>
        <v>6</v>
      </c>
      <c r="J519" s="1">
        <f>INDEX('02 Emission rates'!$D$7:$D$15,I519)</f>
        <v>20615.635195313702</v>
      </c>
      <c r="K519" s="1">
        <f>INDEX('02 Emission rates'!$E$7:$E$15,I519)</f>
        <v>30.344373182827162</v>
      </c>
      <c r="L519" s="1">
        <f>INDEX('02 Emission rates'!$F$7:$F$15,I519)</f>
        <v>135.13776314017983</v>
      </c>
      <c r="M519" s="1">
        <f>INDEX('02 Emission rates'!$G$7:$G$15,I519)</f>
        <v>5.4702300406244557</v>
      </c>
      <c r="N519" s="1">
        <f t="shared" si="106"/>
        <v>520.28999907286459</v>
      </c>
      <c r="O519" s="1">
        <f t="shared" si="107"/>
        <v>0.76582039532542101</v>
      </c>
      <c r="P519" s="1">
        <f t="shared" si="108"/>
        <v>3.4105583452939667</v>
      </c>
      <c r="Q519" s="1">
        <f t="shared" si="109"/>
        <v>0.13805570169440254</v>
      </c>
      <c r="R519" s="1">
        <f t="shared" si="110"/>
        <v>4782.4187950518935</v>
      </c>
      <c r="S519" s="1">
        <f t="shared" si="111"/>
        <v>196.92924742319576</v>
      </c>
      <c r="T519" s="1">
        <f t="shared" si="112"/>
        <v>1655357.2426699684</v>
      </c>
      <c r="U519" s="1">
        <f t="shared" si="113"/>
        <v>1357.5423688621715</v>
      </c>
      <c r="V519" s="1">
        <f t="shared" si="114"/>
        <v>14030.061059214802</v>
      </c>
      <c r="W519" s="1">
        <f t="shared" si="115"/>
        <v>608.60980552263504</v>
      </c>
      <c r="X519" s="1"/>
      <c r="Y519" s="1"/>
      <c r="Z519" s="1"/>
      <c r="AA519" s="1"/>
      <c r="AB519" s="1"/>
      <c r="AC519" s="1"/>
      <c r="AD519" s="1"/>
      <c r="AE519" s="1"/>
    </row>
    <row r="520" spans="1:31" ht="22.05" customHeight="1">
      <c r="A520" s="1">
        <f>'01 Traffic inputs'!B470</f>
        <v>0.99872232196945543</v>
      </c>
      <c r="B520" s="1">
        <f>'01 Traffic inputs'!C470</f>
        <v>2.918198521325239E-4</v>
      </c>
      <c r="C520" s="1">
        <f>IF('01 Traffic inputs'!$B$16&lt;=2/3,(4*A520*(1-A520))^$B$16,1-ABS(2*A520-1)^$B$17)</f>
        <v>1.6414690595392127E-8</v>
      </c>
      <c r="D520" s="1">
        <f>IF('01 Traffic inputs'!$B$16&lt;=2/3,4*$B$16*(1-2*A520)*(4*A520*(1-A520))^($B$16-1),-2*$B$17*SIGN(2*A520-1)*ABS(2*A520-1)^($B$17-1))</f>
        <v>-4.3578507612958952E-5</v>
      </c>
      <c r="E520" s="1">
        <f t="shared" si="103"/>
        <v>1.397597441945833</v>
      </c>
      <c r="F520" s="1">
        <f t="shared" si="104"/>
        <v>1.6209129908828019E-2</v>
      </c>
      <c r="G520" s="1">
        <f t="shared" si="105"/>
        <v>2.2653838496745734E-2</v>
      </c>
      <c r="H520" s="1">
        <f>'01 Traffic inputs'!$B$8/F520</f>
        <v>64.161371143900979</v>
      </c>
      <c r="I520" s="1">
        <f>MATCH(H520,'02 Emission rates'!$A$7:$A$15,1)</f>
        <v>6</v>
      </c>
      <c r="J520" s="1">
        <f>INDEX('02 Emission rates'!$D$7:$D$15,I520)</f>
        <v>20615.635195313702</v>
      </c>
      <c r="K520" s="1">
        <f>INDEX('02 Emission rates'!$E$7:$E$15,I520)</f>
        <v>30.344373182827162</v>
      </c>
      <c r="L520" s="1">
        <f>INDEX('02 Emission rates'!$F$7:$F$15,I520)</f>
        <v>135.13776314017983</v>
      </c>
      <c r="M520" s="1">
        <f>INDEX('02 Emission rates'!$G$7:$G$15,I520)</f>
        <v>5.4702300406244557</v>
      </c>
      <c r="N520" s="1">
        <f t="shared" si="106"/>
        <v>467.02327022246379</v>
      </c>
      <c r="O520" s="1">
        <f t="shared" si="107"/>
        <v>0.68741652936874886</v>
      </c>
      <c r="P520" s="1">
        <f t="shared" si="108"/>
        <v>3.0613890609891126</v>
      </c>
      <c r="Q520" s="1">
        <f t="shared" si="109"/>
        <v>0.12392170788035327</v>
      </c>
      <c r="R520" s="1">
        <f t="shared" si="110"/>
        <v>4783.816392493839</v>
      </c>
      <c r="S520" s="1">
        <f t="shared" si="111"/>
        <v>196.95190126169251</v>
      </c>
      <c r="T520" s="1">
        <f t="shared" si="112"/>
        <v>1655824.2659401908</v>
      </c>
      <c r="U520" s="1">
        <f t="shared" si="113"/>
        <v>1358.2297853915402</v>
      </c>
      <c r="V520" s="1">
        <f t="shared" si="114"/>
        <v>14033.122448275792</v>
      </c>
      <c r="W520" s="1">
        <f t="shared" si="115"/>
        <v>608.73372723051534</v>
      </c>
      <c r="X520" s="1"/>
      <c r="Y520" s="1"/>
      <c r="Z520" s="1"/>
      <c r="AA520" s="1"/>
      <c r="AB520" s="1"/>
      <c r="AC520" s="1"/>
      <c r="AD520" s="1"/>
      <c r="AE520" s="1"/>
    </row>
    <row r="521" spans="1:31" ht="22.05" customHeight="1">
      <c r="A521" s="1">
        <f>'01 Traffic inputs'!B471</f>
        <v>0.99899749168639684</v>
      </c>
      <c r="B521" s="1">
        <f>'01 Traffic inputs'!C471</f>
        <v>2.5851652267457222E-4</v>
      </c>
      <c r="C521" s="1">
        <f>IF('01 Traffic inputs'!$B$16&lt;=2/3,(4*A521*(1-A521))^$B$16,1-ABS(2*A521-1)^$B$17)</f>
        <v>7.2091824919225793E-9</v>
      </c>
      <c r="D521" s="1">
        <f>IF('01 Traffic inputs'!$B$16&lt;=2/3,4*$B$16*(1-2*A521)*(4*A521*(1-A521))^($B$16-1),-2*$B$17*SIGN(2*A521-1)*ABS(2*A521-1)^($B$17-1))</f>
        <v>-2.4399393468311621E-5</v>
      </c>
      <c r="E521" s="1">
        <f t="shared" si="103"/>
        <v>1.2380998669201544</v>
      </c>
      <c r="F521" s="1">
        <f t="shared" si="104"/>
        <v>1.6209129380986488E-2</v>
      </c>
      <c r="G521" s="1">
        <f t="shared" si="105"/>
        <v>2.0068520929490935E-2</v>
      </c>
      <c r="H521" s="1">
        <f>'01 Traffic inputs'!$B$8/F521</f>
        <v>64.161373233281338</v>
      </c>
      <c r="I521" s="1">
        <f>MATCH(H521,'02 Emission rates'!$A$7:$A$15,1)</f>
        <v>6</v>
      </c>
      <c r="J521" s="1">
        <f>INDEX('02 Emission rates'!$D$7:$D$15,I521)</f>
        <v>20615.635195313702</v>
      </c>
      <c r="K521" s="1">
        <f>INDEX('02 Emission rates'!$E$7:$E$15,I521)</f>
        <v>30.344373182827162</v>
      </c>
      <c r="L521" s="1">
        <f>INDEX('02 Emission rates'!$F$7:$F$15,I521)</f>
        <v>135.13776314017983</v>
      </c>
      <c r="M521" s="1">
        <f>INDEX('02 Emission rates'!$G$7:$G$15,I521)</f>
        <v>5.4702300406244557</v>
      </c>
      <c r="N521" s="1">
        <f t="shared" si="106"/>
        <v>413.72530639190296</v>
      </c>
      <c r="O521" s="1">
        <f t="shared" si="107"/>
        <v>0.60896668831185041</v>
      </c>
      <c r="P521" s="1">
        <f t="shared" si="108"/>
        <v>2.7120150279432873</v>
      </c>
      <c r="Q521" s="1">
        <f t="shared" si="109"/>
        <v>0.10977942605940194</v>
      </c>
      <c r="R521" s="1">
        <f t="shared" si="110"/>
        <v>4785.0544923607595</v>
      </c>
      <c r="S521" s="1">
        <f t="shared" si="111"/>
        <v>196.97196978262201</v>
      </c>
      <c r="T521" s="1">
        <f t="shared" si="112"/>
        <v>1656237.9912465827</v>
      </c>
      <c r="U521" s="1">
        <f t="shared" si="113"/>
        <v>1358.8387520798519</v>
      </c>
      <c r="V521" s="1">
        <f t="shared" si="114"/>
        <v>14035.834463303734</v>
      </c>
      <c r="W521" s="1">
        <f t="shared" si="115"/>
        <v>608.84350665657473</v>
      </c>
      <c r="X521" s="1"/>
      <c r="Y521" s="1"/>
      <c r="Z521" s="1"/>
      <c r="AA521" s="1"/>
      <c r="AB521" s="1"/>
      <c r="AC521" s="1"/>
      <c r="AD521" s="1"/>
      <c r="AE521" s="1"/>
    </row>
    <row r="522" spans="1:31" ht="22.05" customHeight="1">
      <c r="A522" s="1">
        <f>'01 Traffic inputs'!B472</f>
        <v>0.99923934926922953</v>
      </c>
      <c r="B522" s="1">
        <f>'01 Traffic inputs'!C472</f>
        <v>2.2519595688633441E-4</v>
      </c>
      <c r="C522" s="1">
        <f>IF('01 Traffic inputs'!$B$16&lt;=2/3,(4*A522*(1-A522))^$B$16,1-ABS(2*A522-1)^$B$17)</f>
        <v>2.8249271431349431E-9</v>
      </c>
      <c r="D522" s="1">
        <f>IF('01 Traffic inputs'!$B$16&lt;=2/3,4*$B$16*(1-2*A522)*(4*A522*(1-A522))^($B$16-1),-2*$B$17*SIGN(2*A522-1)*ABS(2*A522-1)^($B$17-1))</f>
        <v>-1.2603996519463244E-5</v>
      </c>
      <c r="E522" s="1">
        <f t="shared" si="103"/>
        <v>1.0785195613377405</v>
      </c>
      <c r="F522" s="1">
        <f t="shared" si="104"/>
        <v>1.6209129129594387E-2</v>
      </c>
      <c r="G522" s="1">
        <f t="shared" si="105"/>
        <v>1.748186283851693E-2</v>
      </c>
      <c r="H522" s="1">
        <f>'01 Traffic inputs'!$B$8/F522</f>
        <v>64.161374228378747</v>
      </c>
      <c r="I522" s="1">
        <f>MATCH(H522,'02 Emission rates'!$A$7:$A$15,1)</f>
        <v>6</v>
      </c>
      <c r="J522" s="1">
        <f>INDEX('02 Emission rates'!$D$7:$D$15,I522)</f>
        <v>20615.635195313702</v>
      </c>
      <c r="K522" s="1">
        <f>INDEX('02 Emission rates'!$E$7:$E$15,I522)</f>
        <v>30.344373182827162</v>
      </c>
      <c r="L522" s="1">
        <f>INDEX('02 Emission rates'!$F$7:$F$15,I522)</f>
        <v>135.13776314017983</v>
      </c>
      <c r="M522" s="1">
        <f>INDEX('02 Emission rates'!$G$7:$G$15,I522)</f>
        <v>5.4702300406244557</v>
      </c>
      <c r="N522" s="1">
        <f t="shared" si="106"/>
        <v>360.39970681337633</v>
      </c>
      <c r="O522" s="1">
        <f t="shared" si="107"/>
        <v>0.53047616990295587</v>
      </c>
      <c r="P522" s="1">
        <f t="shared" si="108"/>
        <v>2.3624598395206129</v>
      </c>
      <c r="Q522" s="1">
        <f t="shared" si="109"/>
        <v>9.5629811265331627E-2</v>
      </c>
      <c r="R522" s="1">
        <f t="shared" si="110"/>
        <v>4786.1330119220975</v>
      </c>
      <c r="S522" s="1">
        <f t="shared" si="111"/>
        <v>196.98945164546052</v>
      </c>
      <c r="T522" s="1">
        <f t="shared" si="112"/>
        <v>1656598.390953396</v>
      </c>
      <c r="U522" s="1">
        <f t="shared" si="113"/>
        <v>1359.369228249755</v>
      </c>
      <c r="V522" s="1">
        <f t="shared" si="114"/>
        <v>14038.196923143254</v>
      </c>
      <c r="W522" s="1">
        <f t="shared" si="115"/>
        <v>608.93913646784006</v>
      </c>
      <c r="X522" s="1"/>
      <c r="Y522" s="1"/>
      <c r="Z522" s="1"/>
      <c r="AA522" s="1"/>
      <c r="AB522" s="1"/>
      <c r="AC522" s="1"/>
      <c r="AD522" s="1"/>
      <c r="AE522" s="1"/>
    </row>
    <row r="523" spans="1:31" ht="22.05" customHeight="1">
      <c r="A523" s="1">
        <f>'01 Traffic inputs'!B473</f>
        <v>0.99944787860316286</v>
      </c>
      <c r="B523" s="1">
        <f>'01 Traffic inputs'!C473</f>
        <v>1.9186040104664516E-4</v>
      </c>
      <c r="C523" s="1">
        <f>IF('01 Traffic inputs'!$B$16&lt;=2/3,(4*A523*(1-A523))^$B$16,1-ABS(2*A523-1)^$B$17)</f>
        <v>9.5215034885526121E-10</v>
      </c>
      <c r="D523" s="1">
        <f>IF('01 Traffic inputs'!$B$16&lt;=2/3,4*$B$16*(1-2*A523)*(4*A523*(1-A523))^($B$16-1),-2*$B$17*SIGN(2*A523-1)*ABS(2*A523-1)^($B$17-1))</f>
        <v>-5.8539364632733119E-6</v>
      </c>
      <c r="E523" s="1">
        <f t="shared" si="103"/>
        <v>0.91886735639411465</v>
      </c>
      <c r="F523" s="1">
        <f t="shared" si="104"/>
        <v>1.6209129022209834E-2</v>
      </c>
      <c r="G523" s="1">
        <f t="shared" si="105"/>
        <v>1.4894039534089071E-2</v>
      </c>
      <c r="H523" s="1">
        <f>'01 Traffic inputs'!$B$8/F523</f>
        <v>64.161374653444184</v>
      </c>
      <c r="I523" s="1">
        <f>MATCH(H523,'02 Emission rates'!$A$7:$A$15,1)</f>
        <v>6</v>
      </c>
      <c r="J523" s="1">
        <f>INDEX('02 Emission rates'!$D$7:$D$15,I523)</f>
        <v>20615.635195313702</v>
      </c>
      <c r="K523" s="1">
        <f>INDEX('02 Emission rates'!$E$7:$E$15,I523)</f>
        <v>30.344373182827162</v>
      </c>
      <c r="L523" s="1">
        <f>INDEX('02 Emission rates'!$F$7:$F$15,I523)</f>
        <v>135.13776314017983</v>
      </c>
      <c r="M523" s="1">
        <f>INDEX('02 Emission rates'!$G$7:$G$15,I523)</f>
        <v>5.4702300406244557</v>
      </c>
      <c r="N523" s="1">
        <f t="shared" si="106"/>
        <v>307.05008561936035</v>
      </c>
      <c r="O523" s="1">
        <f t="shared" si="107"/>
        <v>0.45195029382217999</v>
      </c>
      <c r="P523" s="1">
        <f t="shared" si="108"/>
        <v>2.0127471867582032</v>
      </c>
      <c r="Q523" s="1">
        <f t="shared" si="109"/>
        <v>8.1473822485622308E-2</v>
      </c>
      <c r="R523" s="1">
        <f t="shared" si="110"/>
        <v>4787.0518792784915</v>
      </c>
      <c r="S523" s="1">
        <f t="shared" si="111"/>
        <v>197.0043456849946</v>
      </c>
      <c r="T523" s="1">
        <f t="shared" si="112"/>
        <v>1656905.4410390153</v>
      </c>
      <c r="U523" s="1">
        <f t="shared" si="113"/>
        <v>1359.8211785435772</v>
      </c>
      <c r="V523" s="1">
        <f t="shared" si="114"/>
        <v>14040.209670330012</v>
      </c>
      <c r="W523" s="1">
        <f t="shared" si="115"/>
        <v>609.02061029032564</v>
      </c>
      <c r="X523" s="1"/>
      <c r="Y523" s="1"/>
      <c r="Z523" s="1"/>
      <c r="AA523" s="1"/>
      <c r="AB523" s="1"/>
      <c r="AC523" s="1"/>
      <c r="AD523" s="1"/>
      <c r="AE523" s="1"/>
    </row>
    <row r="524" spans="1:31" ht="22.05" customHeight="1">
      <c r="A524" s="1">
        <f>'01 Traffic inputs'!B474</f>
        <v>0.99962306583359228</v>
      </c>
      <c r="B524" s="1">
        <f>'01 Traffic inputs'!C474</f>
        <v>1.585121349076745E-4</v>
      </c>
      <c r="C524" s="1">
        <f>IF('01 Traffic inputs'!$B$16&lt;=2/3,(4*A524*(1-A524))^$B$16,1-ABS(2*A524-1)^$B$17)</f>
        <v>2.6058433788822464E-10</v>
      </c>
      <c r="D524" s="1">
        <f>IF('01 Traffic inputs'!$B$16&lt;=2/3,4*$B$16*(1-2*A524)*(4*A524*(1-A524))^($B$16-1),-2*$B$17*SIGN(2*A524-1)*ABS(2*A524-1)^($B$17-1))</f>
        <v>-2.3471240585008546E-6</v>
      </c>
      <c r="E524" s="1">
        <f t="shared" si="103"/>
        <v>0.75915421914432402</v>
      </c>
      <c r="F524" s="1">
        <f t="shared" si="104"/>
        <v>1.620912898255561E-2</v>
      </c>
      <c r="G524" s="1">
        <f t="shared" si="105"/>
        <v>1.2305228655761636E-2</v>
      </c>
      <c r="H524" s="1">
        <f>'01 Traffic inputs'!$B$8/F524</f>
        <v>64.161374810409399</v>
      </c>
      <c r="I524" s="1">
        <f>MATCH(H524,'02 Emission rates'!$A$7:$A$15,1)</f>
        <v>6</v>
      </c>
      <c r="J524" s="1">
        <f>INDEX('02 Emission rates'!$D$7:$D$15,I524)</f>
        <v>20615.635195313702</v>
      </c>
      <c r="K524" s="1">
        <f>INDEX('02 Emission rates'!$E$7:$E$15,I524)</f>
        <v>30.344373182827162</v>
      </c>
      <c r="L524" s="1">
        <f>INDEX('02 Emission rates'!$F$7:$F$15,I524)</f>
        <v>135.13776314017983</v>
      </c>
      <c r="M524" s="1">
        <f>INDEX('02 Emission rates'!$G$7:$G$15,I524)</f>
        <v>5.4702300406244557</v>
      </c>
      <c r="N524" s="1">
        <f t="shared" si="106"/>
        <v>253.68010496210229</v>
      </c>
      <c r="O524" s="1">
        <f t="shared" si="107"/>
        <v>0.37339445043044972</v>
      </c>
      <c r="P524" s="1">
        <f t="shared" si="108"/>
        <v>1.6629010754680693</v>
      </c>
      <c r="Q524" s="1">
        <f t="shared" si="109"/>
        <v>6.7312431449500193E-2</v>
      </c>
      <c r="R524" s="1">
        <f t="shared" si="110"/>
        <v>4787.8110334976354</v>
      </c>
      <c r="S524" s="1">
        <f t="shared" si="111"/>
        <v>197.01665091365035</v>
      </c>
      <c r="T524" s="1">
        <f t="shared" si="112"/>
        <v>1657159.1211439774</v>
      </c>
      <c r="U524" s="1">
        <f t="shared" si="113"/>
        <v>1360.1945729940076</v>
      </c>
      <c r="V524" s="1">
        <f t="shared" si="114"/>
        <v>14041.87257140548</v>
      </c>
      <c r="W524" s="1">
        <f t="shared" si="115"/>
        <v>609.08792272177516</v>
      </c>
      <c r="X524" s="1"/>
      <c r="Y524" s="1"/>
      <c r="Z524" s="1"/>
      <c r="AA524" s="1"/>
      <c r="AB524" s="1"/>
      <c r="AC524" s="1"/>
      <c r="AD524" s="1"/>
      <c r="AE524" s="1"/>
    </row>
    <row r="525" spans="1:31" ht="22.05" customHeight="1">
      <c r="A525" s="1">
        <f>'01 Traffic inputs'!B475</f>
        <v>0.99976489942794289</v>
      </c>
      <c r="B525" s="1">
        <f>'01 Traffic inputs'!C475</f>
        <v>1.251535445433506E-4</v>
      </c>
      <c r="C525" s="1">
        <f>IF('01 Traffic inputs'!$B$16&lt;=2/3,(4*A525*(1-A525))^$B$16,1-ABS(2*A525-1)^$B$17)</f>
        <v>5.246362846830758E-11</v>
      </c>
      <c r="D525" s="1">
        <f>IF('01 Traffic inputs'!$B$16&lt;=2/3,4*$B$16*(1-2*A525)*(4*A525*(1-A525))^($B$16-1),-2*$B$17*SIGN(2*A525-1)*ABS(2*A525-1)^($B$17-1))</f>
        <v>-7.5773881188866561E-7</v>
      </c>
      <c r="E525" s="1">
        <f t="shared" si="103"/>
        <v>0.59939160735123975</v>
      </c>
      <c r="F525" s="1">
        <f t="shared" si="104"/>
        <v>1.620912897062202E-2</v>
      </c>
      <c r="G525" s="1">
        <f t="shared" si="105"/>
        <v>9.7156158674646786E-3</v>
      </c>
      <c r="H525" s="1">
        <f>'01 Traffic inputs'!$B$8/F525</f>
        <v>64.161374857646706</v>
      </c>
      <c r="I525" s="1">
        <f>MATCH(H525,'02 Emission rates'!$A$7:$A$15,1)</f>
        <v>6</v>
      </c>
      <c r="J525" s="1">
        <f>INDEX('02 Emission rates'!$D$7:$D$15,I525)</f>
        <v>20615.635195313702</v>
      </c>
      <c r="K525" s="1">
        <f>INDEX('02 Emission rates'!$E$7:$E$15,I525)</f>
        <v>30.344373182827162</v>
      </c>
      <c r="L525" s="1">
        <f>INDEX('02 Emission rates'!$F$7:$F$15,I525)</f>
        <v>135.13776314017983</v>
      </c>
      <c r="M525" s="1">
        <f>INDEX('02 Emission rates'!$G$7:$G$15,I525)</f>
        <v>5.4702300406244557</v>
      </c>
      <c r="N525" s="1">
        <f t="shared" si="106"/>
        <v>200.2935924214531</v>
      </c>
      <c r="O525" s="1">
        <f t="shared" si="107"/>
        <v>0.29481427358334528</v>
      </c>
      <c r="P525" s="1">
        <f t="shared" si="108"/>
        <v>1.3129465958584146</v>
      </c>
      <c r="Q525" s="1">
        <f t="shared" si="109"/>
        <v>5.3146653781372913E-2</v>
      </c>
      <c r="R525" s="1">
        <f t="shared" si="110"/>
        <v>4788.4104251049866</v>
      </c>
      <c r="S525" s="1">
        <f t="shared" si="111"/>
        <v>197.02636652951782</v>
      </c>
      <c r="T525" s="1">
        <f t="shared" si="112"/>
        <v>1657359.4147363987</v>
      </c>
      <c r="U525" s="1">
        <f t="shared" si="113"/>
        <v>1360.4893872675909</v>
      </c>
      <c r="V525" s="1">
        <f t="shared" si="114"/>
        <v>14043.185518001339</v>
      </c>
      <c r="W525" s="1">
        <f t="shared" si="115"/>
        <v>609.14106937555653</v>
      </c>
      <c r="X525" s="1"/>
      <c r="Y525" s="1"/>
      <c r="Z525" s="1"/>
      <c r="AA525" s="1"/>
      <c r="AB525" s="1"/>
      <c r="AC525" s="1"/>
      <c r="AD525" s="1"/>
      <c r="AE525" s="1"/>
    </row>
    <row r="526" spans="1:31" ht="22.05" customHeight="1">
      <c r="A526" s="1">
        <f>'01 Traffic inputs'!B476</f>
        <v>0.99987337040567614</v>
      </c>
      <c r="B526" s="1">
        <f>'01 Traffic inputs'!C476</f>
        <v>9.1787459676077822E-5</v>
      </c>
      <c r="C526" s="1">
        <f>IF('01 Traffic inputs'!$B$16&lt;=2/3,(4*A526*(1-A526))^$B$16,1-ABS(2*A526-1)^$B$17)</f>
        <v>6.4172168910079415E-12</v>
      </c>
      <c r="D526" s="1">
        <f>IF('01 Traffic inputs'!$B$16&lt;=2/3,4*$B$16*(1-2*A526)*(4*A526*(1-A526))^($B$16-1),-2*$B$17*SIGN(2*A526-1)*ABS(2*A526-1)^($B$17-1))</f>
        <v>-1.7209709166183784E-7</v>
      </c>
      <c r="E526" s="1">
        <f t="shared" si="103"/>
        <v>0.43959309027872706</v>
      </c>
      <c r="F526" s="1">
        <f t="shared" si="104"/>
        <v>1.6209128967981733E-2</v>
      </c>
      <c r="G526" s="1">
        <f t="shared" si="105"/>
        <v>7.1254210937615236E-3</v>
      </c>
      <c r="H526" s="1">
        <f>'01 Traffic inputs'!$B$8/F526</f>
        <v>64.16137486809788</v>
      </c>
      <c r="I526" s="1">
        <f>MATCH(H526,'02 Emission rates'!$A$7:$A$15,1)</f>
        <v>6</v>
      </c>
      <c r="J526" s="1">
        <f>INDEX('02 Emission rates'!$D$7:$D$15,I526)</f>
        <v>20615.635195313702</v>
      </c>
      <c r="K526" s="1">
        <f>INDEX('02 Emission rates'!$E$7:$E$15,I526)</f>
        <v>30.344373182827162</v>
      </c>
      <c r="L526" s="1">
        <f>INDEX('02 Emission rates'!$F$7:$F$15,I526)</f>
        <v>135.13776314017983</v>
      </c>
      <c r="M526" s="1">
        <f>INDEX('02 Emission rates'!$G$7:$G$15,I526)</f>
        <v>5.4702300406244557</v>
      </c>
      <c r="N526" s="1">
        <f t="shared" si="106"/>
        <v>146.89508188198073</v>
      </c>
      <c r="O526" s="1">
        <f t="shared" si="107"/>
        <v>0.21621643675388816</v>
      </c>
      <c r="P526" s="1">
        <f t="shared" si="108"/>
        <v>0.96291346804278588</v>
      </c>
      <c r="Q526" s="1">
        <f t="shared" si="109"/>
        <v>3.8977692519193453E-2</v>
      </c>
      <c r="R526" s="1">
        <f t="shared" si="110"/>
        <v>4788.850018195265</v>
      </c>
      <c r="S526" s="1">
        <f t="shared" si="111"/>
        <v>197.03349195061159</v>
      </c>
      <c r="T526" s="1">
        <f t="shared" si="112"/>
        <v>1657506.3098182806</v>
      </c>
      <c r="U526" s="1">
        <f t="shared" si="113"/>
        <v>1360.7056037043449</v>
      </c>
      <c r="V526" s="1">
        <f t="shared" si="114"/>
        <v>14044.148431469383</v>
      </c>
      <c r="W526" s="1">
        <f t="shared" si="115"/>
        <v>609.18004706807574</v>
      </c>
      <c r="X526" s="1"/>
      <c r="Y526" s="1"/>
      <c r="Z526" s="1"/>
      <c r="AA526" s="1"/>
      <c r="AB526" s="1"/>
      <c r="AC526" s="1"/>
      <c r="AD526" s="1"/>
      <c r="AE526" s="1"/>
    </row>
    <row r="527" spans="1:31" ht="22.05" customHeight="1">
      <c r="A527" s="1">
        <f>'01 Traffic inputs'!B477</f>
        <v>0.9999484735689298</v>
      </c>
      <c r="B527" s="1">
        <f>'01 Traffic inputs'!C477</f>
        <v>5.8419533286588016E-5</v>
      </c>
      <c r="C527" s="1">
        <f>IF('01 Traffic inputs'!$B$16&lt;=2/3,(4*A527*(1-A527))^$B$16,1-ABS(2*A527-1)^$B$17)</f>
        <v>3.0279681190417965E-13</v>
      </c>
      <c r="D527" s="1">
        <f>IF('01 Traffic inputs'!$B$16&lt;=2/3,4*$B$16*(1-2*A527)*(4*A527*(1-A527))^($B$16-1),-2*$B$17*SIGN(2*A527-1)*ABS(2*A527-1)^($B$17-1))</f>
        <v>-1.9957948150130253E-8</v>
      </c>
      <c r="E527" s="1">
        <f t="shared" si="103"/>
        <v>0.27978574972083187</v>
      </c>
      <c r="F527" s="1">
        <f t="shared" si="104"/>
        <v>1.6209128967631131E-2</v>
      </c>
      <c r="G527" s="1">
        <f t="shared" si="105"/>
        <v>4.5350833005303294E-3</v>
      </c>
      <c r="H527" s="1">
        <f>'01 Traffic inputs'!$B$8/F527</f>
        <v>64.161374869485684</v>
      </c>
      <c r="I527" s="1">
        <f>MATCH(H527,'02 Emission rates'!$A$7:$A$15,1)</f>
        <v>6</v>
      </c>
      <c r="J527" s="1">
        <f>INDEX('02 Emission rates'!$D$7:$D$15,I527)</f>
        <v>20615.635195313702</v>
      </c>
      <c r="K527" s="1">
        <f>INDEX('02 Emission rates'!$E$7:$E$15,I527)</f>
        <v>30.344373182827162</v>
      </c>
      <c r="L527" s="1">
        <f>INDEX('02 Emission rates'!$F$7:$F$15,I527)</f>
        <v>135.13776314017983</v>
      </c>
      <c r="M527" s="1">
        <f>INDEX('02 Emission rates'!$G$7:$G$15,I527)</f>
        <v>5.4702300406244557</v>
      </c>
      <c r="N527" s="1">
        <f t="shared" si="106"/>
        <v>93.49362290409249</v>
      </c>
      <c r="O527" s="1">
        <f t="shared" si="107"/>
        <v>0.13761426008649982</v>
      </c>
      <c r="P527" s="1">
        <f t="shared" si="108"/>
        <v>0.61286101288805261</v>
      </c>
      <c r="Q527" s="1">
        <f t="shared" si="109"/>
        <v>2.4807948907295315E-2</v>
      </c>
      <c r="R527" s="1">
        <f t="shared" si="110"/>
        <v>4789.1298039449857</v>
      </c>
      <c r="S527" s="1">
        <f t="shared" si="111"/>
        <v>197.03802703391213</v>
      </c>
      <c r="T527" s="1">
        <f t="shared" si="112"/>
        <v>1657599.8034411848</v>
      </c>
      <c r="U527" s="1">
        <f t="shared" si="113"/>
        <v>1360.8432179644315</v>
      </c>
      <c r="V527" s="1">
        <f t="shared" si="114"/>
        <v>14044.76129248227</v>
      </c>
      <c r="W527" s="1">
        <f t="shared" si="115"/>
        <v>609.20485501698306</v>
      </c>
      <c r="X527" s="1"/>
      <c r="Y527" s="1"/>
      <c r="Z527" s="1"/>
      <c r="AA527" s="1"/>
      <c r="AB527" s="1"/>
      <c r="AC527" s="1"/>
      <c r="AD527" s="1"/>
      <c r="AE527" s="1"/>
    </row>
    <row r="528" spans="1:31" ht="22.05" customHeight="1">
      <c r="A528" s="1">
        <f>'01 Traffic inputs'!B478</f>
        <v>0.9999902205863237</v>
      </c>
      <c r="B528" s="1">
        <f>'01 Traffic inputs'!C478</f>
        <v>2.509705173370926E-5</v>
      </c>
      <c r="C528" s="1">
        <f>IF('01 Traffic inputs'!$B$16&lt;=2/3,(4*A528*(1-A528))^$B$16,1-ABS(2*A528-1)^$B$17)</f>
        <v>1.07147632316534E-15</v>
      </c>
      <c r="D528" s="1">
        <f>IF('01 Traffic inputs'!$B$16&lt;=2/3,4*$B$16*(1-2*A528)*(4*A528*(1-A528))^($B$16-1),-2*$B$17*SIGN(2*A528-1)*ABS(2*A528-1)^($B$17-1))</f>
        <v>-3.7211960189413646E-10</v>
      </c>
      <c r="E528" s="1">
        <f t="shared" si="103"/>
        <v>0.12019605501509069</v>
      </c>
      <c r="F528" s="1">
        <f t="shared" si="104"/>
        <v>1.6209128967613833E-2</v>
      </c>
      <c r="G528" s="1">
        <f t="shared" si="105"/>
        <v>1.9482733571380125E-3</v>
      </c>
      <c r="H528" s="1">
        <f>'01 Traffic inputs'!$B$8/F528</f>
        <v>64.161374869554152</v>
      </c>
      <c r="I528" s="1">
        <f>MATCH(H528,'02 Emission rates'!$A$7:$A$15,1)</f>
        <v>6</v>
      </c>
      <c r="J528" s="1">
        <f>INDEX('02 Emission rates'!$D$7:$D$15,I528)</f>
        <v>20615.635195313702</v>
      </c>
      <c r="K528" s="1">
        <f>INDEX('02 Emission rates'!$E$7:$E$15,I528)</f>
        <v>30.344373182827162</v>
      </c>
      <c r="L528" s="1">
        <f>INDEX('02 Emission rates'!$F$7:$F$15,I528)</f>
        <v>135.13776314017983</v>
      </c>
      <c r="M528" s="1">
        <f>INDEX('02 Emission rates'!$G$7:$G$15,I528)</f>
        <v>5.4702300406244557</v>
      </c>
      <c r="N528" s="1">
        <f t="shared" si="106"/>
        <v>40.164892791506389</v>
      </c>
      <c r="O528" s="1">
        <f t="shared" si="107"/>
        <v>5.9119133811155349E-2</v>
      </c>
      <c r="P528" s="1">
        <f t="shared" si="108"/>
        <v>0.26328530346923973</v>
      </c>
      <c r="Q528" s="1">
        <f t="shared" si="109"/>
        <v>1.0657503445564615E-2</v>
      </c>
      <c r="R528" s="1">
        <f>$B$7</f>
        <v>4789.2500000000009</v>
      </c>
      <c r="S528" s="1">
        <f t="shared" si="111"/>
        <v>197.03997530726926</v>
      </c>
      <c r="T528" s="1">
        <f t="shared" si="112"/>
        <v>1657639.9683339763</v>
      </c>
      <c r="U528" s="1">
        <f t="shared" si="113"/>
        <v>1360.9023370982427</v>
      </c>
      <c r="V528" s="1">
        <f t="shared" si="114"/>
        <v>14045.024577785738</v>
      </c>
      <c r="W528" s="1">
        <f t="shared" si="115"/>
        <v>609.21551252042866</v>
      </c>
      <c r="X528" s="1"/>
      <c r="Y528" s="1"/>
      <c r="Z528" s="1"/>
      <c r="AA528" s="1"/>
      <c r="AB528" s="1"/>
      <c r="AC528" s="1"/>
      <c r="AD528" s="1"/>
      <c r="AE528" s="1"/>
    </row>
    <row r="529" spans="1:31" ht="22.0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22.0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</sheetData>
  <mergeCells count="5">
    <mergeCell ref="A1:H1"/>
    <mergeCell ref="A2:H3"/>
    <mergeCell ref="D7:H10"/>
    <mergeCell ref="D12:H16"/>
    <mergeCell ref="D18:H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24D"/>
  </sheetPr>
  <dimension ref="A1:V86"/>
  <sheetViews>
    <sheetView showGridLines="0" topLeftCell="A9" workbookViewId="0">
      <selection sqref="A1:H1"/>
    </sheetView>
  </sheetViews>
  <sheetFormatPr defaultRowHeight="13.8"/>
  <cols>
    <col min="1" max="22" width="15" customWidth="1"/>
  </cols>
  <sheetData>
    <row r="1" spans="1:22" ht="31.05" customHeight="1">
      <c r="A1" s="31" t="s">
        <v>127</v>
      </c>
      <c r="B1" s="31"/>
      <c r="C1" s="31"/>
      <c r="D1" s="31"/>
      <c r="E1" s="31"/>
      <c r="F1" s="31"/>
      <c r="G1" s="3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95" customHeight="1">
      <c r="A2" s="32" t="s">
        <v>128</v>
      </c>
      <c r="B2" s="32"/>
      <c r="C2" s="32"/>
      <c r="D2" s="32"/>
      <c r="E2" s="32"/>
      <c r="F2" s="32"/>
      <c r="G2" s="32"/>
      <c r="H2" s="3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.95" customHeight="1">
      <c r="A3" s="32"/>
      <c r="B3" s="32"/>
      <c r="C3" s="32"/>
      <c r="D3" s="32"/>
      <c r="E3" s="32"/>
      <c r="F3" s="32"/>
      <c r="G3" s="32"/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0.049999999999997" customHeight="1">
      <c r="A6" s="4" t="s">
        <v>129</v>
      </c>
      <c r="B6" s="4" t="s">
        <v>130</v>
      </c>
      <c r="C6" s="4" t="s">
        <v>131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2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2.05" customHeight="1">
      <c r="A8" s="1" t="s">
        <v>132</v>
      </c>
      <c r="B8" s="1">
        <f>IF('01 Traffic inputs'!$B$10&gt;0,INDEX('02 Emission rates'!$D$7:$D$15,MATCH('01 Traffic inputs'!$B$10,'02 Emission rates'!$A$7:$A$15,1)),NA())</f>
        <v>20615.635195313702</v>
      </c>
      <c r="C8" s="1">
        <f>IF('05 Reconstructed R'!$B$15&gt;0,INDEX('02 Emission rates'!$D$7:$D$15,MATCH('05 Reconstructed R'!$B$15,'02 Emission rates'!$A$7:$A$15,1)),NA())</f>
        <v>6931.8463213424902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2.05" customHeight="1">
      <c r="A9" s="1" t="s">
        <v>133</v>
      </c>
      <c r="B9" s="1">
        <f>IF('01 Traffic inputs'!$B$10&gt;0,INDEX('02 Emission rates'!$E$7:$E$15,MATCH('01 Traffic inputs'!$B$10,'02 Emission rates'!$A$7:$A$15,1)),NA())</f>
        <v>30.344373182827162</v>
      </c>
      <c r="C9" s="1">
        <f>IF('05 Reconstructed R'!$B$15&gt;0,INDEX('02 Emission rates'!$E$7:$E$15,MATCH('05 Reconstructed R'!$B$15,'02 Emission rates'!$A$7:$A$15,1)),NA())</f>
        <v>4.0758788464844926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.05" customHeight="1">
      <c r="A10" s="1" t="s">
        <v>134</v>
      </c>
      <c r="B10" s="1">
        <f>IF('01 Traffic inputs'!$B$10&gt;0,INDEX('02 Emission rates'!$F$7:$F$15,MATCH('01 Traffic inputs'!$B$10,'02 Emission rates'!$A$7:$A$15,1)),NA())</f>
        <v>135.13776314017983</v>
      </c>
      <c r="C10" s="1">
        <f>IF('05 Reconstructed R'!$B$15&gt;0,INDEX('02 Emission rates'!$F$7:$F$15,MATCH('05 Reconstructed R'!$B$15,'02 Emission rates'!$A$7:$A$15,1)),NA())</f>
        <v>62.680628166186985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.05" customHeight="1">
      <c r="A11" s="1" t="s">
        <v>135</v>
      </c>
      <c r="B11" s="1">
        <f>IF('01 Traffic inputs'!$B$10&gt;0,INDEX('02 Emission rates'!$G$7:$G$15,MATCH('01 Traffic inputs'!$B$10,'02 Emission rates'!$A$7:$A$15,1)),NA())</f>
        <v>5.4702300406244557</v>
      </c>
      <c r="C11" s="1">
        <f>IF('05 Reconstructed R'!$B$15&gt;0,INDEX('02 Emission rates'!$G$7:$G$15,MATCH('05 Reconstructed R'!$B$15,'02 Emission rates'!$A$7:$A$15,1)),NA())</f>
        <v>2.7514068118353263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.05" customHeight="1">
      <c r="A13" s="32" t="s">
        <v>136</v>
      </c>
      <c r="B13" s="32"/>
      <c r="C13" s="32"/>
      <c r="D13" s="32"/>
      <c r="E13" s="32"/>
      <c r="F13" s="32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.0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.0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.05" customHeight="1">
      <c r="A18" s="32" t="s">
        <v>137</v>
      </c>
      <c r="B18" s="32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.0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.0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0.049999999999997" customHeight="1">
      <c r="A23" s="4" t="s">
        <v>45</v>
      </c>
      <c r="B23" s="4" t="s">
        <v>46</v>
      </c>
      <c r="C23" s="4" t="s">
        <v>138</v>
      </c>
      <c r="D23" s="4" t="s">
        <v>139</v>
      </c>
      <c r="E23" s="4" t="s">
        <v>68</v>
      </c>
      <c r="F23" s="4" t="s">
        <v>69</v>
      </c>
      <c r="G23" s="4" t="s">
        <v>140</v>
      </c>
      <c r="H23" s="4" t="s">
        <v>141</v>
      </c>
      <c r="I23" s="4" t="s">
        <v>142</v>
      </c>
      <c r="J23" s="4" t="s">
        <v>71</v>
      </c>
      <c r="K23" s="4" t="s">
        <v>143</v>
      </c>
      <c r="L23" s="4" t="s">
        <v>144</v>
      </c>
      <c r="M23" s="4" t="s">
        <v>145</v>
      </c>
      <c r="N23" s="4" t="s">
        <v>73</v>
      </c>
      <c r="O23" s="4" t="s">
        <v>146</v>
      </c>
      <c r="P23" s="4" t="s">
        <v>147</v>
      </c>
      <c r="Q23" s="4" t="s">
        <v>148</v>
      </c>
      <c r="R23" s="4" t="s">
        <v>75</v>
      </c>
      <c r="S23" s="4" t="s">
        <v>149</v>
      </c>
      <c r="T23" s="4" t="s">
        <v>150</v>
      </c>
      <c r="U23" s="4" t="s">
        <v>151</v>
      </c>
      <c r="V23" s="4" t="s">
        <v>77</v>
      </c>
    </row>
    <row r="24" spans="1:22" ht="22.05" customHeight="1">
      <c r="A24" s="18">
        <f>'03 Recorded O'!A11</f>
        <v>0.61458333333333337</v>
      </c>
      <c r="B24" s="15">
        <f>'03 Recorded O'!B11</f>
        <v>125.54166666666664</v>
      </c>
      <c r="C24" s="15">
        <f>('05 Reconstructed R'!$B$10-'05 Reconstructed R'!$B$15*('05 Reconstructed R'!E24/B24-'05 Reconstructed R'!$B$10)/('01 Traffic inputs'!$B$10-'05 Reconstructed R'!$B$15))*60</f>
        <v>0.97245517401529968</v>
      </c>
      <c r="D24" s="15">
        <f>'01 Traffic inputs'!$B$10*('05 Reconstructed R'!E24/B24-'05 Reconstructed R'!$B$10)/('01 Traffic inputs'!$B$10-'05 Reconstructed R'!$B$15)*60</f>
        <v>4.3633018223175358E-4</v>
      </c>
      <c r="E24" s="15">
        <f>'05 Reconstructed R'!D24</f>
        <v>64.138703782258361</v>
      </c>
      <c r="F24" s="26">
        <f t="shared" ref="F24:F55" si="0">B24*(C24+D24)/60</f>
        <v>2.0356403487133066</v>
      </c>
      <c r="G24" s="26">
        <f t="shared" ref="G24:G55" si="1">B24*C24/60*$B$8</f>
        <v>41947.197561340967</v>
      </c>
      <c r="H24" s="26">
        <f t="shared" ref="H24:H55" si="2">B24*D24/60*$C$8</f>
        <v>6.328500531092609</v>
      </c>
      <c r="I24" s="26">
        <f t="shared" ref="I24:I55" si="3">J24/F24</f>
        <v>20609.498179965907</v>
      </c>
      <c r="J24" s="26">
        <f t="shared" ref="J24:J55" si="4">G24+H24</f>
        <v>41953.526061872057</v>
      </c>
      <c r="K24" s="26">
        <f t="shared" ref="K24:K55" si="5">B24*C24/60*$B$9</f>
        <v>61.742527199183833</v>
      </c>
      <c r="L24" s="26">
        <f t="shared" ref="L24:L55" si="6">B24*D24/60*$C$9</f>
        <v>3.7211155944453602E-3</v>
      </c>
      <c r="M24" s="26">
        <f t="shared" ref="M24:M55" si="7">N24/F24</f>
        <v>30.332592077872217</v>
      </c>
      <c r="N24" s="26">
        <f t="shared" ref="N24:N55" si="8">K24+L24</f>
        <v>61.746248314778278</v>
      </c>
      <c r="O24" s="26">
        <f t="shared" ref="O24:O55" si="9">B24*C24/60*$B$10</f>
        <v>274.96850786957123</v>
      </c>
      <c r="P24" s="26">
        <f t="shared" ref="P24:P55" si="10">B24*D24/60*$C$10</f>
        <v>5.7224925402285721E-2</v>
      </c>
      <c r="Q24" s="26">
        <f t="shared" ref="Q24:Q55" si="11">R24/F24</f>
        <v>135.10526698334144</v>
      </c>
      <c r="R24" s="26">
        <f t="shared" ref="R24:R55" si="12">O24+P24</f>
        <v>275.02573279497352</v>
      </c>
      <c r="S24" s="26">
        <f t="shared" ref="S24:S55" si="13">B24*C24/60*$B$11</f>
        <v>11.130426884552982</v>
      </c>
      <c r="T24" s="26">
        <f t="shared" ref="T24:T55" si="14">B24*D24/60*$C$11</f>
        <v>2.5119252018529245E-3</v>
      </c>
      <c r="U24" s="26">
        <f t="shared" ref="U24:U55" si="15">V24/F24</f>
        <v>5.4690106809838852</v>
      </c>
      <c r="V24" s="26">
        <f t="shared" ref="V24:V55" si="16">S24+T24</f>
        <v>11.132938809754835</v>
      </c>
    </row>
    <row r="25" spans="1:22" ht="22.05" customHeight="1">
      <c r="A25" s="19">
        <f>'03 Recorded O'!A12</f>
        <v>0.61805555555555558</v>
      </c>
      <c r="B25" s="16">
        <f>'03 Recorded O'!B12</f>
        <v>120.22916666666664</v>
      </c>
      <c r="C25" s="16">
        <f>('05 Reconstructed R'!$B$10-'05 Reconstructed R'!$B$15*('05 Reconstructed R'!E25/B25-'05 Reconstructed R'!$B$10)/('01 Traffic inputs'!$B$10-'05 Reconstructed R'!$B$15))*60</f>
        <v>0.97092515267879165</v>
      </c>
      <c r="D25" s="16">
        <f>'01 Traffic inputs'!$B$10*('05 Reconstructed R'!E25/B25-'05 Reconstructed R'!$B$10)/('01 Traffic inputs'!$B$10-'05 Reconstructed R'!$B$15)*60</f>
        <v>7.6485745653319297E-3</v>
      </c>
      <c r="E25" s="16">
        <f>'05 Reconstructed R'!D25</f>
        <v>63.766273570140903</v>
      </c>
      <c r="F25" s="27">
        <f t="shared" si="0"/>
        <v>1.9608850624742487</v>
      </c>
      <c r="G25" s="27">
        <f t="shared" si="1"/>
        <v>40108.928411051202</v>
      </c>
      <c r="H25" s="27">
        <f t="shared" si="2"/>
        <v>106.23998907359552</v>
      </c>
      <c r="I25" s="27">
        <f t="shared" si="3"/>
        <v>20508.682109792411</v>
      </c>
      <c r="J25" s="27">
        <f t="shared" si="4"/>
        <v>40215.1684001248</v>
      </c>
      <c r="K25" s="27">
        <f t="shared" si="5"/>
        <v>59.036759243047747</v>
      </c>
      <c r="L25" s="27">
        <f t="shared" si="6"/>
        <v>6.2468396447650676E-2</v>
      </c>
      <c r="M25" s="27">
        <f t="shared" si="7"/>
        <v>30.139057495253635</v>
      </c>
      <c r="N25" s="27">
        <f t="shared" si="8"/>
        <v>59.099227639495396</v>
      </c>
      <c r="O25" s="27">
        <f t="shared" si="9"/>
        <v>262.91845078104512</v>
      </c>
      <c r="P25" s="27">
        <f t="shared" si="10"/>
        <v>0.96066602500964338</v>
      </c>
      <c r="Q25" s="27">
        <f t="shared" si="11"/>
        <v>134.57143504020146</v>
      </c>
      <c r="R25" s="27">
        <f t="shared" si="12"/>
        <v>263.87911680605475</v>
      </c>
      <c r="S25" s="27">
        <f t="shared" si="13"/>
        <v>10.642653646745876</v>
      </c>
      <c r="T25" s="27">
        <f t="shared" si="14"/>
        <v>4.2169058007880046E-2</v>
      </c>
      <c r="U25" s="27">
        <f t="shared" si="15"/>
        <v>5.4489796007072568</v>
      </c>
      <c r="V25" s="27">
        <f t="shared" si="16"/>
        <v>10.684822704753756</v>
      </c>
    </row>
    <row r="26" spans="1:22" ht="22.05" customHeight="1">
      <c r="A26" s="19">
        <f>'03 Recorded O'!A13</f>
        <v>0.62152777777777779</v>
      </c>
      <c r="B26" s="16">
        <f>'03 Recorded O'!B13</f>
        <v>116.20833333333346</v>
      </c>
      <c r="C26" s="16">
        <f>('05 Reconstructed R'!$B$10-'05 Reconstructed R'!$B$15*('05 Reconstructed R'!E26/B26-'05 Reconstructed R'!$B$10)/('01 Traffic inputs'!$B$10-'05 Reconstructed R'!$B$15))*60</f>
        <v>0.96526411884132091</v>
      </c>
      <c r="D26" s="16">
        <f>'01 Traffic inputs'!$B$10*('05 Reconstructed R'!E26/B26-'05 Reconstructed R'!$B$10)/('01 Traffic inputs'!$B$10-'05 Reconstructed R'!$B$15)*60</f>
        <v>3.4333666153677819E-2</v>
      </c>
      <c r="E26" s="16">
        <f>'05 Reconstructed R'!D26</f>
        <v>62.425108315254455</v>
      </c>
      <c r="F26" s="27">
        <f t="shared" si="0"/>
        <v>1.9360265432993435</v>
      </c>
      <c r="G26" s="27">
        <f t="shared" si="1"/>
        <v>38541.525953396806</v>
      </c>
      <c r="H26" s="27">
        <f t="shared" si="2"/>
        <v>460.95138897216879</v>
      </c>
      <c r="I26" s="27">
        <f t="shared" si="3"/>
        <v>20145.631513864275</v>
      </c>
      <c r="J26" s="27">
        <f t="shared" si="4"/>
        <v>39002.477342368977</v>
      </c>
      <c r="K26" s="27">
        <f t="shared" si="5"/>
        <v>56.729682858927546</v>
      </c>
      <c r="L26" s="27">
        <f t="shared" si="6"/>
        <v>0.2710363052603631</v>
      </c>
      <c r="M26" s="27">
        <f t="shared" si="7"/>
        <v>29.442116566774054</v>
      </c>
      <c r="N26" s="27">
        <f t="shared" si="8"/>
        <v>57.000719164187906</v>
      </c>
      <c r="O26" s="27">
        <f t="shared" si="9"/>
        <v>252.64395474630808</v>
      </c>
      <c r="P26" s="27">
        <f t="shared" si="10"/>
        <v>4.1681135552434299</v>
      </c>
      <c r="Q26" s="27">
        <f t="shared" si="11"/>
        <v>132.64904305697004</v>
      </c>
      <c r="R26" s="27">
        <f t="shared" si="12"/>
        <v>256.81206830155151</v>
      </c>
      <c r="S26" s="27">
        <f t="shared" si="13"/>
        <v>10.226753194085621</v>
      </c>
      <c r="T26" s="27">
        <f t="shared" si="14"/>
        <v>0.18296204687027101</v>
      </c>
      <c r="U26" s="27">
        <f t="shared" si="15"/>
        <v>5.3768453108167789</v>
      </c>
      <c r="V26" s="27">
        <f t="shared" si="16"/>
        <v>10.409715240955892</v>
      </c>
    </row>
    <row r="27" spans="1:22" ht="22.05" customHeight="1">
      <c r="A27" s="19">
        <f>'03 Recorded O'!A14</f>
        <v>0.625</v>
      </c>
      <c r="B27" s="16">
        <f>'03 Recorded O'!B14</f>
        <v>109.89583333333329</v>
      </c>
      <c r="C27" s="16">
        <f>('05 Reconstructed R'!$B$10-'05 Reconstructed R'!$B$15*('05 Reconstructed R'!E27/B27-'05 Reconstructed R'!$B$10)/('01 Traffic inputs'!$B$10-'05 Reconstructed R'!$B$15))*60</f>
        <v>0.95349595266449982</v>
      </c>
      <c r="D27" s="16">
        <f>'01 Traffic inputs'!$B$10*('05 Reconstructed R'!E27/B27-'05 Reconstructed R'!$B$10)/('01 Traffic inputs'!$B$10-'05 Reconstructed R'!$B$15)*60</f>
        <v>8.9806677139185442E-2</v>
      </c>
      <c r="E27" s="16">
        <f>'05 Reconstructed R'!D27</f>
        <v>59.810066818045705</v>
      </c>
      <c r="F27" s="27">
        <f t="shared" si="0"/>
        <v>1.9109101986855686</v>
      </c>
      <c r="G27" s="27">
        <f t="shared" si="1"/>
        <v>36003.568715205016</v>
      </c>
      <c r="H27" s="27">
        <f t="shared" si="2"/>
        <v>1140.2170472396078</v>
      </c>
      <c r="I27" s="27">
        <f t="shared" si="3"/>
        <v>19437.745315292268</v>
      </c>
      <c r="J27" s="27">
        <f t="shared" si="4"/>
        <v>37143.785762444626</v>
      </c>
      <c r="K27" s="27">
        <f t="shared" si="5"/>
        <v>52.994036548342102</v>
      </c>
      <c r="L27" s="27">
        <f t="shared" si="6"/>
        <v>0.67043992722921009</v>
      </c>
      <c r="M27" s="27">
        <f t="shared" si="7"/>
        <v>28.083201666140436</v>
      </c>
      <c r="N27" s="27">
        <f t="shared" si="8"/>
        <v>53.664476475571313</v>
      </c>
      <c r="O27" s="27">
        <f t="shared" si="9"/>
        <v>236.00736504798866</v>
      </c>
      <c r="P27" s="27">
        <f t="shared" si="10"/>
        <v>10.310315239783334</v>
      </c>
      <c r="Q27" s="27">
        <f t="shared" si="11"/>
        <v>128.90070944056038</v>
      </c>
      <c r="R27" s="27">
        <f t="shared" si="12"/>
        <v>246.31768028777199</v>
      </c>
      <c r="S27" s="27">
        <f t="shared" si="13"/>
        <v>9.5533220921745379</v>
      </c>
      <c r="T27" s="27">
        <f t="shared" si="14"/>
        <v>0.45257797206015343</v>
      </c>
      <c r="U27" s="27">
        <f t="shared" si="15"/>
        <v>5.2361958563606557</v>
      </c>
      <c r="V27" s="27">
        <f t="shared" si="16"/>
        <v>10.005900064234691</v>
      </c>
    </row>
    <row r="28" spans="1:22" ht="22.05" customHeight="1">
      <c r="A28" s="19">
        <f>'03 Recorded O'!A15</f>
        <v>0.62847222222222221</v>
      </c>
      <c r="B28" s="16">
        <f>'03 Recorded O'!B15</f>
        <v>106.89583333333329</v>
      </c>
      <c r="C28" s="16">
        <f>('05 Reconstructed R'!$B$10-'05 Reconstructed R'!$B$15*('05 Reconstructed R'!E28/B28-'05 Reconstructed R'!$B$10)/('01 Traffic inputs'!$B$10-'05 Reconstructed R'!$B$15))*60</f>
        <v>0.93468430995541119</v>
      </c>
      <c r="D28" s="16">
        <f>'01 Traffic inputs'!$B$10*('05 Reconstructed R'!E28/B28-'05 Reconstructed R'!$B$10)/('01 Traffic inputs'!$B$10-'05 Reconstructed R'!$B$15)*60</f>
        <v>0.17848136501979245</v>
      </c>
      <c r="E28" s="16">
        <f>'05 Reconstructed R'!D28</f>
        <v>56.056345791825834</v>
      </c>
      <c r="F28" s="27">
        <f t="shared" si="0"/>
        <v>1.9832128744089472</v>
      </c>
      <c r="G28" s="27">
        <f t="shared" si="1"/>
        <v>34329.794199050455</v>
      </c>
      <c r="H28" s="27">
        <f t="shared" si="2"/>
        <v>2204.2016924503446</v>
      </c>
      <c r="I28" s="27">
        <f t="shared" si="3"/>
        <v>18421.620978226532</v>
      </c>
      <c r="J28" s="27">
        <f t="shared" si="4"/>
        <v>36533.995891500803</v>
      </c>
      <c r="K28" s="27">
        <f t="shared" si="5"/>
        <v>50.530389997512302</v>
      </c>
      <c r="L28" s="27">
        <f t="shared" si="6"/>
        <v>1.2960557166396809</v>
      </c>
      <c r="M28" s="27">
        <f t="shared" si="7"/>
        <v>26.132568209349543</v>
      </c>
      <c r="N28" s="27">
        <f t="shared" si="8"/>
        <v>51.82644571415198</v>
      </c>
      <c r="O28" s="27">
        <f t="shared" si="9"/>
        <v>225.03558843420859</v>
      </c>
      <c r="P28" s="27">
        <f t="shared" si="10"/>
        <v>19.931305496830824</v>
      </c>
      <c r="Q28" s="27">
        <f t="shared" si="11"/>
        <v>123.52022170290034</v>
      </c>
      <c r="R28" s="27">
        <f t="shared" si="12"/>
        <v>244.96689393103941</v>
      </c>
      <c r="S28" s="27">
        <f t="shared" si="13"/>
        <v>9.109196478156024</v>
      </c>
      <c r="T28" s="27">
        <f t="shared" si="14"/>
        <v>0.87489757708481508</v>
      </c>
      <c r="U28" s="27">
        <f t="shared" si="15"/>
        <v>5.0343027640017599</v>
      </c>
      <c r="V28" s="27">
        <f t="shared" si="16"/>
        <v>9.9840940552408384</v>
      </c>
    </row>
    <row r="29" spans="1:22" ht="22.05" customHeight="1">
      <c r="A29" s="19">
        <f>'03 Recorded O'!A16</f>
        <v>0.63194444444444442</v>
      </c>
      <c r="B29" s="16">
        <f>'03 Recorded O'!B16</f>
        <v>104.5208333333334</v>
      </c>
      <c r="C29" s="16">
        <f>('05 Reconstructed R'!$B$10-'05 Reconstructed R'!$B$15*('05 Reconstructed R'!E29/B29-'05 Reconstructed R'!$B$10)/('01 Traffic inputs'!$B$10-'05 Reconstructed R'!$B$15))*60</f>
        <v>0.90836870693100191</v>
      </c>
      <c r="D29" s="16">
        <f>'01 Traffic inputs'!$B$10*('05 Reconstructed R'!E29/B29-'05 Reconstructed R'!$B$10)/('01 Traffic inputs'!$B$10-'05 Reconstructed R'!$B$15)*60</f>
        <v>0.30252836722295606</v>
      </c>
      <c r="E29" s="16">
        <f>'05 Reconstructed R'!D29</f>
        <v>51.532042922475057</v>
      </c>
      <c r="F29" s="27">
        <f t="shared" si="0"/>
        <v>2.109399521191115</v>
      </c>
      <c r="G29" s="27">
        <f t="shared" si="1"/>
        <v>32621.993607182514</v>
      </c>
      <c r="H29" s="27">
        <f t="shared" si="2"/>
        <v>3653.1427464310464</v>
      </c>
      <c r="I29" s="27">
        <f t="shared" si="3"/>
        <v>17196.901767157924</v>
      </c>
      <c r="J29" s="27">
        <f t="shared" si="4"/>
        <v>36275.136353613561</v>
      </c>
      <c r="K29" s="27">
        <f t="shared" si="5"/>
        <v>48.016660103161342</v>
      </c>
      <c r="L29" s="27">
        <f t="shared" si="6"/>
        <v>2.1480232759232409</v>
      </c>
      <c r="M29" s="27">
        <f t="shared" si="7"/>
        <v>23.781499367534742</v>
      </c>
      <c r="N29" s="27">
        <f t="shared" si="8"/>
        <v>50.164683379084586</v>
      </c>
      <c r="O29" s="27">
        <f t="shared" si="9"/>
        <v>213.84076714017587</v>
      </c>
      <c r="P29" s="27">
        <f t="shared" si="10"/>
        <v>33.033231192970348</v>
      </c>
      <c r="Q29" s="27">
        <f t="shared" si="11"/>
        <v>117.03520165480262</v>
      </c>
      <c r="R29" s="27">
        <f t="shared" si="12"/>
        <v>246.87399833314623</v>
      </c>
      <c r="S29" s="27">
        <f t="shared" si="13"/>
        <v>8.6560422574626052</v>
      </c>
      <c r="T29" s="27">
        <f t="shared" si="14"/>
        <v>1.450015100044884</v>
      </c>
      <c r="U29" s="27">
        <f t="shared" si="15"/>
        <v>4.790964090008373</v>
      </c>
      <c r="V29" s="27">
        <f t="shared" si="16"/>
        <v>10.106057357507488</v>
      </c>
    </row>
    <row r="30" spans="1:22" ht="22.05" customHeight="1">
      <c r="A30" s="19">
        <f>'03 Recorded O'!A17</f>
        <v>0.63541666666666663</v>
      </c>
      <c r="B30" s="16">
        <f>'03 Recorded O'!B17</f>
        <v>102.27083333333336</v>
      </c>
      <c r="C30" s="16">
        <f>('05 Reconstructed R'!$B$10-'05 Reconstructed R'!$B$15*('05 Reconstructed R'!E30/B30-'05 Reconstructed R'!$B$10)/('01 Traffic inputs'!$B$10-'05 Reconstructed R'!$B$15))*60</f>
        <v>0.87456973547435979</v>
      </c>
      <c r="D30" s="16">
        <f>'01 Traffic inputs'!$B$10*('05 Reconstructed R'!E30/B30-'05 Reconstructed R'!$B$10)/('01 Traffic inputs'!$B$10-'05 Reconstructed R'!$B$15)*60</f>
        <v>0.4618506173290165</v>
      </c>
      <c r="E30" s="16">
        <f>'05 Reconstructed R'!D30</f>
        <v>46.691895906184207</v>
      </c>
      <c r="F30" s="27">
        <f t="shared" si="0"/>
        <v>2.2779470527471442</v>
      </c>
      <c r="G30" s="27">
        <f t="shared" si="1"/>
        <v>30732.06261480608</v>
      </c>
      <c r="H30" s="27">
        <f t="shared" si="2"/>
        <v>5456.9628683888877</v>
      </c>
      <c r="I30" s="27">
        <f t="shared" si="3"/>
        <v>15886.684213995211</v>
      </c>
      <c r="J30" s="27">
        <f t="shared" si="4"/>
        <v>36189.025483194971</v>
      </c>
      <c r="K30" s="27">
        <f t="shared" si="5"/>
        <v>45.234850531002358</v>
      </c>
      <c r="L30" s="27">
        <f t="shared" si="6"/>
        <v>3.2086573317179394</v>
      </c>
      <c r="M30" s="27">
        <f t="shared" si="7"/>
        <v>21.266301077673734</v>
      </c>
      <c r="N30" s="27">
        <f t="shared" si="8"/>
        <v>48.443507862720296</v>
      </c>
      <c r="O30" s="27">
        <f t="shared" si="9"/>
        <v>201.45206097714149</v>
      </c>
      <c r="P30" s="27">
        <f t="shared" si="10"/>
        <v>49.344120543620051</v>
      </c>
      <c r="Q30" s="27">
        <f t="shared" si="11"/>
        <v>110.09745868250447</v>
      </c>
      <c r="R30" s="27">
        <f t="shared" si="12"/>
        <v>250.79618152076154</v>
      </c>
      <c r="S30" s="27">
        <f t="shared" si="13"/>
        <v>8.154560872520614</v>
      </c>
      <c r="T30" s="27">
        <f t="shared" si="14"/>
        <v>2.1659921631254231</v>
      </c>
      <c r="U30" s="27">
        <f t="shared" si="15"/>
        <v>4.5306378052991718</v>
      </c>
      <c r="V30" s="27">
        <f t="shared" si="16"/>
        <v>10.320553035646038</v>
      </c>
    </row>
    <row r="31" spans="1:22" ht="22.05" customHeight="1">
      <c r="A31" s="19">
        <f>'03 Recorded O'!A18</f>
        <v>0.63888888888888895</v>
      </c>
      <c r="B31" s="16">
        <f>'03 Recorded O'!B18</f>
        <v>102.87499999999991</v>
      </c>
      <c r="C31" s="16">
        <f>('05 Reconstructed R'!$B$10-'05 Reconstructed R'!$B$15*('05 Reconstructed R'!E31/B31-'05 Reconstructed R'!$B$10)/('01 Traffic inputs'!$B$10-'05 Reconstructed R'!$B$15))*60</f>
        <v>0.83351432817928228</v>
      </c>
      <c r="D31" s="16">
        <f>'01 Traffic inputs'!$B$10*('05 Reconstructed R'!E31/B31-'05 Reconstructed R'!$B$10)/('01 Traffic inputs'!$B$10-'05 Reconstructed R'!$B$15)*60</f>
        <v>0.65537839605635062</v>
      </c>
      <c r="E31" s="16">
        <f>'05 Reconstructed R'!D31</f>
        <v>41.910339801033082</v>
      </c>
      <c r="F31" s="27">
        <f t="shared" si="0"/>
        <v>2.552830650095677</v>
      </c>
      <c r="G31" s="27">
        <f t="shared" si="1"/>
        <v>29462.418092092703</v>
      </c>
      <c r="H31" s="27">
        <f t="shared" si="2"/>
        <v>7789.3217759992185</v>
      </c>
      <c r="I31" s="27">
        <f t="shared" si="3"/>
        <v>14592.327096470646</v>
      </c>
      <c r="J31" s="27">
        <f t="shared" si="4"/>
        <v>37251.739868091921</v>
      </c>
      <c r="K31" s="27">
        <f t="shared" si="5"/>
        <v>43.366047225077295</v>
      </c>
      <c r="L31" s="27">
        <f t="shared" si="6"/>
        <v>4.5800686258012044</v>
      </c>
      <c r="M31" s="27">
        <f t="shared" si="7"/>
        <v>18.781549747172434</v>
      </c>
      <c r="N31" s="27">
        <f t="shared" si="8"/>
        <v>47.946115850878499</v>
      </c>
      <c r="O31" s="27">
        <f t="shared" si="9"/>
        <v>193.12940105630287</v>
      </c>
      <c r="P31" s="27">
        <f t="shared" si="10"/>
        <v>70.434276709936185</v>
      </c>
      <c r="Q31" s="27">
        <f t="shared" si="11"/>
        <v>103.24369842408504</v>
      </c>
      <c r="R31" s="27">
        <f t="shared" si="12"/>
        <v>263.56367776623904</v>
      </c>
      <c r="S31" s="27">
        <f t="shared" si="13"/>
        <v>7.8176686281991872</v>
      </c>
      <c r="T31" s="27">
        <f t="shared" si="14"/>
        <v>3.0917582416787965</v>
      </c>
      <c r="U31" s="27">
        <f t="shared" si="15"/>
        <v>4.2734628203673086</v>
      </c>
      <c r="V31" s="27">
        <f t="shared" si="16"/>
        <v>10.909426869877983</v>
      </c>
    </row>
    <row r="32" spans="1:22" ht="22.05" customHeight="1">
      <c r="A32" s="19">
        <f>'03 Recorded O'!A19</f>
        <v>0.64236111111111105</v>
      </c>
      <c r="B32" s="16">
        <f>'03 Recorded O'!B19</f>
        <v>99.374999999999957</v>
      </c>
      <c r="C32" s="16">
        <f>('05 Reconstructed R'!$B$10-'05 Reconstructed R'!$B$15*('05 Reconstructed R'!E32/B32-'05 Reconstructed R'!$B$10)/('01 Traffic inputs'!$B$10-'05 Reconstructed R'!$B$15))*60</f>
        <v>0.78578288541418728</v>
      </c>
      <c r="D32" s="16">
        <f>'01 Traffic inputs'!$B$10*('05 Reconstructed R'!E32/B32-'05 Reconstructed R'!$B$10)/('01 Traffic inputs'!$B$10-'05 Reconstructed R'!$B$15)*60</f>
        <v>0.88037580084125688</v>
      </c>
      <c r="E32" s="16">
        <f>'05 Reconstructed R'!D32</f>
        <v>37.451414751040396</v>
      </c>
      <c r="F32" s="27">
        <f t="shared" si="0"/>
        <v>2.7595753241105783</v>
      </c>
      <c r="G32" s="27">
        <f t="shared" si="1"/>
        <v>26830.278292070408</v>
      </c>
      <c r="H32" s="27">
        <f t="shared" si="2"/>
        <v>10107.480534137558</v>
      </c>
      <c r="I32" s="27">
        <f t="shared" si="3"/>
        <v>13385.305522730439</v>
      </c>
      <c r="J32" s="27">
        <f t="shared" si="4"/>
        <v>36937.758826207966</v>
      </c>
      <c r="K32" s="27">
        <f t="shared" si="5"/>
        <v>39.491772597856276</v>
      </c>
      <c r="L32" s="27">
        <f t="shared" si="6"/>
        <v>5.9431303278469763</v>
      </c>
      <c r="M32" s="27">
        <f t="shared" si="7"/>
        <v>16.464454703858138</v>
      </c>
      <c r="N32" s="27">
        <f t="shared" si="8"/>
        <v>45.434902925703256</v>
      </c>
      <c r="O32" s="27">
        <f t="shared" si="9"/>
        <v>175.87543427442506</v>
      </c>
      <c r="P32" s="27">
        <f t="shared" si="10"/>
        <v>91.396029237784802</v>
      </c>
      <c r="Q32" s="27">
        <f t="shared" si="11"/>
        <v>96.852389270567372</v>
      </c>
      <c r="R32" s="27">
        <f t="shared" si="12"/>
        <v>267.27146351220983</v>
      </c>
      <c r="S32" s="27">
        <f t="shared" si="13"/>
        <v>7.1192467717395713</v>
      </c>
      <c r="T32" s="27">
        <f t="shared" si="14"/>
        <v>4.0118879592721726</v>
      </c>
      <c r="U32" s="27">
        <f t="shared" si="15"/>
        <v>4.033640478575939</v>
      </c>
      <c r="V32" s="27">
        <f t="shared" si="16"/>
        <v>11.131134731011745</v>
      </c>
    </row>
    <row r="33" spans="1:22" ht="22.05" customHeight="1">
      <c r="A33" s="19">
        <f>'03 Recorded O'!A20</f>
        <v>0.64583333333333337</v>
      </c>
      <c r="B33" s="16">
        <f>'03 Recorded O'!B20</f>
        <v>99.312499999999943</v>
      </c>
      <c r="C33" s="16">
        <f>('05 Reconstructed R'!$B$10-'05 Reconstructed R'!$B$15*('05 Reconstructed R'!E33/B33-'05 Reconstructed R'!$B$10)/('01 Traffic inputs'!$B$10-'05 Reconstructed R'!$B$15))*60</f>
        <v>0.73316210050602004</v>
      </c>
      <c r="D33" s="16">
        <f>'01 Traffic inputs'!$B$10*('05 Reconstructed R'!E33/B33-'05 Reconstructed R'!$B$10)/('01 Traffic inputs'!$B$10-'05 Reconstructed R'!$B$15)*60</f>
        <v>1.1284206818717619</v>
      </c>
      <c r="E33" s="16">
        <f>'05 Reconstructed R'!D33</f>
        <v>33.519863092146942</v>
      </c>
      <c r="F33" s="27">
        <f t="shared" si="0"/>
        <v>3.0813073345815565</v>
      </c>
      <c r="G33" s="27">
        <f t="shared" si="1"/>
        <v>25017.815852568281</v>
      </c>
      <c r="H33" s="27">
        <f t="shared" si="2"/>
        <v>12947.103726892845</v>
      </c>
      <c r="I33" s="27">
        <f t="shared" si="3"/>
        <v>12321.04280977762</v>
      </c>
      <c r="J33" s="27">
        <f t="shared" si="4"/>
        <v>37964.91957946113</v>
      </c>
      <c r="K33" s="27">
        <f t="shared" si="5"/>
        <v>36.823989814398217</v>
      </c>
      <c r="L33" s="27">
        <f t="shared" si="6"/>
        <v>7.6128095975247989</v>
      </c>
      <c r="M33" s="27">
        <f t="shared" si="7"/>
        <v>14.421410974883349</v>
      </c>
      <c r="N33" s="27">
        <f t="shared" si="8"/>
        <v>44.436799411923019</v>
      </c>
      <c r="O33" s="27">
        <f t="shared" si="9"/>
        <v>163.99454302225601</v>
      </c>
      <c r="P33" s="27">
        <f t="shared" si="10"/>
        <v>117.07307936642984</v>
      </c>
      <c r="Q33" s="27">
        <f t="shared" si="11"/>
        <v>91.217003651099603</v>
      </c>
      <c r="R33" s="27">
        <f t="shared" si="12"/>
        <v>281.06762238868583</v>
      </c>
      <c r="S33" s="27">
        <f t="shared" si="13"/>
        <v>6.6383211834597695</v>
      </c>
      <c r="T33" s="27">
        <f t="shared" si="14"/>
        <v>5.138998722177738</v>
      </c>
      <c r="U33" s="27">
        <f t="shared" si="15"/>
        <v>3.8221828032083907</v>
      </c>
      <c r="V33" s="27">
        <f t="shared" si="16"/>
        <v>11.777319905637508</v>
      </c>
    </row>
    <row r="34" spans="1:22" ht="22.05" customHeight="1">
      <c r="A34" s="19">
        <f>'03 Recorded O'!A21</f>
        <v>0.64930555555555558</v>
      </c>
      <c r="B34" s="16">
        <f>'03 Recorded O'!B21</f>
        <v>94.520833333333343</v>
      </c>
      <c r="C34" s="16">
        <f>('05 Reconstructed R'!$B$10-'05 Reconstructed R'!$B$15*('05 Reconstructed R'!E34/B34-'05 Reconstructed R'!$B$10)/('01 Traffic inputs'!$B$10-'05 Reconstructed R'!$B$15))*60</f>
        <v>0.67687165856598885</v>
      </c>
      <c r="D34" s="16">
        <f>'01 Traffic inputs'!$B$10*('05 Reconstructed R'!E34/B34-'05 Reconstructed R'!$B$10)/('01 Traffic inputs'!$B$10-'05 Reconstructed R'!$B$15)*60</f>
        <v>1.3937636637093911</v>
      </c>
      <c r="E34" s="16">
        <f>'05 Reconstructed R'!D34</f>
        <v>30.135678324771888</v>
      </c>
      <c r="F34" s="27">
        <f t="shared" si="0"/>
        <v>3.2619696031817358</v>
      </c>
      <c r="G34" s="27">
        <f t="shared" si="1"/>
        <v>21982.614406811015</v>
      </c>
      <c r="H34" s="27">
        <f t="shared" si="2"/>
        <v>15219.989589375127</v>
      </c>
      <c r="I34" s="27">
        <f t="shared" si="3"/>
        <v>11404.951155859515</v>
      </c>
      <c r="J34" s="27">
        <f t="shared" si="4"/>
        <v>37202.603996186139</v>
      </c>
      <c r="K34" s="27">
        <f t="shared" si="5"/>
        <v>32.356444454648582</v>
      </c>
      <c r="L34" s="27">
        <f t="shared" si="6"/>
        <v>8.9492511425201346</v>
      </c>
      <c r="M34" s="27">
        <f t="shared" si="7"/>
        <v>12.662808248390483</v>
      </c>
      <c r="N34" s="27">
        <f t="shared" si="8"/>
        <v>41.305695597168715</v>
      </c>
      <c r="O34" s="27">
        <f t="shared" si="9"/>
        <v>144.09846268451724</v>
      </c>
      <c r="P34" s="27">
        <f t="shared" si="10"/>
        <v>137.62545560301723</v>
      </c>
      <c r="Q34" s="27">
        <f t="shared" si="11"/>
        <v>86.366199737955881</v>
      </c>
      <c r="R34" s="27">
        <f t="shared" si="12"/>
        <v>281.7239182875345</v>
      </c>
      <c r="S34" s="27">
        <f t="shared" si="13"/>
        <v>5.8329494366943644</v>
      </c>
      <c r="T34" s="27">
        <f t="shared" si="14"/>
        <v>6.0411586020503814</v>
      </c>
      <c r="U34" s="27">
        <f t="shared" si="15"/>
        <v>3.6401651404607516</v>
      </c>
      <c r="V34" s="27">
        <f t="shared" si="16"/>
        <v>11.874108038744746</v>
      </c>
    </row>
    <row r="35" spans="1:22" ht="22.05" customHeight="1">
      <c r="A35" s="19">
        <f>'03 Recorded O'!A22</f>
        <v>0.65277777777777779</v>
      </c>
      <c r="B35" s="16">
        <f>'03 Recorded O'!B22</f>
        <v>91.562500000000057</v>
      </c>
      <c r="C35" s="16">
        <f>('05 Reconstructed R'!$B$10-'05 Reconstructed R'!$B$15*('05 Reconstructed R'!E35/B35-'05 Reconstructed R'!$B$10)/('01 Traffic inputs'!$B$10-'05 Reconstructed R'!$B$15))*60</f>
        <v>0.61949679350318998</v>
      </c>
      <c r="D35" s="16">
        <f>'01 Traffic inputs'!$B$10*('05 Reconstructed R'!E35/B35-'05 Reconstructed R'!$B$10)/('01 Traffic inputs'!$B$10-'05 Reconstructed R'!$B$15)*60</f>
        <v>1.6642184203892822</v>
      </c>
      <c r="E35" s="16">
        <f>'05 Reconstructed R'!D35</f>
        <v>27.323897314518355</v>
      </c>
      <c r="F35" s="27">
        <f t="shared" si="0"/>
        <v>3.4850445712004938</v>
      </c>
      <c r="G35" s="27">
        <f t="shared" si="1"/>
        <v>19489.566305009419</v>
      </c>
      <c r="H35" s="27">
        <f t="shared" si="2"/>
        <v>17604.578938743532</v>
      </c>
      <c r="I35" s="27">
        <f t="shared" si="3"/>
        <v>10643.807987504482</v>
      </c>
      <c r="J35" s="27">
        <f t="shared" si="4"/>
        <v>37094.145243752952</v>
      </c>
      <c r="K35" s="27">
        <f t="shared" si="5"/>
        <v>28.686900380595354</v>
      </c>
      <c r="L35" s="27">
        <f t="shared" si="6"/>
        <v>10.351373583797882</v>
      </c>
      <c r="M35" s="27">
        <f t="shared" si="7"/>
        <v>11.201657013799888</v>
      </c>
      <c r="N35" s="27">
        <f t="shared" si="8"/>
        <v>39.038273964393234</v>
      </c>
      <c r="O35" s="27">
        <f t="shared" si="9"/>
        <v>127.75625732986856</v>
      </c>
      <c r="P35" s="27">
        <f t="shared" si="10"/>
        <v>159.18790107683196</v>
      </c>
      <c r="Q35" s="27">
        <f t="shared" si="11"/>
        <v>82.335864734107787</v>
      </c>
      <c r="R35" s="27">
        <f t="shared" si="12"/>
        <v>286.94415840670052</v>
      </c>
      <c r="S35" s="27">
        <f t="shared" si="13"/>
        <v>5.1714346936367779</v>
      </c>
      <c r="T35" s="27">
        <f t="shared" si="14"/>
        <v>6.9876561259613741</v>
      </c>
      <c r="U35" s="27">
        <f t="shared" si="15"/>
        <v>3.4889340928600254</v>
      </c>
      <c r="V35" s="27">
        <f t="shared" si="16"/>
        <v>12.159090819598152</v>
      </c>
    </row>
    <row r="36" spans="1:22" ht="22.05" customHeight="1">
      <c r="A36" s="19">
        <f>'03 Recorded O'!A23</f>
        <v>0.65625</v>
      </c>
      <c r="B36" s="16">
        <f>'03 Recorded O'!B23</f>
        <v>89.708333333333385</v>
      </c>
      <c r="C36" s="16">
        <f>('05 Reconstructed R'!$B$10-'05 Reconstructed R'!$B$15*('05 Reconstructed R'!E36/B36-'05 Reconstructed R'!$B$10)/('01 Traffic inputs'!$B$10-'05 Reconstructed R'!$B$15))*60</f>
        <v>0.56097647988222021</v>
      </c>
      <c r="D36" s="16">
        <f>'01 Traffic inputs'!$B$10*('05 Reconstructed R'!E36/B36-'05 Reconstructed R'!$B$10)/('01 Traffic inputs'!$B$10-'05 Reconstructed R'!$B$15)*60</f>
        <v>1.9400726147977039</v>
      </c>
      <c r="E36" s="16">
        <f>'05 Reconstructed R'!D36</f>
        <v>24.949530232227197</v>
      </c>
      <c r="F36" s="27">
        <f t="shared" si="0"/>
        <v>3.7394157644763051</v>
      </c>
      <c r="G36" s="27">
        <f t="shared" si="1"/>
        <v>17291.111495523517</v>
      </c>
      <c r="H36" s="27">
        <f t="shared" si="2"/>
        <v>20107.054218335445</v>
      </c>
      <c r="I36" s="27">
        <f t="shared" si="3"/>
        <v>10001.071843664455</v>
      </c>
      <c r="J36" s="27">
        <f t="shared" si="4"/>
        <v>37398.165713858965</v>
      </c>
      <c r="K36" s="27">
        <f t="shared" si="5"/>
        <v>25.450971313525624</v>
      </c>
      <c r="L36" s="27">
        <f t="shared" si="6"/>
        <v>11.822812156308482</v>
      </c>
      <c r="M36" s="27">
        <f t="shared" si="7"/>
        <v>9.9678093631437097</v>
      </c>
      <c r="N36" s="27">
        <f t="shared" si="8"/>
        <v>37.273783469834108</v>
      </c>
      <c r="O36" s="27">
        <f t="shared" si="9"/>
        <v>113.34514350756781</v>
      </c>
      <c r="P36" s="27">
        <f t="shared" si="10"/>
        <v>181.81632000358007</v>
      </c>
      <c r="Q36" s="27">
        <f t="shared" si="11"/>
        <v>78.932507670081037</v>
      </c>
      <c r="R36" s="27">
        <f t="shared" si="12"/>
        <v>295.16146351114787</v>
      </c>
      <c r="S36" s="27">
        <f t="shared" si="13"/>
        <v>4.5880884407627054</v>
      </c>
      <c r="T36" s="27">
        <f t="shared" si="14"/>
        <v>7.9809452457041825</v>
      </c>
      <c r="U36" s="27">
        <f t="shared" si="15"/>
        <v>3.3612292609637504</v>
      </c>
      <c r="V36" s="27">
        <f t="shared" si="16"/>
        <v>12.569033686466888</v>
      </c>
    </row>
    <row r="37" spans="1:22" ht="22.05" customHeight="1">
      <c r="A37" s="19">
        <f>'03 Recorded O'!A24</f>
        <v>0.65972222222222221</v>
      </c>
      <c r="B37" s="16">
        <f>'03 Recorded O'!B24</f>
        <v>90.104166666666686</v>
      </c>
      <c r="C37" s="16">
        <f>('05 Reconstructed R'!$B$10-'05 Reconstructed R'!$B$15*('05 Reconstructed R'!E37/B37-'05 Reconstructed R'!$B$10)/('01 Traffic inputs'!$B$10-'05 Reconstructed R'!$B$15))*60</f>
        <v>0.50174212394879825</v>
      </c>
      <c r="D37" s="16">
        <f>'01 Traffic inputs'!$B$10*('05 Reconstructed R'!E37/B37-'05 Reconstructed R'!$B$10)/('01 Traffic inputs'!$B$10-'05 Reconstructed R'!$B$15)*60</f>
        <v>2.2192926757691591</v>
      </c>
      <c r="E37" s="16">
        <f>'05 Reconstructed R'!D37</f>
        <v>22.932452023939263</v>
      </c>
      <c r="F37" s="27">
        <f t="shared" si="0"/>
        <v>4.0862762183264474</v>
      </c>
      <c r="G37" s="27">
        <f t="shared" si="1"/>
        <v>15533.556753254354</v>
      </c>
      <c r="H37" s="27">
        <f t="shared" si="2"/>
        <v>23102.401634537422</v>
      </c>
      <c r="I37" s="27">
        <f t="shared" si="3"/>
        <v>9455.0530418169583</v>
      </c>
      <c r="J37" s="27">
        <f t="shared" si="4"/>
        <v>38635.958387791776</v>
      </c>
      <c r="K37" s="27">
        <f t="shared" si="5"/>
        <v>22.864007754877363</v>
      </c>
      <c r="L37" s="27">
        <f t="shared" si="6"/>
        <v>13.584056218223168</v>
      </c>
      <c r="M37" s="27">
        <f t="shared" si="7"/>
        <v>8.9196280490377617</v>
      </c>
      <c r="N37" s="27">
        <f t="shared" si="8"/>
        <v>36.448063973100531</v>
      </c>
      <c r="O37" s="27">
        <f t="shared" si="9"/>
        <v>101.82417826849236</v>
      </c>
      <c r="P37" s="27">
        <f t="shared" si="10"/>
        <v>208.90149311906592</v>
      </c>
      <c r="Q37" s="27">
        <f t="shared" si="11"/>
        <v>76.041279342299916</v>
      </c>
      <c r="R37" s="27">
        <f t="shared" si="12"/>
        <v>310.72567138755829</v>
      </c>
      <c r="S37" s="27">
        <f t="shared" si="13"/>
        <v>4.1217322670083201</v>
      </c>
      <c r="T37" s="27">
        <f t="shared" si="14"/>
        <v>9.1698664800623249</v>
      </c>
      <c r="U37" s="27">
        <f t="shared" si="15"/>
        <v>3.2527411356724869</v>
      </c>
      <c r="V37" s="27">
        <f t="shared" si="16"/>
        <v>13.291598747070644</v>
      </c>
    </row>
    <row r="38" spans="1:22" ht="22.05" customHeight="1">
      <c r="A38" s="19">
        <f>'03 Recorded O'!A25</f>
        <v>0.66319444444444442</v>
      </c>
      <c r="B38" s="16">
        <f>'03 Recorded O'!B25</f>
        <v>89.854166666666686</v>
      </c>
      <c r="C38" s="16">
        <f>('05 Reconstructed R'!$B$10-'05 Reconstructed R'!$B$15*('05 Reconstructed R'!E38/B38-'05 Reconstructed R'!$B$10)/('01 Traffic inputs'!$B$10-'05 Reconstructed R'!$B$15))*60</f>
        <v>0.44227441833042952</v>
      </c>
      <c r="D38" s="16">
        <f>'01 Traffic inputs'!$B$10*('05 Reconstructed R'!E38/B38-'05 Reconstructed R'!$B$10)/('01 Traffic inputs'!$B$10-'05 Reconstructed R'!$B$15)*60</f>
        <v>2.4996127050315109</v>
      </c>
      <c r="E38" s="16">
        <f>'05 Reconstructed R'!D38</f>
        <v>21.210874987172019</v>
      </c>
      <c r="F38" s="27">
        <f t="shared" si="0"/>
        <v>4.4056802649514077</v>
      </c>
      <c r="G38" s="27">
        <f t="shared" si="1"/>
        <v>13654.490854956064</v>
      </c>
      <c r="H38" s="27">
        <f t="shared" si="2"/>
        <v>25948.282632501603</v>
      </c>
      <c r="I38" s="27">
        <f t="shared" si="3"/>
        <v>8989.0257816733483</v>
      </c>
      <c r="J38" s="27">
        <f t="shared" si="4"/>
        <v>39602.773487457671</v>
      </c>
      <c r="K38" s="27">
        <f t="shared" si="5"/>
        <v>20.098190630501342</v>
      </c>
      <c r="L38" s="27">
        <f t="shared" si="6"/>
        <v>15.257415035123183</v>
      </c>
      <c r="M38" s="27">
        <f t="shared" si="7"/>
        <v>8.0250048890042365</v>
      </c>
      <c r="N38" s="27">
        <f t="shared" si="8"/>
        <v>35.355605665624523</v>
      </c>
      <c r="O38" s="27">
        <f t="shared" si="9"/>
        <v>89.506693995839584</v>
      </c>
      <c r="P38" s="27">
        <f t="shared" si="10"/>
        <v>234.63512891670183</v>
      </c>
      <c r="Q38" s="27">
        <f t="shared" si="11"/>
        <v>73.573614837915741</v>
      </c>
      <c r="R38" s="27">
        <f t="shared" si="12"/>
        <v>324.14182291254144</v>
      </c>
      <c r="S38" s="27">
        <f t="shared" si="13"/>
        <v>3.623133866920174</v>
      </c>
      <c r="T38" s="27">
        <f t="shared" si="14"/>
        <v>10.299461107595109</v>
      </c>
      <c r="U38" s="27">
        <f t="shared" si="15"/>
        <v>3.1601464784619004</v>
      </c>
      <c r="V38" s="27">
        <f t="shared" si="16"/>
        <v>13.922594974515283</v>
      </c>
    </row>
    <row r="39" spans="1:22" ht="22.05" customHeight="1">
      <c r="A39" s="19">
        <f>'03 Recorded O'!A26</f>
        <v>0.66666666666666663</v>
      </c>
      <c r="B39" s="16">
        <f>'03 Recorded O'!B26</f>
        <v>85.437500000000014</v>
      </c>
      <c r="C39" s="16">
        <f>('05 Reconstructed R'!$B$10-'05 Reconstructed R'!$B$15*('05 Reconstructed R'!E39/B39-'05 Reconstructed R'!$B$10)/('01 Traffic inputs'!$B$10-'05 Reconstructed R'!$B$15))*60</f>
        <v>0.38528909206231943</v>
      </c>
      <c r="D39" s="16">
        <f>'01 Traffic inputs'!$B$10*('05 Reconstructed R'!E39/B39-'05 Reconstructed R'!$B$10)/('01 Traffic inputs'!$B$10-'05 Reconstructed R'!$B$15)*60</f>
        <v>2.7682312461522081</v>
      </c>
      <c r="E39" s="16">
        <f>'05 Reconstructed R'!D39</f>
        <v>19.787410039451689</v>
      </c>
      <c r="F39" s="27">
        <f t="shared" si="0"/>
        <v>4.4904815649367285</v>
      </c>
      <c r="G39" s="27">
        <f t="shared" si="1"/>
        <v>11310.471660693538</v>
      </c>
      <c r="H39" s="27">
        <f t="shared" si="2"/>
        <v>27324.270358565595</v>
      </c>
      <c r="I39" s="27">
        <f t="shared" si="3"/>
        <v>8603.6968330819764</v>
      </c>
      <c r="J39" s="27">
        <f t="shared" si="4"/>
        <v>38634.742019259131</v>
      </c>
      <c r="K39" s="27">
        <f t="shared" si="5"/>
        <v>16.648003793930787</v>
      </c>
      <c r="L39" s="27">
        <f t="shared" si="6"/>
        <v>16.066486530031966</v>
      </c>
      <c r="M39" s="27">
        <f t="shared" si="7"/>
        <v>7.2852966549087039</v>
      </c>
      <c r="N39" s="27">
        <f t="shared" si="8"/>
        <v>32.71449032396275</v>
      </c>
      <c r="O39" s="27">
        <f t="shared" si="9"/>
        <v>74.141389571831795</v>
      </c>
      <c r="P39" s="27">
        <f t="shared" si="10"/>
        <v>247.07738037763016</v>
      </c>
      <c r="Q39" s="27">
        <f t="shared" si="11"/>
        <v>71.533256579350407</v>
      </c>
      <c r="R39" s="27">
        <f t="shared" si="12"/>
        <v>321.21876994946194</v>
      </c>
      <c r="S39" s="27">
        <f t="shared" si="13"/>
        <v>3.0011630136927194</v>
      </c>
      <c r="T39" s="27">
        <f t="shared" si="14"/>
        <v>10.845621802306104</v>
      </c>
      <c r="U39" s="27">
        <f t="shared" si="15"/>
        <v>3.0835857169795391</v>
      </c>
      <c r="V39" s="27">
        <f t="shared" si="16"/>
        <v>13.846784815998824</v>
      </c>
    </row>
    <row r="40" spans="1:22" ht="22.05" customHeight="1">
      <c r="A40" s="19">
        <f>'03 Recorded O'!A27</f>
        <v>0.67013888888888884</v>
      </c>
      <c r="B40" s="16">
        <f>'03 Recorded O'!B27</f>
        <v>79.791666666666671</v>
      </c>
      <c r="C40" s="16">
        <f>('05 Reconstructed R'!$B$10-'05 Reconstructed R'!$B$15*('05 Reconstructed R'!E40/B40-'05 Reconstructed R'!$B$10)/('01 Traffic inputs'!$B$10-'05 Reconstructed R'!$B$15))*60</f>
        <v>0.33263869620107694</v>
      </c>
      <c r="D40" s="16">
        <f>'01 Traffic inputs'!$B$10*('05 Reconstructed R'!E40/B40-'05 Reconstructed R'!$B$10)/('01 Traffic inputs'!$B$10-'05 Reconstructed R'!$B$15)*60</f>
        <v>3.016415707870185</v>
      </c>
      <c r="E40" s="16">
        <f>'05 Reconstructed R'!D40</f>
        <v>18.63212491386971</v>
      </c>
      <c r="F40" s="27">
        <f t="shared" si="0"/>
        <v>4.4537772109697693</v>
      </c>
      <c r="G40" s="27">
        <f t="shared" si="1"/>
        <v>9119.5997183129475</v>
      </c>
      <c r="H40" s="27">
        <f t="shared" si="2"/>
        <v>27806.504996929809</v>
      </c>
      <c r="I40" s="27">
        <f t="shared" si="3"/>
        <v>8290.9635947421884</v>
      </c>
      <c r="J40" s="27">
        <f t="shared" si="4"/>
        <v>36926.104715242756</v>
      </c>
      <c r="K40" s="27">
        <f t="shared" si="5"/>
        <v>13.423236029777962</v>
      </c>
      <c r="L40" s="27">
        <f t="shared" si="6"/>
        <v>16.350037242271377</v>
      </c>
      <c r="M40" s="27">
        <f t="shared" si="7"/>
        <v>6.6849489459681521</v>
      </c>
      <c r="N40" s="27">
        <f t="shared" si="8"/>
        <v>29.773273272049337</v>
      </c>
      <c r="O40" s="27">
        <f t="shared" si="9"/>
        <v>59.779982279991671</v>
      </c>
      <c r="P40" s="27">
        <f t="shared" si="10"/>
        <v>251.43794589725192</v>
      </c>
      <c r="Q40" s="27">
        <f t="shared" si="11"/>
        <v>69.877300420574642</v>
      </c>
      <c r="R40" s="27">
        <f t="shared" si="12"/>
        <v>311.21792817724361</v>
      </c>
      <c r="S40" s="27">
        <f t="shared" si="13"/>
        <v>2.4198288272449564</v>
      </c>
      <c r="T40" s="27">
        <f t="shared" si="14"/>
        <v>11.037031652927443</v>
      </c>
      <c r="U40" s="27">
        <f t="shared" si="15"/>
        <v>3.0214489505734146</v>
      </c>
      <c r="V40" s="27">
        <f t="shared" si="16"/>
        <v>13.456860480172399</v>
      </c>
    </row>
    <row r="41" spans="1:22" ht="22.05" customHeight="1">
      <c r="A41" s="19">
        <f>'03 Recorded O'!A28</f>
        <v>0.67361111111111116</v>
      </c>
      <c r="B41" s="16">
        <f>'03 Recorded O'!B28</f>
        <v>74.333333333333343</v>
      </c>
      <c r="C41" s="16">
        <f>('05 Reconstructed R'!$B$10-'05 Reconstructed R'!$B$15*('05 Reconstructed R'!E41/B41-'05 Reconstructed R'!$B$10)/('01 Traffic inputs'!$B$10-'05 Reconstructed R'!$B$15))*60</f>
        <v>0.28554870355204537</v>
      </c>
      <c r="D41" s="16">
        <f>'01 Traffic inputs'!$B$10*('05 Reconstructed R'!E41/B41-'05 Reconstructed R'!$B$10)/('01 Traffic inputs'!$B$10-'05 Reconstructed R'!$B$15)*60</f>
        <v>3.2383894326015983</v>
      </c>
      <c r="E41" s="16">
        <f>'05 Reconstructed R'!D41</f>
        <v>17.707461819437736</v>
      </c>
      <c r="F41" s="27">
        <f t="shared" si="0"/>
        <v>4.3657678020125701</v>
      </c>
      <c r="G41" s="27">
        <f t="shared" si="1"/>
        <v>7293.0513463999741</v>
      </c>
      <c r="H41" s="27">
        <f t="shared" si="2"/>
        <v>27810.599923478858</v>
      </c>
      <c r="I41" s="27">
        <f t="shared" si="3"/>
        <v>8040.6592521243201</v>
      </c>
      <c r="J41" s="27">
        <f t="shared" si="4"/>
        <v>35103.651269878828</v>
      </c>
      <c r="K41" s="27">
        <f t="shared" si="5"/>
        <v>10.734720012264622</v>
      </c>
      <c r="L41" s="27">
        <f t="shared" si="6"/>
        <v>16.352445031441164</v>
      </c>
      <c r="M41" s="27">
        <f t="shared" si="7"/>
        <v>6.2044447327727577</v>
      </c>
      <c r="N41" s="27">
        <f t="shared" si="8"/>
        <v>27.087165043705788</v>
      </c>
      <c r="O41" s="27">
        <f t="shared" si="9"/>
        <v>47.806756186828821</v>
      </c>
      <c r="P41" s="27">
        <f t="shared" si="10"/>
        <v>251.47497392073802</v>
      </c>
      <c r="Q41" s="27">
        <f t="shared" si="11"/>
        <v>68.551911984325258</v>
      </c>
      <c r="R41" s="27">
        <f t="shared" si="12"/>
        <v>299.28173010756683</v>
      </c>
      <c r="S41" s="27">
        <f t="shared" si="13"/>
        <v>1.9351656247760212</v>
      </c>
      <c r="T41" s="27">
        <f t="shared" si="14"/>
        <v>11.038657022025186</v>
      </c>
      <c r="U41" s="27">
        <f t="shared" si="15"/>
        <v>2.9717161413899338</v>
      </c>
      <c r="V41" s="27">
        <f t="shared" si="16"/>
        <v>12.973822646801207</v>
      </c>
    </row>
    <row r="42" spans="1:22" ht="22.05" customHeight="1">
      <c r="A42" s="19">
        <f>'03 Recorded O'!A29</f>
        <v>0.67708333333333337</v>
      </c>
      <c r="B42" s="16">
        <f>'03 Recorded O'!B29</f>
        <v>71.145833333333329</v>
      </c>
      <c r="C42" s="16">
        <f>('05 Reconstructed R'!$B$10-'05 Reconstructed R'!$B$15*('05 Reconstructed R'!E42/B42-'05 Reconstructed R'!$B$10)/('01 Traffic inputs'!$B$10-'05 Reconstructed R'!$B$15))*60</f>
        <v>0.24359686211455525</v>
      </c>
      <c r="D42" s="16">
        <f>'01 Traffic inputs'!$B$10*('05 Reconstructed R'!E42/B42-'05 Reconstructed R'!$B$10)/('01 Traffic inputs'!$B$10-'05 Reconstructed R'!$B$15)*60</f>
        <v>3.4361428400532943</v>
      </c>
      <c r="E42" s="16">
        <f>'05 Reconstructed R'!D42</f>
        <v>16.957721211432279</v>
      </c>
      <c r="F42" s="27">
        <f t="shared" si="0"/>
        <v>4.3633024593413916</v>
      </c>
      <c r="G42" s="27">
        <f t="shared" si="1"/>
        <v>5954.7924689313504</v>
      </c>
      <c r="H42" s="27">
        <f t="shared" si="2"/>
        <v>28243.489642377099</v>
      </c>
      <c r="I42" s="27">
        <f t="shared" si="3"/>
        <v>7837.7060563595287</v>
      </c>
      <c r="J42" s="27">
        <f t="shared" si="4"/>
        <v>34198.28211130845</v>
      </c>
      <c r="K42" s="27">
        <f t="shared" si="5"/>
        <v>8.7649225062255969</v>
      </c>
      <c r="L42" s="27">
        <f t="shared" si="6"/>
        <v>16.606981264116367</v>
      </c>
      <c r="M42" s="27">
        <f t="shared" si="7"/>
        <v>5.8148395640149291</v>
      </c>
      <c r="N42" s="27">
        <f t="shared" si="8"/>
        <v>25.371903770341966</v>
      </c>
      <c r="O42" s="27">
        <f t="shared" si="9"/>
        <v>39.034321600641142</v>
      </c>
      <c r="P42" s="27">
        <f t="shared" si="10"/>
        <v>255.38934222167447</v>
      </c>
      <c r="Q42" s="27">
        <f t="shared" si="11"/>
        <v>67.477252967413293</v>
      </c>
      <c r="R42" s="27">
        <f t="shared" si="12"/>
        <v>294.42366382231563</v>
      </c>
      <c r="S42" s="27">
        <f t="shared" si="13"/>
        <v>1.5800669899628998</v>
      </c>
      <c r="T42" s="27">
        <f t="shared" si="14"/>
        <v>11.210480756443959</v>
      </c>
      <c r="U42" s="27">
        <f t="shared" si="15"/>
        <v>2.9313915011836005</v>
      </c>
      <c r="V42" s="27">
        <f t="shared" si="16"/>
        <v>12.790547746406858</v>
      </c>
    </row>
    <row r="43" spans="1:22" ht="22.05" customHeight="1">
      <c r="A43" s="19">
        <f>'03 Recorded O'!A30</f>
        <v>0.68055555555555547</v>
      </c>
      <c r="B43" s="16">
        <f>'03 Recorded O'!B30</f>
        <v>70.374999999999972</v>
      </c>
      <c r="C43" s="16">
        <f>('05 Reconstructed R'!$B$10-'05 Reconstructed R'!$B$15*('05 Reconstructed R'!E43/B43-'05 Reconstructed R'!$B$10)/('01 Traffic inputs'!$B$10-'05 Reconstructed R'!$B$15))*60</f>
        <v>0.20603777027401676</v>
      </c>
      <c r="D43" s="16">
        <f>'01 Traffic inputs'!$B$10*('05 Reconstructed R'!E43/B43-'05 Reconstructed R'!$B$10)/('01 Traffic inputs'!$B$10-'05 Reconstructed R'!$B$15)*60</f>
        <v>3.6131896188776484</v>
      </c>
      <c r="E43" s="16">
        <f>'05 Reconstructed R'!D43</f>
        <v>16.338383039785864</v>
      </c>
      <c r="F43" s="27">
        <f t="shared" si="0"/>
        <v>4.4796354585258058</v>
      </c>
      <c r="G43" s="27">
        <f t="shared" si="1"/>
        <v>4982.0802567567971</v>
      </c>
      <c r="H43" s="27">
        <f t="shared" si="2"/>
        <v>29376.958999051101</v>
      </c>
      <c r="I43" s="27">
        <f t="shared" si="3"/>
        <v>7670.0525241210235</v>
      </c>
      <c r="J43" s="27">
        <f t="shared" si="4"/>
        <v>34359.039255807897</v>
      </c>
      <c r="K43" s="27">
        <f t="shared" si="5"/>
        <v>7.3331770331378907</v>
      </c>
      <c r="L43" s="27">
        <f t="shared" si="6"/>
        <v>17.273453594840401</v>
      </c>
      <c r="M43" s="27">
        <f t="shared" si="7"/>
        <v>5.492998449493486</v>
      </c>
      <c r="N43" s="27">
        <f t="shared" si="8"/>
        <v>24.606630627978291</v>
      </c>
      <c r="O43" s="27">
        <f t="shared" si="9"/>
        <v>32.658085734656957</v>
      </c>
      <c r="P43" s="27">
        <f t="shared" si="10"/>
        <v>265.63864204598025</v>
      </c>
      <c r="Q43" s="27">
        <f t="shared" si="11"/>
        <v>66.589509468434073</v>
      </c>
      <c r="R43" s="27">
        <f t="shared" si="12"/>
        <v>298.29672778063718</v>
      </c>
      <c r="S43" s="27">
        <f t="shared" si="13"/>
        <v>1.321963879701759</v>
      </c>
      <c r="T43" s="27">
        <f t="shared" si="14"/>
        <v>11.660380417282873</v>
      </c>
      <c r="U43" s="27">
        <f t="shared" si="15"/>
        <v>2.8980805284671458</v>
      </c>
      <c r="V43" s="27">
        <f t="shared" si="16"/>
        <v>12.982344296984632</v>
      </c>
    </row>
    <row r="44" spans="1:22" ht="22.05" customHeight="1">
      <c r="A44" s="19">
        <f>'03 Recorded O'!A31</f>
        <v>0.68402777777777779</v>
      </c>
      <c r="B44" s="16">
        <f>'03 Recorded O'!B31</f>
        <v>72.166666666666643</v>
      </c>
      <c r="C44" s="16">
        <f>('05 Reconstructed R'!$B$10-'05 Reconstructed R'!$B$15*('05 Reconstructed R'!E44/B44-'05 Reconstructed R'!$B$10)/('01 Traffic inputs'!$B$10-'05 Reconstructed R'!$B$15))*60</f>
        <v>0.1704361805188524</v>
      </c>
      <c r="D44" s="16">
        <f>'01 Traffic inputs'!$B$10*('05 Reconstructed R'!E44/B44-'05 Reconstructed R'!$B$10)/('01 Traffic inputs'!$B$10-'05 Reconstructed R'!$B$15)*60</f>
        <v>3.781009086236943</v>
      </c>
      <c r="E44" s="16">
        <f>'05 Reconstructed R'!D44</f>
        <v>15.791690327836102</v>
      </c>
      <c r="F44" s="27">
        <f t="shared" si="0"/>
        <v>4.7527105569590526</v>
      </c>
      <c r="G44" s="27">
        <f t="shared" si="1"/>
        <v>4226.1402852179817</v>
      </c>
      <c r="H44" s="27">
        <f t="shared" si="2"/>
        <v>31524.052526932315</v>
      </c>
      <c r="I44" s="27">
        <f t="shared" si="3"/>
        <v>7522.0639640686431</v>
      </c>
      <c r="J44" s="27">
        <f t="shared" si="4"/>
        <v>35750.192812150301</v>
      </c>
      <c r="K44" s="27">
        <f t="shared" si="5"/>
        <v>6.2205009315834801</v>
      </c>
      <c r="L44" s="27">
        <f t="shared" si="6"/>
        <v>18.535930096197678</v>
      </c>
      <c r="M44" s="27">
        <f t="shared" si="7"/>
        <v>5.2089077866381102</v>
      </c>
      <c r="N44" s="27">
        <f t="shared" si="8"/>
        <v>24.756431027781158</v>
      </c>
      <c r="O44" s="27">
        <f t="shared" si="9"/>
        <v>27.702815821594637</v>
      </c>
      <c r="P44" s="27">
        <f t="shared" si="10"/>
        <v>285.05355184350219</v>
      </c>
      <c r="Q44" s="27">
        <f t="shared" si="11"/>
        <v>65.805894113865222</v>
      </c>
      <c r="R44" s="27">
        <f t="shared" si="12"/>
        <v>312.75636766509683</v>
      </c>
      <c r="S44" s="27">
        <f t="shared" si="13"/>
        <v>1.1213799296054545</v>
      </c>
      <c r="T44" s="27">
        <f t="shared" si="14"/>
        <v>12.512610470345532</v>
      </c>
      <c r="U44" s="27">
        <f t="shared" si="15"/>
        <v>2.8686767764529053</v>
      </c>
      <c r="V44" s="27">
        <f t="shared" si="16"/>
        <v>13.633990399950987</v>
      </c>
    </row>
    <row r="45" spans="1:22" ht="22.05" customHeight="1">
      <c r="A45" s="19">
        <f>'03 Recorded O'!A32</f>
        <v>0.6875</v>
      </c>
      <c r="B45" s="16">
        <f>'03 Recorded O'!B32</f>
        <v>71.500000000000014</v>
      </c>
      <c r="C45" s="16">
        <f>('05 Reconstructed R'!$B$10-'05 Reconstructed R'!$B$15*('05 Reconstructed R'!E45/B45-'05 Reconstructed R'!$B$10)/('01 Traffic inputs'!$B$10-'05 Reconstructed R'!$B$15))*60</f>
        <v>0.13890479140026171</v>
      </c>
      <c r="D45" s="16">
        <f>'01 Traffic inputs'!$B$10*('05 Reconstructed R'!E45/B45-'05 Reconstructed R'!$B$10)/('01 Traffic inputs'!$B$10-'05 Reconstructed R'!$B$15)*60</f>
        <v>3.9296423625420527</v>
      </c>
      <c r="E45" s="16">
        <f>'05 Reconstructed R'!D45</f>
        <v>15.337170159017885</v>
      </c>
      <c r="F45" s="27">
        <f t="shared" si="0"/>
        <v>4.8483520251145924</v>
      </c>
      <c r="G45" s="27">
        <f t="shared" si="1"/>
        <v>3412.469186780158</v>
      </c>
      <c r="H45" s="27">
        <f t="shared" si="2"/>
        <v>32460.615038016338</v>
      </c>
      <c r="I45" s="27">
        <f t="shared" si="3"/>
        <v>7399.0263163592426</v>
      </c>
      <c r="J45" s="27">
        <f t="shared" si="4"/>
        <v>35873.084224796497</v>
      </c>
      <c r="K45" s="27">
        <f t="shared" si="5"/>
        <v>5.0228497689993281</v>
      </c>
      <c r="L45" s="27">
        <f t="shared" si="6"/>
        <v>19.086622530850281</v>
      </c>
      <c r="M45" s="27">
        <f t="shared" si="7"/>
        <v>4.9727148884738366</v>
      </c>
      <c r="N45" s="27">
        <f t="shared" si="8"/>
        <v>24.10947229984961</v>
      </c>
      <c r="O45" s="27">
        <f t="shared" si="9"/>
        <v>22.369112002480886</v>
      </c>
      <c r="P45" s="27">
        <f t="shared" si="10"/>
        <v>293.52233833850903</v>
      </c>
      <c r="Q45" s="27">
        <f t="shared" si="11"/>
        <v>65.154396525801715</v>
      </c>
      <c r="R45" s="27">
        <f t="shared" si="12"/>
        <v>315.89145034098993</v>
      </c>
      <c r="S45" s="27">
        <f t="shared" si="13"/>
        <v>0.90547738555605917</v>
      </c>
      <c r="T45" s="27">
        <f t="shared" si="14"/>
        <v>12.884353344213388</v>
      </c>
      <c r="U45" s="27">
        <f t="shared" si="15"/>
        <v>2.8442305051980048</v>
      </c>
      <c r="V45" s="27">
        <f t="shared" si="16"/>
        <v>13.789830729769447</v>
      </c>
    </row>
    <row r="46" spans="1:22" ht="22.05" customHeight="1">
      <c r="A46" s="19">
        <f>'03 Recorded O'!A33</f>
        <v>0.69097222222222221</v>
      </c>
      <c r="B46" s="16">
        <f>'03 Recorded O'!B33</f>
        <v>67.041666666666657</v>
      </c>
      <c r="C46" s="16">
        <f>('05 Reconstructed R'!$B$10-'05 Reconstructed R'!$B$15*('05 Reconstructed R'!E46/B46-'05 Reconstructed R'!$B$10)/('01 Traffic inputs'!$B$10-'05 Reconstructed R'!$B$15))*60</f>
        <v>0.11216800419384151</v>
      </c>
      <c r="D46" s="16">
        <f>'01 Traffic inputs'!$B$10*('05 Reconstructed R'!E46/B46-'05 Reconstructed R'!$B$10)/('01 Traffic inputs'!$B$10-'05 Reconstructed R'!$B$15)*60</f>
        <v>4.0556747509476674</v>
      </c>
      <c r="E46" s="16">
        <f>'05 Reconstructed R'!D46</f>
        <v>14.97177404858274</v>
      </c>
      <c r="F46" s="27">
        <f t="shared" si="0"/>
        <v>4.6569854118213101</v>
      </c>
      <c r="G46" s="27">
        <f t="shared" si="1"/>
        <v>2583.8022083125456</v>
      </c>
      <c r="H46" s="27">
        <f t="shared" si="2"/>
        <v>31412.723883052357</v>
      </c>
      <c r="I46" s="27">
        <f t="shared" si="3"/>
        <v>7300.1143626235089</v>
      </c>
      <c r="J46" s="27">
        <f t="shared" si="4"/>
        <v>33996.526091364904</v>
      </c>
      <c r="K46" s="27">
        <f t="shared" si="5"/>
        <v>3.8031260107605802</v>
      </c>
      <c r="L46" s="27">
        <f t="shared" si="6"/>
        <v>18.470469605072676</v>
      </c>
      <c r="M46" s="27">
        <f t="shared" si="7"/>
        <v>4.7828355998912668</v>
      </c>
      <c r="N46" s="27">
        <f t="shared" si="8"/>
        <v>22.273595615833255</v>
      </c>
      <c r="O46" s="27">
        <f t="shared" si="9"/>
        <v>16.937108535340531</v>
      </c>
      <c r="P46" s="27">
        <f t="shared" si="10"/>
        <v>284.04687209213489</v>
      </c>
      <c r="Q46" s="27">
        <f t="shared" si="11"/>
        <v>64.630647084153736</v>
      </c>
      <c r="R46" s="27">
        <f t="shared" si="12"/>
        <v>300.98398062747543</v>
      </c>
      <c r="S46" s="27">
        <f t="shared" si="13"/>
        <v>0.68559577840007579</v>
      </c>
      <c r="T46" s="27">
        <f t="shared" si="14"/>
        <v>12.468421609986553</v>
      </c>
      <c r="U46" s="27">
        <f t="shared" si="15"/>
        <v>2.8245777525942897</v>
      </c>
      <c r="V46" s="27">
        <f t="shared" si="16"/>
        <v>13.154017388386629</v>
      </c>
    </row>
    <row r="47" spans="1:22" ht="22.05" customHeight="1">
      <c r="A47" s="19">
        <f>'03 Recorded O'!A34</f>
        <v>0.69444444444444453</v>
      </c>
      <c r="B47" s="16">
        <f>'03 Recorded O'!B34</f>
        <v>64.208333333333343</v>
      </c>
      <c r="C47" s="16">
        <f>('05 Reconstructed R'!$B$10-'05 Reconstructed R'!$B$15*('05 Reconstructed R'!E47/B47-'05 Reconstructed R'!$B$10)/('01 Traffic inputs'!$B$10-'05 Reconstructed R'!$B$15))*60</f>
        <v>9.0788702769731028E-2</v>
      </c>
      <c r="D47" s="16">
        <f>'01 Traffic inputs'!$B$10*('05 Reconstructed R'!E47/B47-'05 Reconstructed R'!$B$10)/('01 Traffic inputs'!$B$10-'05 Reconstructed R'!$B$15)*60</f>
        <v>4.1564529185009178</v>
      </c>
      <c r="E47" s="16">
        <f>'05 Reconstructed R'!D47</f>
        <v>14.691888421768905</v>
      </c>
      <c r="F47" s="27">
        <f t="shared" si="0"/>
        <v>4.5451384294292163</v>
      </c>
      <c r="G47" s="27">
        <f t="shared" si="1"/>
        <v>2002.9434042064104</v>
      </c>
      <c r="H47" s="27">
        <f t="shared" si="2"/>
        <v>30832.727025837823</v>
      </c>
      <c r="I47" s="27">
        <f t="shared" si="3"/>
        <v>7224.3499158215463</v>
      </c>
      <c r="J47" s="27">
        <f t="shared" si="4"/>
        <v>32835.670430044236</v>
      </c>
      <c r="K47" s="27">
        <f t="shared" si="5"/>
        <v>2.9481537457132281</v>
      </c>
      <c r="L47" s="27">
        <f t="shared" si="6"/>
        <v>18.12943536805134</v>
      </c>
      <c r="M47" s="27">
        <f t="shared" si="7"/>
        <v>4.6373921149001207</v>
      </c>
      <c r="N47" s="27">
        <f t="shared" si="8"/>
        <v>21.077589113764567</v>
      </c>
      <c r="O47" s="27">
        <f t="shared" si="9"/>
        <v>13.129514990756149</v>
      </c>
      <c r="P47" s="27">
        <f t="shared" si="10"/>
        <v>278.80230006048311</v>
      </c>
      <c r="Q47" s="27">
        <f t="shared" si="11"/>
        <v>64.229466183255582</v>
      </c>
      <c r="R47" s="27">
        <f t="shared" si="12"/>
        <v>291.93181505123925</v>
      </c>
      <c r="S47" s="27">
        <f t="shared" si="13"/>
        <v>0.53146852258285682</v>
      </c>
      <c r="T47" s="27">
        <f t="shared" si="14"/>
        <v>12.238207720381151</v>
      </c>
      <c r="U47" s="27">
        <f t="shared" si="15"/>
        <v>2.8095241632866261</v>
      </c>
      <c r="V47" s="27">
        <f t="shared" si="16"/>
        <v>12.769676242964008</v>
      </c>
    </row>
    <row r="48" spans="1:22" ht="22.05" customHeight="1">
      <c r="A48" s="19">
        <f>'03 Recorded O'!A35</f>
        <v>0.69791666666666663</v>
      </c>
      <c r="B48" s="16">
        <f>'03 Recorded O'!B35</f>
        <v>65.104166666666657</v>
      </c>
      <c r="C48" s="16">
        <f>('05 Reconstructed R'!$B$10-'05 Reconstructed R'!$B$15*('05 Reconstructed R'!E48/B48-'05 Reconstructed R'!$B$10)/('01 Traffic inputs'!$B$10-'05 Reconstructed R'!$B$15))*60</f>
        <v>7.3306886141308897E-2</v>
      </c>
      <c r="D48" s="16">
        <f>'01 Traffic inputs'!$B$10*('05 Reconstructed R'!E48/B48-'05 Reconstructed R'!$B$10)/('01 Traffic inputs'!$B$10-'05 Reconstructed R'!$B$15)*60</f>
        <v>4.2388590462955076</v>
      </c>
      <c r="E48" s="16">
        <f>'05 Reconstructed R'!D48</f>
        <v>14.470686188260576</v>
      </c>
      <c r="F48" s="27">
        <f t="shared" si="0"/>
        <v>4.6789994926614762</v>
      </c>
      <c r="G48" s="27">
        <f t="shared" si="1"/>
        <v>1639.8307530312734</v>
      </c>
      <c r="H48" s="27">
        <f t="shared" si="2"/>
        <v>31882.725137535643</v>
      </c>
      <c r="I48" s="27">
        <f t="shared" si="3"/>
        <v>7164.4709393842759</v>
      </c>
      <c r="J48" s="27">
        <f t="shared" si="4"/>
        <v>33522.555890566917</v>
      </c>
      <c r="K48" s="27">
        <f t="shared" si="5"/>
        <v>2.4136843640873451</v>
      </c>
      <c r="L48" s="27">
        <f t="shared" si="6"/>
        <v>18.746827170166327</v>
      </c>
      <c r="M48" s="27">
        <f t="shared" si="7"/>
        <v>4.5224436479298049</v>
      </c>
      <c r="N48" s="27">
        <f t="shared" si="8"/>
        <v>21.160511534253672</v>
      </c>
      <c r="O48" s="27">
        <f t="shared" si="9"/>
        <v>10.749271501636644</v>
      </c>
      <c r="P48" s="27">
        <f t="shared" si="10"/>
        <v>288.29681828312357</v>
      </c>
      <c r="Q48" s="27">
        <f t="shared" si="11"/>
        <v>63.912400557807906</v>
      </c>
      <c r="R48" s="27">
        <f t="shared" si="12"/>
        <v>299.04608978476023</v>
      </c>
      <c r="S48" s="27">
        <f t="shared" si="13"/>
        <v>0.43511884847528692</v>
      </c>
      <c r="T48" s="27">
        <f t="shared" si="14"/>
        <v>12.654975753458391</v>
      </c>
      <c r="U48" s="27">
        <f t="shared" si="15"/>
        <v>2.7976268478900521</v>
      </c>
      <c r="V48" s="27">
        <f t="shared" si="16"/>
        <v>13.090094601933679</v>
      </c>
    </row>
    <row r="49" spans="1:22" ht="22.05" customHeight="1">
      <c r="A49" s="19">
        <f>'03 Recorded O'!A36</f>
        <v>0.70138888888888884</v>
      </c>
      <c r="B49" s="16">
        <f>'03 Recorded O'!B36</f>
        <v>69.999999999999986</v>
      </c>
      <c r="C49" s="16">
        <f>('05 Reconstructed R'!$B$10-'05 Reconstructed R'!$B$15*('05 Reconstructed R'!E49/B49-'05 Reconstructed R'!$B$10)/('01 Traffic inputs'!$B$10-'05 Reconstructed R'!$B$15))*60</f>
        <v>5.9763698975577005E-2</v>
      </c>
      <c r="D49" s="16">
        <f>'01 Traffic inputs'!$B$10*('05 Reconstructed R'!E49/B49-'05 Reconstructed R'!$B$10)/('01 Traffic inputs'!$B$10-'05 Reconstructed R'!$B$15)*60</f>
        <v>4.3026991857985655</v>
      </c>
      <c r="E49" s="16">
        <f>'05 Reconstructed R'!D49</f>
        <v>14.303846622464009</v>
      </c>
      <c r="F49" s="27">
        <f t="shared" si="0"/>
        <v>5.0895400322364992</v>
      </c>
      <c r="G49" s="27">
        <f t="shared" si="1"/>
        <v>1437.4110520035449</v>
      </c>
      <c r="H49" s="27">
        <f t="shared" si="2"/>
        <v>34796.591110074631</v>
      </c>
      <c r="I49" s="27">
        <f t="shared" si="3"/>
        <v>7119.3078220382622</v>
      </c>
      <c r="J49" s="27">
        <f t="shared" si="4"/>
        <v>36234.002162078177</v>
      </c>
      <c r="K49" s="27">
        <f t="shared" si="5"/>
        <v>2.1157406485845627</v>
      </c>
      <c r="L49" s="27">
        <f t="shared" si="6"/>
        <v>20.460160693212824</v>
      </c>
      <c r="M49" s="27">
        <f t="shared" si="7"/>
        <v>4.4357449197382275</v>
      </c>
      <c r="N49" s="27">
        <f t="shared" si="8"/>
        <v>22.575901341797387</v>
      </c>
      <c r="O49" s="27">
        <f t="shared" si="9"/>
        <v>9.4223880292996203</v>
      </c>
      <c r="P49" s="27">
        <f t="shared" si="10"/>
        <v>314.64520240532789</v>
      </c>
      <c r="Q49" s="27">
        <f t="shared" si="11"/>
        <v>63.67325699022399</v>
      </c>
      <c r="R49" s="27">
        <f t="shared" si="12"/>
        <v>324.0675904346275</v>
      </c>
      <c r="S49" s="27">
        <f t="shared" si="13"/>
        <v>0.38140804505421133</v>
      </c>
      <c r="T49" s="27">
        <f t="shared" si="14"/>
        <v>13.811555157265232</v>
      </c>
      <c r="U49" s="27">
        <f t="shared" si="15"/>
        <v>2.7886534170913326</v>
      </c>
      <c r="V49" s="27">
        <f t="shared" si="16"/>
        <v>14.192963202319444</v>
      </c>
    </row>
    <row r="50" spans="1:22" ht="22.05" customHeight="1">
      <c r="A50" s="19">
        <f>'03 Recorded O'!A37</f>
        <v>0.70486111111111116</v>
      </c>
      <c r="B50" s="16">
        <f>'03 Recorded O'!B37</f>
        <v>69.583333333333314</v>
      </c>
      <c r="C50" s="16">
        <f>('05 Reconstructed R'!$B$10-'05 Reconstructed R'!$B$15*('05 Reconstructed R'!E50/B50-'05 Reconstructed R'!$B$10)/('01 Traffic inputs'!$B$10-'05 Reconstructed R'!$B$15))*60</f>
        <v>5.0580799466813792E-2</v>
      </c>
      <c r="D50" s="16">
        <f>'01 Traffic inputs'!$B$10*('05 Reconstructed R'!E50/B50-'05 Reconstructed R'!$B$10)/('01 Traffic inputs'!$B$10-'05 Reconstructed R'!$B$15)*60</f>
        <v>4.3459857163993805</v>
      </c>
      <c r="E50" s="16">
        <f>'05 Reconstructed R'!D50</f>
        <v>14.192893425998221</v>
      </c>
      <c r="F50" s="27">
        <f t="shared" si="0"/>
        <v>5.0987958899281542</v>
      </c>
      <c r="G50" s="27">
        <f t="shared" si="1"/>
        <v>1209.3065049936815</v>
      </c>
      <c r="H50" s="27">
        <f t="shared" si="2"/>
        <v>34937.449665545959</v>
      </c>
      <c r="I50" s="27">
        <f t="shared" si="3"/>
        <v>7089.2730265868668</v>
      </c>
      <c r="J50" s="27">
        <f t="shared" si="4"/>
        <v>36146.756170539644</v>
      </c>
      <c r="K50" s="27">
        <f t="shared" si="5"/>
        <v>1.7799911345099027</v>
      </c>
      <c r="L50" s="27">
        <f t="shared" si="6"/>
        <v>20.542984573024508</v>
      </c>
      <c r="M50" s="27">
        <f t="shared" si="7"/>
        <v>4.3780877268748561</v>
      </c>
      <c r="N50" s="27">
        <f t="shared" si="8"/>
        <v>22.322975707534411</v>
      </c>
      <c r="O50" s="27">
        <f t="shared" si="9"/>
        <v>7.9271375578504495</v>
      </c>
      <c r="P50" s="27">
        <f t="shared" si="10"/>
        <v>315.91890385949034</v>
      </c>
      <c r="Q50" s="27">
        <f t="shared" si="11"/>
        <v>63.514219515444076</v>
      </c>
      <c r="R50" s="27">
        <f t="shared" si="12"/>
        <v>323.84604141734081</v>
      </c>
      <c r="S50" s="27">
        <f t="shared" si="13"/>
        <v>0.32088192817084549</v>
      </c>
      <c r="T50" s="27">
        <f t="shared" si="14"/>
        <v>13.867465108389773</v>
      </c>
      <c r="U50" s="27">
        <f t="shared" si="15"/>
        <v>2.7826858228601385</v>
      </c>
      <c r="V50" s="27">
        <f t="shared" si="16"/>
        <v>14.188347036560618</v>
      </c>
    </row>
    <row r="51" spans="1:22" ht="22.05" customHeight="1">
      <c r="A51" s="19">
        <f>'03 Recorded O'!A38</f>
        <v>0.70833333333333337</v>
      </c>
      <c r="B51" s="16">
        <f>'03 Recorded O'!B38</f>
        <v>66.208333333333314</v>
      </c>
      <c r="C51" s="16">
        <f>('05 Reconstructed R'!$B$10-'05 Reconstructed R'!$B$15*('05 Reconstructed R'!E51/B51-'05 Reconstructed R'!$B$10)/('01 Traffic inputs'!$B$10-'05 Reconstructed R'!$B$15))*60</f>
        <v>4.6609480395124886E-2</v>
      </c>
      <c r="D51" s="16">
        <f>'01 Traffic inputs'!$B$10*('05 Reconstructed R'!E51/B51-'05 Reconstructed R'!$B$10)/('01 Traffic inputs'!$B$10-'05 Reconstructed R'!$B$15)*60</f>
        <v>4.3647057976066517</v>
      </c>
      <c r="E51" s="16">
        <f>'05 Reconstructed R'!D51</f>
        <v>14.145441000595854</v>
      </c>
      <c r="F51" s="27">
        <f t="shared" si="0"/>
        <v>4.8677638727394585</v>
      </c>
      <c r="G51" s="27">
        <f t="shared" si="1"/>
        <v>1060.3088518481063</v>
      </c>
      <c r="H51" s="27">
        <f t="shared" si="2"/>
        <v>33386.070524246759</v>
      </c>
      <c r="I51" s="27">
        <f t="shared" si="3"/>
        <v>7076.4277554632672</v>
      </c>
      <c r="J51" s="27">
        <f t="shared" si="4"/>
        <v>34446.379376094868</v>
      </c>
      <c r="K51" s="27">
        <f t="shared" si="5"/>
        <v>1.5606799007021501</v>
      </c>
      <c r="L51" s="27">
        <f t="shared" si="6"/>
        <v>19.630784109862184</v>
      </c>
      <c r="M51" s="27">
        <f t="shared" si="7"/>
        <v>4.3534289182022912</v>
      </c>
      <c r="N51" s="27">
        <f t="shared" si="8"/>
        <v>21.191464010564335</v>
      </c>
      <c r="O51" s="27">
        <f t="shared" si="9"/>
        <v>6.9504415032071032</v>
      </c>
      <c r="P51" s="27">
        <f t="shared" si="10"/>
        <v>301.89069051016139</v>
      </c>
      <c r="Q51" s="27">
        <f t="shared" si="11"/>
        <v>63.4462024222141</v>
      </c>
      <c r="R51" s="27">
        <f t="shared" si="12"/>
        <v>308.84113201336851</v>
      </c>
      <c r="S51" s="27">
        <f t="shared" si="13"/>
        <v>0.28134633149882327</v>
      </c>
      <c r="T51" s="27">
        <f t="shared" si="14"/>
        <v>13.251687588341813</v>
      </c>
      <c r="U51" s="27">
        <f t="shared" si="15"/>
        <v>2.7801336041849902</v>
      </c>
      <c r="V51" s="27">
        <f t="shared" si="16"/>
        <v>13.533033919840637</v>
      </c>
    </row>
    <row r="52" spans="1:22" ht="22.05" customHeight="1">
      <c r="A52" s="19">
        <f>'03 Recorded O'!A39</f>
        <v>0.71180555555555547</v>
      </c>
      <c r="B52" s="16">
        <f>'03 Recorded O'!B39</f>
        <v>60.375</v>
      </c>
      <c r="C52" s="16">
        <f>('05 Reconstructed R'!$B$10-'05 Reconstructed R'!$B$15*('05 Reconstructed R'!E52/B52-'05 Reconstructed R'!$B$10)/('01 Traffic inputs'!$B$10-'05 Reconstructed R'!$B$15))*60</f>
        <v>4.7404127519238108E-2</v>
      </c>
      <c r="D52" s="16">
        <f>'01 Traffic inputs'!$B$10*('05 Reconstructed R'!E52/B52-'05 Reconstructed R'!$B$10)/('01 Traffic inputs'!$B$10-'05 Reconstructed R'!$B$15)*60</f>
        <v>4.3609599745121113</v>
      </c>
      <c r="E52" s="16">
        <f>'05 Reconstructed R'!D52</f>
        <v>14.154910655235501</v>
      </c>
      <c r="F52" s="27">
        <f t="shared" si="0"/>
        <v>4.4359163776690451</v>
      </c>
      <c r="G52" s="27">
        <f t="shared" si="1"/>
        <v>983.37411343679867</v>
      </c>
      <c r="H52" s="27">
        <f t="shared" si="2"/>
        <v>30418.438759073895</v>
      </c>
      <c r="I52" s="27">
        <f t="shared" si="3"/>
        <v>7078.9911709317439</v>
      </c>
      <c r="J52" s="27">
        <f t="shared" si="4"/>
        <v>31401.812872510694</v>
      </c>
      <c r="K52" s="27">
        <f t="shared" si="5"/>
        <v>1.4474388391991511</v>
      </c>
      <c r="L52" s="27">
        <f t="shared" si="6"/>
        <v>17.885836663669966</v>
      </c>
      <c r="M52" s="27">
        <f t="shared" si="7"/>
        <v>4.3583498553298323</v>
      </c>
      <c r="N52" s="27">
        <f t="shared" si="8"/>
        <v>19.333275502869117</v>
      </c>
      <c r="O52" s="27">
        <f t="shared" si="9"/>
        <v>6.4461258050401904</v>
      </c>
      <c r="P52" s="27">
        <f t="shared" si="10"/>
        <v>275.05613380133053</v>
      </c>
      <c r="Q52" s="27">
        <f t="shared" si="11"/>
        <v>63.459775983038845</v>
      </c>
      <c r="R52" s="27">
        <f t="shared" si="12"/>
        <v>281.50225960637073</v>
      </c>
      <c r="S52" s="27">
        <f t="shared" si="13"/>
        <v>0.26093217917036204</v>
      </c>
      <c r="T52" s="27">
        <f t="shared" si="14"/>
        <v>12.073767323638922</v>
      </c>
      <c r="U52" s="27">
        <f t="shared" si="15"/>
        <v>2.7806429275591613</v>
      </c>
      <c r="V52" s="27">
        <f t="shared" si="16"/>
        <v>12.334699502809285</v>
      </c>
    </row>
    <row r="53" spans="1:22" ht="22.05" customHeight="1">
      <c r="A53" s="19">
        <f>'03 Recorded O'!A40</f>
        <v>0.71527777777777779</v>
      </c>
      <c r="B53" s="16">
        <f>'03 Recorded O'!B40</f>
        <v>58.729166666666643</v>
      </c>
      <c r="C53" s="16">
        <f>('05 Reconstructed R'!$B$10-'05 Reconstructed R'!$B$15*('05 Reconstructed R'!E53/B53-'05 Reconstructed R'!$B$10)/('01 Traffic inputs'!$B$10-'05 Reconstructed R'!$B$15))*60</f>
        <v>5.2214458923155183E-2</v>
      </c>
      <c r="D53" s="16">
        <f>'01 Traffic inputs'!$B$10*('05 Reconstructed R'!E53/B53-'05 Reconstructed R'!$B$10)/('01 Traffic inputs'!$B$10-'05 Reconstructed R'!$B$15)*60</f>
        <v>4.3382849406279869</v>
      </c>
      <c r="E53" s="16">
        <f>'05 Reconstructed R'!D53</f>
        <v>14.212506214300047</v>
      </c>
      <c r="F53" s="27">
        <f t="shared" si="0"/>
        <v>4.297506183102314</v>
      </c>
      <c r="G53" s="27">
        <f t="shared" si="1"/>
        <v>1053.6347619200744</v>
      </c>
      <c r="H53" s="27">
        <f t="shared" si="2"/>
        <v>29435.375966730306</v>
      </c>
      <c r="I53" s="27">
        <f t="shared" si="3"/>
        <v>7094.5821668698009</v>
      </c>
      <c r="J53" s="27">
        <f t="shared" si="4"/>
        <v>30489.010728650381</v>
      </c>
      <c r="K53" s="27">
        <f t="shared" si="5"/>
        <v>1.5508562365989946</v>
      </c>
      <c r="L53" s="27">
        <f t="shared" si="6"/>
        <v>17.307802377517007</v>
      </c>
      <c r="M53" s="27">
        <f t="shared" si="7"/>
        <v>4.3882795767153917</v>
      </c>
      <c r="N53" s="27">
        <f t="shared" si="8"/>
        <v>18.858658614116003</v>
      </c>
      <c r="O53" s="27">
        <f t="shared" si="9"/>
        <v>6.9066921074050436</v>
      </c>
      <c r="P53" s="27">
        <f t="shared" si="10"/>
        <v>266.16687248559953</v>
      </c>
      <c r="Q53" s="27">
        <f t="shared" si="11"/>
        <v>63.542331984703814</v>
      </c>
      <c r="R53" s="27">
        <f t="shared" si="12"/>
        <v>273.07356459300456</v>
      </c>
      <c r="S53" s="27">
        <f t="shared" si="13"/>
        <v>0.27957540342058251</v>
      </c>
      <c r="T53" s="27">
        <f t="shared" si="14"/>
        <v>11.683567434903914</v>
      </c>
      <c r="U53" s="27">
        <f t="shared" si="15"/>
        <v>2.7837406925354222</v>
      </c>
      <c r="V53" s="27">
        <f t="shared" si="16"/>
        <v>11.963142838324496</v>
      </c>
    </row>
    <row r="54" spans="1:22" ht="22.05" customHeight="1">
      <c r="A54" s="19">
        <f>'03 Recorded O'!A41</f>
        <v>0.71875</v>
      </c>
      <c r="B54" s="16">
        <f>'03 Recorded O'!B41</f>
        <v>58.291666666666657</v>
      </c>
      <c r="C54" s="16">
        <f>('05 Reconstructed R'!$B$10-'05 Reconstructed R'!$B$15*('05 Reconstructed R'!E54/B54-'05 Reconstructed R'!$B$10)/('01 Traffic inputs'!$B$10-'05 Reconstructed R'!$B$15))*60</f>
        <v>6.076794338800675E-2</v>
      </c>
      <c r="D54" s="16">
        <f>'01 Traffic inputs'!$B$10*('05 Reconstructed R'!E54/B54-'05 Reconstructed R'!$B$10)/('01 Traffic inputs'!$B$10-'05 Reconstructed R'!$B$15)*60</f>
        <v>4.2979653589230944</v>
      </c>
      <c r="E54" s="16">
        <f>'05 Reconstructed R'!D54</f>
        <v>14.316085814866284</v>
      </c>
      <c r="F54" s="27">
        <f t="shared" si="0"/>
        <v>4.2346304791202991</v>
      </c>
      <c r="G54" s="27">
        <f t="shared" si="1"/>
        <v>1217.1006136713991</v>
      </c>
      <c r="H54" s="27">
        <f t="shared" si="2"/>
        <v>28944.567133437078</v>
      </c>
      <c r="I54" s="27">
        <f t="shared" si="3"/>
        <v>7122.6209455173648</v>
      </c>
      <c r="J54" s="27">
        <f t="shared" si="4"/>
        <v>30161.667747108477</v>
      </c>
      <c r="K54" s="27">
        <f t="shared" si="5"/>
        <v>1.7914633661488255</v>
      </c>
      <c r="L54" s="27">
        <f t="shared" si="6"/>
        <v>17.019210096535776</v>
      </c>
      <c r="M54" s="27">
        <f t="shared" si="7"/>
        <v>4.4421050562580193</v>
      </c>
      <c r="N54" s="27">
        <f t="shared" si="8"/>
        <v>18.810673462684601</v>
      </c>
      <c r="O54" s="27">
        <f t="shared" si="9"/>
        <v>7.9782288001235777</v>
      </c>
      <c r="P54" s="27">
        <f t="shared" si="10"/>
        <v>261.72877554083425</v>
      </c>
      <c r="Q54" s="27">
        <f t="shared" si="11"/>
        <v>63.690800335661564</v>
      </c>
      <c r="R54" s="27">
        <f t="shared" si="12"/>
        <v>269.70700434095784</v>
      </c>
      <c r="S54" s="27">
        <f t="shared" si="13"/>
        <v>0.32295004622904788</v>
      </c>
      <c r="T54" s="27">
        <f t="shared" si="14"/>
        <v>11.488754292109025</v>
      </c>
      <c r="U54" s="27">
        <f t="shared" si="15"/>
        <v>2.789311699468954</v>
      </c>
      <c r="V54" s="27">
        <f t="shared" si="16"/>
        <v>11.811704338338073</v>
      </c>
    </row>
    <row r="55" spans="1:22" ht="22.05" customHeight="1">
      <c r="A55" s="19">
        <f>'03 Recorded O'!A42</f>
        <v>0.72222222222222221</v>
      </c>
      <c r="B55" s="16">
        <f>'03 Recorded O'!B42</f>
        <v>61.270833333333336</v>
      </c>
      <c r="C55" s="16">
        <f>('05 Reconstructed R'!$B$10-'05 Reconstructed R'!$B$15*('05 Reconstructed R'!E55/B55-'05 Reconstructed R'!$B$10)/('01 Traffic inputs'!$B$10-'05 Reconstructed R'!$B$15))*60</f>
        <v>7.3329841233068307E-2</v>
      </c>
      <c r="D55" s="16">
        <f>'01 Traffic inputs'!$B$10*('05 Reconstructed R'!E55/B55-'05 Reconstructed R'!$B$10)/('01 Traffic inputs'!$B$10-'05 Reconstructed R'!$B$15)*60</f>
        <v>4.2387508401367731</v>
      </c>
      <c r="E55" s="16">
        <f>'05 Reconstructed R'!D55</f>
        <v>14.4709722778606</v>
      </c>
      <c r="F55" s="27">
        <f t="shared" si="0"/>
        <v>4.4034129458016329</v>
      </c>
      <c r="G55" s="27">
        <f t="shared" si="1"/>
        <v>1543.7607754451199</v>
      </c>
      <c r="H55" s="27">
        <f t="shared" si="2"/>
        <v>30004.704326107425</v>
      </c>
      <c r="I55" s="27">
        <f t="shared" si="3"/>
        <v>7164.5483832334985</v>
      </c>
      <c r="J55" s="27">
        <f t="shared" si="4"/>
        <v>31548.465101552545</v>
      </c>
      <c r="K55" s="27">
        <f t="shared" si="5"/>
        <v>2.2722779400833564</v>
      </c>
      <c r="L55" s="27">
        <f t="shared" si="6"/>
        <v>17.642563609823078</v>
      </c>
      <c r="M55" s="27">
        <f t="shared" si="7"/>
        <v>4.522592315329848</v>
      </c>
      <c r="N55" s="27">
        <f t="shared" si="8"/>
        <v>19.914841549906434</v>
      </c>
      <c r="O55" s="27">
        <f t="shared" si="9"/>
        <v>10.119522199569483</v>
      </c>
      <c r="P55" s="27">
        <f t="shared" si="10"/>
        <v>271.31497553697693</v>
      </c>
      <c r="Q55" s="27">
        <f t="shared" si="11"/>
        <v>63.912810631325378</v>
      </c>
      <c r="R55" s="27">
        <f t="shared" si="12"/>
        <v>281.4344977365464</v>
      </c>
      <c r="S55" s="27">
        <f t="shared" si="13"/>
        <v>0.40962727994416759</v>
      </c>
      <c r="T55" s="27">
        <f t="shared" si="14"/>
        <v>11.909546756075285</v>
      </c>
      <c r="U55" s="27">
        <f t="shared" si="15"/>
        <v>2.7976422351587491</v>
      </c>
      <c r="V55" s="27">
        <f t="shared" si="16"/>
        <v>12.319174036019453</v>
      </c>
    </row>
    <row r="56" spans="1:22" ht="22.05" customHeight="1">
      <c r="A56" s="19">
        <f>'03 Recorded O'!A43</f>
        <v>0.72569444444444453</v>
      </c>
      <c r="B56" s="16">
        <f>'03 Recorded O'!B43</f>
        <v>61.062500000000028</v>
      </c>
      <c r="C56" s="16">
        <f>('05 Reconstructed R'!$B$10-'05 Reconstructed R'!$B$15*('05 Reconstructed R'!E56/B56-'05 Reconstructed R'!$B$10)/('01 Traffic inputs'!$B$10-'05 Reconstructed R'!$B$15))*60</f>
        <v>9.0465925163224187E-2</v>
      </c>
      <c r="D56" s="16">
        <f>'01 Traffic inputs'!$B$10*('05 Reconstructed R'!E56/B56-'05 Reconstructed R'!$B$10)/('01 Traffic inputs'!$B$10-'05 Reconstructed R'!$B$15)*60</f>
        <v>4.1579744338706526</v>
      </c>
      <c r="E56" s="16">
        <f>'05 Reconstructed R'!D56</f>
        <v>14.687742966030811</v>
      </c>
      <c r="F56" s="27">
        <f t="shared" ref="F56:F80" si="17">B56*(C56+D56)/60</f>
        <v>4.3236731570584368</v>
      </c>
      <c r="G56" s="27">
        <f t="shared" ref="G56:G80" si="18">B56*C56/60*$B$8</f>
        <v>1898.038773983161</v>
      </c>
      <c r="H56" s="27">
        <f t="shared" ref="H56:H80" si="19">B56*D56/60*$C$8</f>
        <v>29332.837154831443</v>
      </c>
      <c r="I56" s="27">
        <f t="shared" ref="I56:I80" si="20">J56/F56</f>
        <v>7223.2277497270825</v>
      </c>
      <c r="J56" s="27">
        <f t="shared" ref="J56:J80" si="21">G56+H56</f>
        <v>31230.875928814603</v>
      </c>
      <c r="K56" s="27">
        <f t="shared" ref="K56:K80" si="22">B56*C56/60*$B$9</f>
        <v>2.7937435023255115</v>
      </c>
      <c r="L56" s="27">
        <f t="shared" ref="L56:L80" si="23">B56*D56/60*$C$9</f>
        <v>17.247510248264884</v>
      </c>
      <c r="M56" s="27">
        <f t="shared" ref="M56:M80" si="24">N56/F56</f>
        <v>4.6352379152140264</v>
      </c>
      <c r="N56" s="27">
        <f t="shared" ref="N56:N80" si="25">K56+L56</f>
        <v>20.041253750590396</v>
      </c>
      <c r="O56" s="27">
        <f t="shared" ref="O56:O80" si="26">B56*C56/60*$B$10</f>
        <v>12.44185356596337</v>
      </c>
      <c r="P56" s="27">
        <f t="shared" ref="P56:P80" si="27">B56*D56/60*$C$10</f>
        <v>265.23967403899718</v>
      </c>
      <c r="Q56" s="27">
        <f t="shared" ref="Q56:Q80" si="28">R56/F56</f>
        <v>64.223524192998454</v>
      </c>
      <c r="R56" s="27">
        <f t="shared" ref="R56:R80" si="29">O56+P56</f>
        <v>277.68152760496054</v>
      </c>
      <c r="S56" s="27">
        <f t="shared" ref="S56:S80" si="30">B56*C56/60*$B$11</f>
        <v>0.50363273415280807</v>
      </c>
      <c r="T56" s="27">
        <f t="shared" ref="T56:T80" si="31">B56*D56/60*$C$11</f>
        <v>11.642867457948656</v>
      </c>
      <c r="U56" s="27">
        <f t="shared" ref="U56:U80" si="32">V56/F56</f>
        <v>2.80930120082555</v>
      </c>
      <c r="V56" s="27">
        <f t="shared" ref="V56:V80" si="33">S56+T56</f>
        <v>12.146500192101463</v>
      </c>
    </row>
    <row r="57" spans="1:22" ht="22.05" customHeight="1">
      <c r="A57" s="19">
        <f>'03 Recorded O'!A44</f>
        <v>0.72916666666666663</v>
      </c>
      <c r="B57" s="16">
        <f>'03 Recorded O'!B44</f>
        <v>62.291666666666657</v>
      </c>
      <c r="C57" s="16">
        <f>('05 Reconstructed R'!$B$10-'05 Reconstructed R'!$B$15*('05 Reconstructed R'!E57/B57-'05 Reconstructed R'!$B$10)/('01 Traffic inputs'!$B$10-'05 Reconstructed R'!$B$15))*60</f>
        <v>0.1114423277259306</v>
      </c>
      <c r="D57" s="16">
        <f>'01 Traffic inputs'!$B$10*('05 Reconstructed R'!E57/B57-'05 Reconstructed R'!$B$10)/('01 Traffic inputs'!$B$10-'05 Reconstructed R'!$B$15)*60</f>
        <v>4.0590954588193524</v>
      </c>
      <c r="E57" s="16">
        <f>'05 Reconstructed R'!D57</f>
        <v>14.962099180904689</v>
      </c>
      <c r="F57" s="27">
        <f t="shared" si="17"/>
        <v>4.3298291603369421</v>
      </c>
      <c r="G57" s="27">
        <f t="shared" si="18"/>
        <v>2385.2043671548581</v>
      </c>
      <c r="H57" s="27">
        <f t="shared" si="19"/>
        <v>29211.703997688488</v>
      </c>
      <c r="I57" s="27">
        <f t="shared" si="20"/>
        <v>7297.4953964198694</v>
      </c>
      <c r="J57" s="27">
        <f t="shared" si="21"/>
        <v>31596.908364843344</v>
      </c>
      <c r="K57" s="27">
        <f t="shared" si="22"/>
        <v>3.51080773153712</v>
      </c>
      <c r="L57" s="27">
        <f t="shared" si="23"/>
        <v>17.176284769522415</v>
      </c>
      <c r="M57" s="27">
        <f t="shared" si="24"/>
        <v>4.7778080231344946</v>
      </c>
      <c r="N57" s="27">
        <f t="shared" si="25"/>
        <v>20.687092501059535</v>
      </c>
      <c r="O57" s="27">
        <f t="shared" si="26"/>
        <v>15.635277776101088</v>
      </c>
      <c r="P57" s="27">
        <f t="shared" si="27"/>
        <v>264.14433781405859</v>
      </c>
      <c r="Q57" s="27">
        <f t="shared" si="28"/>
        <v>64.616779376206978</v>
      </c>
      <c r="R57" s="27">
        <f t="shared" si="29"/>
        <v>279.77961559015966</v>
      </c>
      <c r="S57" s="27">
        <f t="shared" si="30"/>
        <v>0.6328990816254404</v>
      </c>
      <c r="T57" s="27">
        <f t="shared" si="31"/>
        <v>11.594786964202555</v>
      </c>
      <c r="U57" s="27">
        <f t="shared" si="32"/>
        <v>2.8240573918802037</v>
      </c>
      <c r="V57" s="27">
        <f t="shared" si="33"/>
        <v>12.227686045827996</v>
      </c>
    </row>
    <row r="58" spans="1:22" ht="22.05" customHeight="1">
      <c r="A58" s="19">
        <f>'03 Recorded O'!A45</f>
        <v>0.73263888888888884</v>
      </c>
      <c r="B58" s="16">
        <f>'03 Recorded O'!B45</f>
        <v>62.208333333333329</v>
      </c>
      <c r="C58" s="16">
        <f>('05 Reconstructed R'!$B$10-'05 Reconstructed R'!$B$15*('05 Reconstructed R'!E58/B58-'05 Reconstructed R'!$B$10)/('01 Traffic inputs'!$B$10-'05 Reconstructed R'!$B$15))*60</f>
        <v>0.13630115381493005</v>
      </c>
      <c r="D58" s="16">
        <f>'01 Traffic inputs'!$B$10*('05 Reconstructed R'!E58/B58-'05 Reconstructed R'!$B$10)/('01 Traffic inputs'!$B$10-'05 Reconstructed R'!$B$15)*60</f>
        <v>3.9419154401144834</v>
      </c>
      <c r="E58" s="16">
        <f>'05 Reconstructed R'!D58</f>
        <v>15.300805772034298</v>
      </c>
      <c r="F58" s="27">
        <f t="shared" si="17"/>
        <v>4.2283176213448703</v>
      </c>
      <c r="G58" s="27">
        <f t="shared" si="18"/>
        <v>2913.3560774841421</v>
      </c>
      <c r="H58" s="27">
        <f t="shared" si="19"/>
        <v>28330.454721946466</v>
      </c>
      <c r="I58" s="27">
        <f t="shared" si="20"/>
        <v>7389.1825537678305</v>
      </c>
      <c r="J58" s="27">
        <f t="shared" si="21"/>
        <v>31243.810799430608</v>
      </c>
      <c r="K58" s="27">
        <f t="shared" si="22"/>
        <v>4.2881998634576206</v>
      </c>
      <c r="L58" s="27">
        <f t="shared" si="23"/>
        <v>16.658116143882566</v>
      </c>
      <c r="M58" s="27">
        <f t="shared" si="24"/>
        <v>4.9538180153736757</v>
      </c>
      <c r="N58" s="27">
        <f t="shared" si="25"/>
        <v>20.946316007340187</v>
      </c>
      <c r="O58" s="27">
        <f t="shared" si="26"/>
        <v>19.097370506029879</v>
      </c>
      <c r="P58" s="27">
        <f t="shared" si="27"/>
        <v>256.17571652416689</v>
      </c>
      <c r="Q58" s="27">
        <f t="shared" si="28"/>
        <v>65.102272743324022</v>
      </c>
      <c r="R58" s="27">
        <f t="shared" si="29"/>
        <v>275.27308703019679</v>
      </c>
      <c r="S58" s="27">
        <f t="shared" si="30"/>
        <v>0.7730408393000805</v>
      </c>
      <c r="T58" s="27">
        <f t="shared" si="31"/>
        <v>11.24499916629131</v>
      </c>
      <c r="U58" s="27">
        <f t="shared" si="32"/>
        <v>2.8422746543266775</v>
      </c>
      <c r="V58" s="27">
        <f t="shared" si="33"/>
        <v>12.01804000559139</v>
      </c>
    </row>
    <row r="59" spans="1:22" ht="22.05" customHeight="1">
      <c r="A59" s="19">
        <f>'03 Recorded O'!A46</f>
        <v>0.73611111111111116</v>
      </c>
      <c r="B59" s="16">
        <f>'03 Recorded O'!B46</f>
        <v>64.604166666666671</v>
      </c>
      <c r="C59" s="16">
        <f>('05 Reconstructed R'!$B$10-'05 Reconstructed R'!$B$15*('05 Reconstructed R'!E59/B59-'05 Reconstructed R'!$B$10)/('01 Traffic inputs'!$B$10-'05 Reconstructed R'!$B$15))*60</f>
        <v>0.16592315094785179</v>
      </c>
      <c r="D59" s="16">
        <f>'01 Traffic inputs'!$B$10*('05 Reconstructed R'!E59/B59-'05 Reconstructed R'!$B$10)/('01 Traffic inputs'!$B$10-'05 Reconstructed R'!$B$15)*60</f>
        <v>3.8022826929491869</v>
      </c>
      <c r="E59" s="16">
        <f>'05 Reconstructed R'!D59</f>
        <v>15.724990702276754</v>
      </c>
      <c r="F59" s="27">
        <f t="shared" si="17"/>
        <v>4.2727105284460825</v>
      </c>
      <c r="G59" s="27">
        <f t="shared" si="18"/>
        <v>3683.0955477027192</v>
      </c>
      <c r="H59" s="27">
        <f t="shared" si="19"/>
        <v>28379.360646719564</v>
      </c>
      <c r="I59" s="27">
        <f t="shared" si="20"/>
        <v>7504.0085165991559</v>
      </c>
      <c r="J59" s="27">
        <f t="shared" si="21"/>
        <v>32062.456194422284</v>
      </c>
      <c r="K59" s="27">
        <f t="shared" si="22"/>
        <v>5.4211875942054801</v>
      </c>
      <c r="L59" s="27">
        <f t="shared" si="23"/>
        <v>16.686872497530612</v>
      </c>
      <c r="M59" s="27">
        <f t="shared" si="24"/>
        <v>5.1742471072049074</v>
      </c>
      <c r="N59" s="27">
        <f t="shared" si="25"/>
        <v>22.108060091736093</v>
      </c>
      <c r="O59" s="27">
        <f t="shared" si="26"/>
        <v>24.143097655377737</v>
      </c>
      <c r="P59" s="27">
        <f t="shared" si="27"/>
        <v>256.61794417084565</v>
      </c>
      <c r="Q59" s="27">
        <f t="shared" si="28"/>
        <v>65.71028857607439</v>
      </c>
      <c r="R59" s="27">
        <f t="shared" si="29"/>
        <v>280.76104182622339</v>
      </c>
      <c r="S59" s="27">
        <f t="shared" si="30"/>
        <v>0.97728640018394652</v>
      </c>
      <c r="T59" s="27">
        <f t="shared" si="31"/>
        <v>11.264411035557009</v>
      </c>
      <c r="U59" s="27">
        <f t="shared" si="32"/>
        <v>2.8650893511836073</v>
      </c>
      <c r="V59" s="27">
        <f t="shared" si="33"/>
        <v>12.241697435740955</v>
      </c>
    </row>
    <row r="60" spans="1:22" ht="22.05" customHeight="1">
      <c r="A60" s="19">
        <f>'03 Recorded O'!A47</f>
        <v>0.73958333333333337</v>
      </c>
      <c r="B60" s="16">
        <f>'03 Recorded O'!B47</f>
        <v>69.375000000000028</v>
      </c>
      <c r="C60" s="16">
        <f>('05 Reconstructed R'!$B$10-'05 Reconstructed R'!$B$15*('05 Reconstructed R'!E60/B60-'05 Reconstructed R'!$B$10)/('01 Traffic inputs'!$B$10-'05 Reconstructed R'!$B$15))*60</f>
        <v>0.20045179019952025</v>
      </c>
      <c r="D60" s="16">
        <f>'01 Traffic inputs'!$B$10*('05 Reconstructed R'!E60/B60-'05 Reconstructed R'!$B$10)/('01 Traffic inputs'!$B$10-'05 Reconstructed R'!$B$15)*60</f>
        <v>3.6395209205759289</v>
      </c>
      <c r="E60" s="16">
        <f>'05 Reconstructed R'!D60</f>
        <v>16.250115482565523</v>
      </c>
      <c r="F60" s="27">
        <f t="shared" si="17"/>
        <v>4.439968446834115</v>
      </c>
      <c r="G60" s="27">
        <f t="shared" si="18"/>
        <v>4778.1348842822554</v>
      </c>
      <c r="H60" s="27">
        <f t="shared" si="19"/>
        <v>29170.568408609437</v>
      </c>
      <c r="I60" s="27">
        <f t="shared" si="20"/>
        <v>7646.1586831993254</v>
      </c>
      <c r="J60" s="27">
        <f t="shared" si="21"/>
        <v>33948.703292891689</v>
      </c>
      <c r="K60" s="27">
        <f t="shared" si="22"/>
        <v>7.0329876655706496</v>
      </c>
      <c r="L60" s="27">
        <f t="shared" si="23"/>
        <v>17.152097320812139</v>
      </c>
      <c r="M60" s="27">
        <f t="shared" si="24"/>
        <v>5.4471299235533479</v>
      </c>
      <c r="N60" s="27">
        <f t="shared" si="25"/>
        <v>24.18508498638279</v>
      </c>
      <c r="O60" s="27">
        <f t="shared" si="26"/>
        <v>31.321201317665267</v>
      </c>
      <c r="P60" s="27">
        <f t="shared" si="27"/>
        <v>263.77237276406572</v>
      </c>
      <c r="Q60" s="27">
        <f t="shared" si="28"/>
        <v>66.462989008884776</v>
      </c>
      <c r="R60" s="27">
        <f t="shared" si="29"/>
        <v>295.09357408173099</v>
      </c>
      <c r="S60" s="27">
        <f t="shared" si="30"/>
        <v>1.2678482488911118</v>
      </c>
      <c r="T60" s="27">
        <f t="shared" si="31"/>
        <v>11.578459317172573</v>
      </c>
      <c r="U60" s="27">
        <f t="shared" si="32"/>
        <v>2.8933330765500473</v>
      </c>
      <c r="V60" s="27">
        <f t="shared" si="33"/>
        <v>12.846307566063684</v>
      </c>
    </row>
    <row r="61" spans="1:22" ht="22.05" customHeight="1">
      <c r="A61" s="19">
        <f>'03 Recorded O'!A48</f>
        <v>0.74305555555555547</v>
      </c>
      <c r="B61" s="16">
        <f>'03 Recorded O'!B48</f>
        <v>72.1458333333333</v>
      </c>
      <c r="C61" s="16">
        <f>('05 Reconstructed R'!$B$10-'05 Reconstructed R'!$B$15*('05 Reconstructed R'!E61/B61-'05 Reconstructed R'!$B$10)/('01 Traffic inputs'!$B$10-'05 Reconstructed R'!$B$15))*60</f>
        <v>0.24119023244817853</v>
      </c>
      <c r="D61" s="16">
        <f>'01 Traffic inputs'!$B$10*('05 Reconstructed R'!E61/B61-'05 Reconstructed R'!$B$10)/('01 Traffic inputs'!$B$10-'05 Reconstructed R'!$B$15)*60</f>
        <v>3.447487257859351</v>
      </c>
      <c r="E61" s="16">
        <f>'05 Reconstructed R'!D61</f>
        <v>16.916632089404718</v>
      </c>
      <c r="F61" s="27">
        <f t="shared" si="17"/>
        <v>4.4353785239357526</v>
      </c>
      <c r="G61" s="27">
        <f t="shared" si="18"/>
        <v>5978.8332404956427</v>
      </c>
      <c r="H61" s="27">
        <f t="shared" si="19"/>
        <v>28735.026323918108</v>
      </c>
      <c r="I61" s="27">
        <f t="shared" si="20"/>
        <v>7826.5833179915962</v>
      </c>
      <c r="J61" s="27">
        <f t="shared" si="21"/>
        <v>34713.859564413753</v>
      </c>
      <c r="K61" s="27">
        <f t="shared" si="22"/>
        <v>8.80030837413792</v>
      </c>
      <c r="L61" s="27">
        <f t="shared" si="23"/>
        <v>16.896001514954264</v>
      </c>
      <c r="M61" s="27">
        <f t="shared" si="24"/>
        <v>5.7934874668352885</v>
      </c>
      <c r="N61" s="27">
        <f t="shared" si="25"/>
        <v>25.696309889092184</v>
      </c>
      <c r="O61" s="27">
        <f t="shared" si="26"/>
        <v>39.191911510560637</v>
      </c>
      <c r="P61" s="27">
        <f t="shared" si="27"/>
        <v>259.83402067203951</v>
      </c>
      <c r="Q61" s="27">
        <f t="shared" si="28"/>
        <v>67.418356870533387</v>
      </c>
      <c r="R61" s="27">
        <f t="shared" si="29"/>
        <v>299.02593218260017</v>
      </c>
      <c r="S61" s="27">
        <f t="shared" si="30"/>
        <v>1.5864460585467619</v>
      </c>
      <c r="T61" s="27">
        <f t="shared" si="31"/>
        <v>11.405582798694217</v>
      </c>
      <c r="U61" s="27">
        <f t="shared" si="32"/>
        <v>2.9291815314361145</v>
      </c>
      <c r="V61" s="27">
        <f t="shared" si="33"/>
        <v>12.99202885724098</v>
      </c>
    </row>
    <row r="62" spans="1:22" ht="22.05" customHeight="1">
      <c r="A62" s="19">
        <f>'03 Recorded O'!A49</f>
        <v>0.74652777777777779</v>
      </c>
      <c r="B62" s="16">
        <f>'03 Recorded O'!B49</f>
        <v>74.833333333333343</v>
      </c>
      <c r="C62" s="16">
        <f>('05 Reconstructed R'!$B$10-'05 Reconstructed R'!$B$15*('05 Reconstructed R'!E62/B62-'05 Reconstructed R'!$B$10)/('01 Traffic inputs'!$B$10-'05 Reconstructed R'!$B$15))*60</f>
        <v>0.28716787503482855</v>
      </c>
      <c r="D62" s="16">
        <f>'01 Traffic inputs'!$B$10*('05 Reconstructed R'!E62/B62-'05 Reconstructed R'!$B$10)/('01 Traffic inputs'!$B$10-'05 Reconstructed R'!$B$15)*60</f>
        <v>3.2307569505222098</v>
      </c>
      <c r="E62" s="16">
        <f>'05 Reconstructed R'!D62</f>
        <v>17.737729796463352</v>
      </c>
      <c r="F62" s="27">
        <f t="shared" si="17"/>
        <v>4.3876340185419735</v>
      </c>
      <c r="G62" s="27">
        <f t="shared" si="18"/>
        <v>7383.7403334378478</v>
      </c>
      <c r="H62" s="27">
        <f t="shared" si="19"/>
        <v>27931.679712501249</v>
      </c>
      <c r="I62" s="27">
        <f t="shared" si="20"/>
        <v>8048.8527294431315</v>
      </c>
      <c r="J62" s="27">
        <f t="shared" si="21"/>
        <v>35315.4200459391</v>
      </c>
      <c r="K62" s="27">
        <f t="shared" si="22"/>
        <v>10.868206098925459</v>
      </c>
      <c r="L62" s="27">
        <f t="shared" si="23"/>
        <v>16.423639130088983</v>
      </c>
      <c r="M62" s="27">
        <f t="shared" si="24"/>
        <v>6.2201735864204144</v>
      </c>
      <c r="N62" s="27">
        <f t="shared" si="25"/>
        <v>27.291845229014442</v>
      </c>
      <c r="O62" s="27">
        <f t="shared" si="26"/>
        <v>48.401232502190318</v>
      </c>
      <c r="P62" s="27">
        <f t="shared" si="27"/>
        <v>252.56982756900572</v>
      </c>
      <c r="Q62" s="27">
        <f t="shared" si="28"/>
        <v>68.595297328652265</v>
      </c>
      <c r="R62" s="27">
        <f t="shared" si="29"/>
        <v>300.97106007119606</v>
      </c>
      <c r="S62" s="27">
        <f t="shared" si="30"/>
        <v>1.959229381073045</v>
      </c>
      <c r="T62" s="27">
        <f t="shared" si="31"/>
        <v>11.086716332755444</v>
      </c>
      <c r="U62" s="27">
        <f t="shared" si="32"/>
        <v>2.97334409813964</v>
      </c>
      <c r="V62" s="27">
        <f t="shared" si="33"/>
        <v>13.045945713828489</v>
      </c>
    </row>
    <row r="63" spans="1:22" ht="22.05" customHeight="1">
      <c r="A63" s="19">
        <f>'03 Recorded O'!A50</f>
        <v>0.75</v>
      </c>
      <c r="B63" s="16">
        <f>'03 Recorded O'!B50</f>
        <v>75.520833333333343</v>
      </c>
      <c r="C63" s="16">
        <f>('05 Reconstructed R'!$B$10-'05 Reconstructed R'!$B$15*('05 Reconstructed R'!E63/B63-'05 Reconstructed R'!$B$10)/('01 Traffic inputs'!$B$10-'05 Reconstructed R'!$B$15))*60</f>
        <v>0.33704029224462539</v>
      </c>
      <c r="D63" s="16">
        <f>'01 Traffic inputs'!$B$10*('05 Reconstructed R'!E63/B63-'05 Reconstructed R'!$B$10)/('01 Traffic inputs'!$B$10-'05 Reconstructed R'!$B$15)*60</f>
        <v>2.9956673786905332</v>
      </c>
      <c r="E63" s="16">
        <f>'05 Reconstructed R'!D63</f>
        <v>18.72351437967308</v>
      </c>
      <c r="F63" s="27">
        <f t="shared" si="17"/>
        <v>4.1948143427569278</v>
      </c>
      <c r="G63" s="27">
        <f t="shared" si="18"/>
        <v>8745.6897404547035</v>
      </c>
      <c r="H63" s="27">
        <f t="shared" si="19"/>
        <v>26137.138501272075</v>
      </c>
      <c r="I63" s="27">
        <f t="shared" si="20"/>
        <v>8315.7025297098098</v>
      </c>
      <c r="J63" s="27">
        <f t="shared" si="21"/>
        <v>34882.828241726776</v>
      </c>
      <c r="K63" s="27">
        <f t="shared" si="22"/>
        <v>12.872873947920192</v>
      </c>
      <c r="L63" s="27">
        <f t="shared" si="23"/>
        <v>15.368461011169423</v>
      </c>
      <c r="M63" s="27">
        <f t="shared" si="24"/>
        <v>6.7324397819543931</v>
      </c>
      <c r="N63" s="27">
        <f t="shared" si="25"/>
        <v>28.241334959089613</v>
      </c>
      <c r="O63" s="27">
        <f t="shared" si="26"/>
        <v>57.328961123241513</v>
      </c>
      <c r="P63" s="27">
        <f t="shared" si="27"/>
        <v>236.34284197591339</v>
      </c>
      <c r="Q63" s="27">
        <f t="shared" si="28"/>
        <v>70.00829574406076</v>
      </c>
      <c r="R63" s="27">
        <f t="shared" si="29"/>
        <v>293.67180309915489</v>
      </c>
      <c r="S63" s="27">
        <f t="shared" si="30"/>
        <v>2.3206141499385629</v>
      </c>
      <c r="T63" s="27">
        <f t="shared" si="31"/>
        <v>10.374422279511212</v>
      </c>
      <c r="U63" s="27">
        <f t="shared" si="32"/>
        <v>3.026364313684097</v>
      </c>
      <c r="V63" s="27">
        <f t="shared" si="33"/>
        <v>12.695036429449775</v>
      </c>
    </row>
    <row r="64" spans="1:22" ht="22.05" customHeight="1">
      <c r="A64" s="19">
        <f>'03 Recorded O'!A51</f>
        <v>0.75347222222222199</v>
      </c>
      <c r="B64" s="16">
        <f>'03 Recorded O'!B51</f>
        <v>78.208333333333343</v>
      </c>
      <c r="C64" s="16">
        <f>('05 Reconstructed R'!$B$10-'05 Reconstructed R'!$B$15*('05 Reconstructed R'!E64/B64-'05 Reconstructed R'!$B$10)/('01 Traffic inputs'!$B$10-'05 Reconstructed R'!$B$15))*60</f>
        <v>0.39012039099811091</v>
      </c>
      <c r="D64" s="16">
        <f>'01 Traffic inputs'!$B$10*('05 Reconstructed R'!E64/B64-'05 Reconstructed R'!$B$10)/('01 Traffic inputs'!$B$10-'05 Reconstructed R'!$B$15)*60</f>
        <v>2.7454573751078564</v>
      </c>
      <c r="E64" s="16">
        <f>'05 Reconstructed R'!D64</f>
        <v>19.900638623769478</v>
      </c>
      <c r="F64" s="27">
        <f t="shared" si="17"/>
        <v>4.0871385187367375</v>
      </c>
      <c r="G64" s="27">
        <f t="shared" si="18"/>
        <v>10483.279185821364</v>
      </c>
      <c r="H64" s="27">
        <f t="shared" si="19"/>
        <v>24806.495356628195</v>
      </c>
      <c r="I64" s="27">
        <f t="shared" si="20"/>
        <v>8634.347571209064</v>
      </c>
      <c r="J64" s="27">
        <f t="shared" si="21"/>
        <v>35289.774542449559</v>
      </c>
      <c r="K64" s="27">
        <f t="shared" si="22"/>
        <v>15.43045037325067</v>
      </c>
      <c r="L64" s="27">
        <f t="shared" si="23"/>
        <v>14.586051824056455</v>
      </c>
      <c r="M64" s="27">
        <f t="shared" si="24"/>
        <v>7.3441362605407114</v>
      </c>
      <c r="N64" s="27">
        <f t="shared" si="25"/>
        <v>30.016502197307126</v>
      </c>
      <c r="O64" s="27">
        <f t="shared" si="26"/>
        <v>68.719051638435218</v>
      </c>
      <c r="P64" s="27">
        <f t="shared" si="27"/>
        <v>224.31061501864357</v>
      </c>
      <c r="Q64" s="27">
        <f t="shared" si="28"/>
        <v>71.695555536896535</v>
      </c>
      <c r="R64" s="27">
        <f t="shared" si="29"/>
        <v>293.02966665707879</v>
      </c>
      <c r="S64" s="27">
        <f t="shared" si="30"/>
        <v>2.7816726568565233</v>
      </c>
      <c r="T64" s="27">
        <f t="shared" si="31"/>
        <v>9.8462598762243907</v>
      </c>
      <c r="U64" s="27">
        <f t="shared" si="32"/>
        <v>3.0896756924656388</v>
      </c>
      <c r="V64" s="27">
        <f t="shared" si="33"/>
        <v>12.627932533080914</v>
      </c>
    </row>
    <row r="65" spans="1:22" ht="22.05" customHeight="1">
      <c r="A65" s="19">
        <f>'03 Recorded O'!A52</f>
        <v>0.75694444444444453</v>
      </c>
      <c r="B65" s="16">
        <f>'03 Recorded O'!B52</f>
        <v>81.0625</v>
      </c>
      <c r="C65" s="16">
        <f>('05 Reconstructed R'!$B$10-'05 Reconstructed R'!$B$15*('05 Reconstructed R'!E65/B65-'05 Reconstructed R'!$B$10)/('01 Traffic inputs'!$B$10-'05 Reconstructed R'!$B$15))*60</f>
        <v>0.44783110663504577</v>
      </c>
      <c r="D65" s="16">
        <f>'01 Traffic inputs'!$B$10*('05 Reconstructed R'!E65/B65-'05 Reconstructed R'!$B$10)/('01 Traffic inputs'!$B$10-'05 Reconstructed R'!$B$15)*60</f>
        <v>2.4734194794487401</v>
      </c>
      <c r="E65" s="16">
        <f>'05 Reconstructed R'!D65</f>
        <v>21.360714584795126</v>
      </c>
      <c r="F65" s="27">
        <f t="shared" si="17"/>
        <v>3.9467312605736145</v>
      </c>
      <c r="G65" s="27">
        <f t="shared" si="18"/>
        <v>12473.252679564321</v>
      </c>
      <c r="H65" s="27">
        <f t="shared" si="19"/>
        <v>23164.100775542112</v>
      </c>
      <c r="I65" s="27">
        <f t="shared" si="20"/>
        <v>9029.5870436151599</v>
      </c>
      <c r="J65" s="27">
        <f t="shared" si="21"/>
        <v>35637.353455106437</v>
      </c>
      <c r="K65" s="27">
        <f t="shared" si="22"/>
        <v>18.359513569508483</v>
      </c>
      <c r="L65" s="27">
        <f t="shared" si="23"/>
        <v>13.620334896660253</v>
      </c>
      <c r="M65" s="27">
        <f t="shared" si="24"/>
        <v>8.1028695279143008</v>
      </c>
      <c r="N65" s="27">
        <f t="shared" si="25"/>
        <v>31.979848466168736</v>
      </c>
      <c r="O65" s="27">
        <f t="shared" si="26"/>
        <v>81.763547435188656</v>
      </c>
      <c r="P65" s="27">
        <f t="shared" si="27"/>
        <v>209.45940233058161</v>
      </c>
      <c r="Q65" s="27">
        <f t="shared" si="28"/>
        <v>73.788391085803042</v>
      </c>
      <c r="R65" s="27">
        <f t="shared" si="29"/>
        <v>291.2229497657703</v>
      </c>
      <c r="S65" s="27">
        <f t="shared" si="30"/>
        <v>3.3096996947036814</v>
      </c>
      <c r="T65" s="27">
        <f t="shared" si="31"/>
        <v>9.194356266617751</v>
      </c>
      <c r="U65" s="27">
        <f t="shared" si="32"/>
        <v>3.1682055695639395</v>
      </c>
      <c r="V65" s="27">
        <f t="shared" si="33"/>
        <v>12.504055961321432</v>
      </c>
    </row>
    <row r="66" spans="1:22" ht="22.05" customHeight="1">
      <c r="A66" s="19">
        <f>'03 Recorded O'!A53</f>
        <v>0.76041666666666663</v>
      </c>
      <c r="B66" s="16">
        <f>'03 Recorded O'!B53</f>
        <v>83.874999999999986</v>
      </c>
      <c r="C66" s="16">
        <f>('05 Reconstructed R'!$B$10-'05 Reconstructed R'!$B$15*('05 Reconstructed R'!E66/B66-'05 Reconstructed R'!$B$10)/('01 Traffic inputs'!$B$10-'05 Reconstructed R'!$B$15))*60</f>
        <v>0.50741404932391621</v>
      </c>
      <c r="D66" s="16">
        <f>'01 Traffic inputs'!$B$10*('05 Reconstructed R'!E66/B66-'05 Reconstructed R'!$B$10)/('01 Traffic inputs'!$B$10-'05 Reconstructed R'!$B$15)*60</f>
        <v>2.1925562434384678</v>
      </c>
      <c r="E66" s="16">
        <f>'05 Reconstructed R'!D66</f>
        <v>23.111365398083233</v>
      </c>
      <c r="F66" s="27">
        <f t="shared" si="17"/>
        <v>3.7743334717574153</v>
      </c>
      <c r="G66" s="27">
        <f t="shared" si="18"/>
        <v>14623.135059595445</v>
      </c>
      <c r="H66" s="27">
        <f t="shared" si="19"/>
        <v>21246.184638143262</v>
      </c>
      <c r="I66" s="27">
        <f t="shared" si="20"/>
        <v>9503.4845135284613</v>
      </c>
      <c r="J66" s="27">
        <f t="shared" si="21"/>
        <v>35869.319697738705</v>
      </c>
      <c r="K66" s="27">
        <f t="shared" si="22"/>
        <v>21.523948359937766</v>
      </c>
      <c r="L66" s="27">
        <f t="shared" si="23"/>
        <v>12.492613153942614</v>
      </c>
      <c r="M66" s="27">
        <f t="shared" si="24"/>
        <v>9.012600971381973</v>
      </c>
      <c r="N66" s="27">
        <f t="shared" si="25"/>
        <v>34.016561513880376</v>
      </c>
      <c r="O66" s="27">
        <f t="shared" si="26"/>
        <v>95.856263623624827</v>
      </c>
      <c r="P66" s="27">
        <f t="shared" si="27"/>
        <v>192.11680950764313</v>
      </c>
      <c r="Q66" s="27">
        <f t="shared" si="28"/>
        <v>76.297729198045971</v>
      </c>
      <c r="R66" s="27">
        <f t="shared" si="29"/>
        <v>287.97307313126794</v>
      </c>
      <c r="S66" s="27">
        <f t="shared" si="30"/>
        <v>3.880157556789289</v>
      </c>
      <c r="T66" s="27">
        <f t="shared" si="31"/>
        <v>8.4330919107244586</v>
      </c>
      <c r="U66" s="27">
        <f t="shared" si="32"/>
        <v>3.262363953702379</v>
      </c>
      <c r="V66" s="27">
        <f t="shared" si="33"/>
        <v>12.313249467513748</v>
      </c>
    </row>
    <row r="67" spans="1:22" ht="22.05" customHeight="1">
      <c r="A67" s="19">
        <f>'03 Recorded O'!A54</f>
        <v>0.76388888888888873</v>
      </c>
      <c r="B67" s="16">
        <f>'03 Recorded O'!B54</f>
        <v>84.979166666666671</v>
      </c>
      <c r="C67" s="16">
        <f>('05 Reconstructed R'!$B$10-'05 Reconstructed R'!$B$15*('05 Reconstructed R'!E67/B67-'05 Reconstructed R'!$B$10)/('01 Traffic inputs'!$B$10-'05 Reconstructed R'!$B$15))*60</f>
        <v>0.56813900569650055</v>
      </c>
      <c r="D67" s="16">
        <f>'01 Traffic inputs'!$B$10*('05 Reconstructed R'!E67/B67-'05 Reconstructed R'!$B$10)/('01 Traffic inputs'!$B$10-'05 Reconstructed R'!$B$15)*60</f>
        <v>1.9063097610777979</v>
      </c>
      <c r="E67" s="16">
        <f>'05 Reconstructed R'!D67</f>
        <v>25.217737719155174</v>
      </c>
      <c r="F67" s="27">
        <f t="shared" si="17"/>
        <v>3.5046099026640154</v>
      </c>
      <c r="G67" s="27">
        <f t="shared" si="18"/>
        <v>16588.707325944775</v>
      </c>
      <c r="H67" s="27">
        <f t="shared" si="19"/>
        <v>18715.593984977189</v>
      </c>
      <c r="I67" s="27">
        <f t="shared" si="20"/>
        <v>10073.675042716033</v>
      </c>
      <c r="J67" s="27">
        <f t="shared" si="21"/>
        <v>35304.301310921961</v>
      </c>
      <c r="K67" s="27">
        <f t="shared" si="22"/>
        <v>24.417095129506023</v>
      </c>
      <c r="L67" s="27">
        <f t="shared" si="23"/>
        <v>11.004642931551217</v>
      </c>
      <c r="M67" s="27">
        <f t="shared" si="24"/>
        <v>10.107184264397457</v>
      </c>
      <c r="N67" s="27">
        <f t="shared" si="25"/>
        <v>35.421738061057241</v>
      </c>
      <c r="O67" s="27">
        <f t="shared" si="26"/>
        <v>108.74080668272995</v>
      </c>
      <c r="P67" s="27">
        <f t="shared" si="27"/>
        <v>169.23415971727513</v>
      </c>
      <c r="Q67" s="27">
        <f t="shared" si="28"/>
        <v>79.316949423872686</v>
      </c>
      <c r="R67" s="27">
        <f t="shared" si="29"/>
        <v>277.97496640000509</v>
      </c>
      <c r="S67" s="27">
        <f t="shared" si="30"/>
        <v>4.4017098813495608</v>
      </c>
      <c r="T67" s="27">
        <f t="shared" si="31"/>
        <v>7.428643162394521</v>
      </c>
      <c r="U67" s="27">
        <f t="shared" si="32"/>
        <v>3.3756547439848545</v>
      </c>
      <c r="V67" s="27">
        <f t="shared" si="33"/>
        <v>11.830353043744083</v>
      </c>
    </row>
    <row r="68" spans="1:22" ht="22.05" customHeight="1">
      <c r="A68" s="19">
        <f>'03 Recorded O'!A55</f>
        <v>0.76736111111111116</v>
      </c>
      <c r="B68" s="16">
        <f>'03 Recorded O'!B55</f>
        <v>86.875000000000014</v>
      </c>
      <c r="C68" s="16">
        <f>('05 Reconstructed R'!$B$10-'05 Reconstructed R'!$B$15*('05 Reconstructed R'!E68/B68-'05 Reconstructed R'!$B$10)/('01 Traffic inputs'!$B$10-'05 Reconstructed R'!$B$15))*60</f>
        <v>0.62848428668065281</v>
      </c>
      <c r="D68" s="16">
        <f>'01 Traffic inputs'!$B$10*('05 Reconstructed R'!E68/B68-'05 Reconstructed R'!$B$10)/('01 Traffic inputs'!$B$10-'05 Reconstructed R'!$B$15)*60</f>
        <v>1.6218529999597542</v>
      </c>
      <c r="E68" s="16">
        <f>'05 Reconstructed R'!D68</f>
        <v>27.729176586306302</v>
      </c>
      <c r="F68" s="27">
        <f t="shared" si="17"/>
        <v>3.2583008629480896</v>
      </c>
      <c r="G68" s="27">
        <f t="shared" si="18"/>
        <v>18760.081108824437</v>
      </c>
      <c r="H68" s="27">
        <f t="shared" si="19"/>
        <v>16278.110098568473</v>
      </c>
      <c r="I68" s="27">
        <f t="shared" si="20"/>
        <v>10753.516228605908</v>
      </c>
      <c r="J68" s="27">
        <f t="shared" si="21"/>
        <v>35038.191207392912</v>
      </c>
      <c r="K68" s="27">
        <f t="shared" si="22"/>
        <v>27.613163344861583</v>
      </c>
      <c r="L68" s="27">
        <f t="shared" si="23"/>
        <v>9.5714188595357239</v>
      </c>
      <c r="M68" s="27">
        <f t="shared" si="24"/>
        <v>11.412261718137636</v>
      </c>
      <c r="N68" s="27">
        <f t="shared" si="25"/>
        <v>37.184582204397309</v>
      </c>
      <c r="O68" s="27">
        <f t="shared" si="26"/>
        <v>122.9744013878929</v>
      </c>
      <c r="P68" s="27">
        <f t="shared" si="27"/>
        <v>147.19341991110647</v>
      </c>
      <c r="Q68" s="27">
        <f t="shared" si="28"/>
        <v>82.916781679440504</v>
      </c>
      <c r="R68" s="27">
        <f t="shared" si="29"/>
        <v>270.16782129899934</v>
      </c>
      <c r="S68" s="27">
        <f t="shared" si="30"/>
        <v>4.9778703529528192</v>
      </c>
      <c r="T68" s="27">
        <f t="shared" si="31"/>
        <v>6.4611505986665732</v>
      </c>
      <c r="U68" s="27">
        <f t="shared" si="32"/>
        <v>3.5107319528711169</v>
      </c>
      <c r="V68" s="27">
        <f t="shared" si="33"/>
        <v>11.439020951619392</v>
      </c>
    </row>
    <row r="69" spans="1:22" ht="22.05" customHeight="1">
      <c r="A69" s="19">
        <f>'03 Recorded O'!A56</f>
        <v>0.77083333333333337</v>
      </c>
      <c r="B69" s="16">
        <f>'03 Recorded O'!B56</f>
        <v>87.562500000000014</v>
      </c>
      <c r="C69" s="16">
        <f>('05 Reconstructed R'!$B$10-'05 Reconstructed R'!$B$15*('05 Reconstructed R'!E69/B69-'05 Reconstructed R'!$B$10)/('01 Traffic inputs'!$B$10-'05 Reconstructed R'!$B$15))*60</f>
        <v>0.68667596815480536</v>
      </c>
      <c r="D69" s="16">
        <f>'01 Traffic inputs'!$B$10*('05 Reconstructed R'!E69/B69-'05 Reconstructed R'!$B$10)/('01 Traffic inputs'!$B$10-'05 Reconstructed R'!$B$15)*60</f>
        <v>1.3475479181672376</v>
      </c>
      <c r="E69" s="16">
        <f>'05 Reconstructed R'!D69</f>
        <v>30.675089610132776</v>
      </c>
      <c r="F69" s="27">
        <f t="shared" si="17"/>
        <v>2.9686954841012323</v>
      </c>
      <c r="G69" s="27">
        <f t="shared" si="18"/>
        <v>20659.293771742203</v>
      </c>
      <c r="H69" s="27">
        <f t="shared" si="19"/>
        <v>13632.014693970623</v>
      </c>
      <c r="I69" s="27">
        <f t="shared" si="20"/>
        <v>11550.968649145389</v>
      </c>
      <c r="J69" s="27">
        <f t="shared" si="21"/>
        <v>34291.308465712827</v>
      </c>
      <c r="K69" s="27">
        <f t="shared" si="22"/>
        <v>30.408634706822237</v>
      </c>
      <c r="L69" s="27">
        <f t="shared" si="23"/>
        <v>8.015532622967882</v>
      </c>
      <c r="M69" s="27">
        <f t="shared" si="24"/>
        <v>12.943115094010047</v>
      </c>
      <c r="N69" s="27">
        <f t="shared" si="25"/>
        <v>38.424167329790123</v>
      </c>
      <c r="O69" s="27">
        <f t="shared" si="26"/>
        <v>135.42394992533275</v>
      </c>
      <c r="P69" s="27">
        <f t="shared" si="27"/>
        <v>123.26632827360287</v>
      </c>
      <c r="Q69" s="27">
        <f t="shared" si="28"/>
        <v>87.13937808183573</v>
      </c>
      <c r="R69" s="27">
        <f t="shared" si="29"/>
        <v>258.69027819893563</v>
      </c>
      <c r="S69" s="27">
        <f t="shared" si="30"/>
        <v>5.481814571202702</v>
      </c>
      <c r="T69" s="27">
        <f t="shared" si="31"/>
        <v>5.4108553983011571</v>
      </c>
      <c r="U69" s="27">
        <f t="shared" si="32"/>
        <v>3.6691772624842316</v>
      </c>
      <c r="V69" s="27">
        <f t="shared" si="33"/>
        <v>10.89266996950386</v>
      </c>
    </row>
    <row r="70" spans="1:22" ht="22.05" customHeight="1">
      <c r="A70" s="19">
        <f>'03 Recorded O'!A57</f>
        <v>0.77430555555555536</v>
      </c>
      <c r="B70" s="16">
        <f>'03 Recorded O'!B57</f>
        <v>89.416666666666657</v>
      </c>
      <c r="C70" s="16">
        <f>('05 Reconstructed R'!$B$10-'05 Reconstructed R'!$B$15*('05 Reconstructed R'!E70/B70-'05 Reconstructed R'!$B$10)/('01 Traffic inputs'!$B$10-'05 Reconstructed R'!$B$15))*60</f>
        <v>0.74161653061185939</v>
      </c>
      <c r="D70" s="16">
        <f>'01 Traffic inputs'!$B$10*('05 Reconstructed R'!E70/B70-'05 Reconstructed R'!$B$10)/('01 Traffic inputs'!$B$10-'05 Reconstructed R'!$B$15)*60</f>
        <v>1.0885680245341069</v>
      </c>
      <c r="E70" s="16">
        <f>'05 Reconstructed R'!D70</f>
        <v>34.094922189431614</v>
      </c>
      <c r="F70" s="27">
        <f t="shared" si="17"/>
        <v>2.7274833717661413</v>
      </c>
      <c r="G70" s="27">
        <f t="shared" si="18"/>
        <v>22784.701731877212</v>
      </c>
      <c r="H70" s="27">
        <f t="shared" si="19"/>
        <v>11245.317573770626</v>
      </c>
      <c r="I70" s="27">
        <f t="shared" si="20"/>
        <v>12476.710090302844</v>
      </c>
      <c r="J70" s="27">
        <f t="shared" si="21"/>
        <v>34030.019305647838</v>
      </c>
      <c r="K70" s="27">
        <f t="shared" si="22"/>
        <v>33.537045337737403</v>
      </c>
      <c r="L70" s="27">
        <f t="shared" si="23"/>
        <v>6.6121708266687653</v>
      </c>
      <c r="M70" s="27">
        <f t="shared" si="24"/>
        <v>14.720242323020338</v>
      </c>
      <c r="N70" s="27">
        <f t="shared" si="25"/>
        <v>40.14921616440617</v>
      </c>
      <c r="O70" s="27">
        <f t="shared" si="26"/>
        <v>149.3562335911918</v>
      </c>
      <c r="P70" s="27">
        <f t="shared" si="27"/>
        <v>101.68482346211243</v>
      </c>
      <c r="Q70" s="27">
        <f t="shared" si="28"/>
        <v>92.041278657089052</v>
      </c>
      <c r="R70" s="27">
        <f t="shared" si="29"/>
        <v>251.04105705330423</v>
      </c>
      <c r="S70" s="27">
        <f t="shared" si="30"/>
        <v>6.0457782988280231</v>
      </c>
      <c r="T70" s="27">
        <f t="shared" si="31"/>
        <v>4.4635212524059202</v>
      </c>
      <c r="U70" s="27">
        <f t="shared" si="32"/>
        <v>3.8531122352649958</v>
      </c>
      <c r="V70" s="27">
        <f t="shared" si="33"/>
        <v>10.509299551233944</v>
      </c>
    </row>
    <row r="71" spans="1:22" ht="22.05" customHeight="1">
      <c r="A71" s="19">
        <f>'03 Recorded O'!A58</f>
        <v>0.77777777777777779</v>
      </c>
      <c r="B71" s="16">
        <f>'03 Recorded O'!B58</f>
        <v>90.041666666666657</v>
      </c>
      <c r="C71" s="16">
        <f>('05 Reconstructed R'!$B$10-'05 Reconstructed R'!$B$15*('05 Reconstructed R'!E71/B71-'05 Reconstructed R'!$B$10)/('01 Traffic inputs'!$B$10-'05 Reconstructed R'!$B$15))*60</f>
        <v>0.79200620817787426</v>
      </c>
      <c r="D71" s="16">
        <f>'01 Traffic inputs'!$B$10*('05 Reconstructed R'!E71/B71-'05 Reconstructed R'!$B$10)/('01 Traffic inputs'!$B$10-'05 Reconstructed R'!$B$15)*60</f>
        <v>0.85104018075829591</v>
      </c>
      <c r="E71" s="16">
        <f>'05 Reconstructed R'!D71</f>
        <v>37.978233858876983</v>
      </c>
      <c r="F71" s="27">
        <f t="shared" si="17"/>
        <v>2.4657105878410164</v>
      </c>
      <c r="G71" s="27">
        <f t="shared" si="18"/>
        <v>24502.905278564365</v>
      </c>
      <c r="H71" s="27">
        <f t="shared" si="19"/>
        <v>8853.0163415021052</v>
      </c>
      <c r="I71" s="27">
        <f t="shared" si="20"/>
        <v>13527.914340211766</v>
      </c>
      <c r="J71" s="27">
        <f t="shared" si="21"/>
        <v>33355.921620066467</v>
      </c>
      <c r="K71" s="27">
        <f t="shared" si="22"/>
        <v>36.066087452170237</v>
      </c>
      <c r="L71" s="27">
        <f t="shared" si="23"/>
        <v>5.2055138503015188</v>
      </c>
      <c r="M71" s="27">
        <f t="shared" si="24"/>
        <v>16.738217983080204</v>
      </c>
      <c r="N71" s="27">
        <f t="shared" si="25"/>
        <v>41.271601302471758</v>
      </c>
      <c r="O71" s="27">
        <f t="shared" si="26"/>
        <v>160.61924740177798</v>
      </c>
      <c r="P71" s="27">
        <f t="shared" si="27"/>
        <v>80.052643946007251</v>
      </c>
      <c r="Q71" s="27">
        <f t="shared" si="28"/>
        <v>97.607518309161435</v>
      </c>
      <c r="R71" s="27">
        <f t="shared" si="29"/>
        <v>240.67189134778522</v>
      </c>
      <c r="S71" s="27">
        <f t="shared" si="30"/>
        <v>6.5016928786092993</v>
      </c>
      <c r="T71" s="27">
        <f t="shared" si="31"/>
        <v>3.5139627074970829</v>
      </c>
      <c r="U71" s="27">
        <f t="shared" si="32"/>
        <v>4.0619753329915822</v>
      </c>
      <c r="V71" s="27">
        <f t="shared" si="33"/>
        <v>10.015655586106382</v>
      </c>
    </row>
    <row r="72" spans="1:22" ht="22.05" customHeight="1">
      <c r="A72" s="19">
        <f>'03 Recorded O'!A59</f>
        <v>0.78125</v>
      </c>
      <c r="B72" s="16">
        <f>'03 Recorded O'!B59</f>
        <v>91.604166666666643</v>
      </c>
      <c r="C72" s="16">
        <f>('05 Reconstructed R'!$B$10-'05 Reconstructed R'!$B$15*('05 Reconstructed R'!E72/B72-'05 Reconstructed R'!$B$10)/('01 Traffic inputs'!$B$10-'05 Reconstructed R'!$B$15))*60</f>
        <v>0.83684117262809565</v>
      </c>
      <c r="D72" s="16">
        <f>'01 Traffic inputs'!$B$10*('05 Reconstructed R'!E72/B72-'05 Reconstructed R'!$B$10)/('01 Traffic inputs'!$B$10-'05 Reconstructed R'!$B$15)*60</f>
        <v>0.63969625188170509</v>
      </c>
      <c r="E72" s="16">
        <f>'05 Reconstructed R'!D72</f>
        <v>42.26103515169455</v>
      </c>
      <c r="F72" s="27">
        <f t="shared" si="17"/>
        <v>2.254283005406108</v>
      </c>
      <c r="G72" s="27">
        <f t="shared" si="18"/>
        <v>26339.270215559449</v>
      </c>
      <c r="H72" s="27">
        <f t="shared" si="19"/>
        <v>6769.9694643587027</v>
      </c>
      <c r="I72" s="27">
        <f t="shared" si="20"/>
        <v>14687.259585649734</v>
      </c>
      <c r="J72" s="27">
        <f t="shared" si="21"/>
        <v>33109.239679918152</v>
      </c>
      <c r="K72" s="27">
        <f t="shared" si="22"/>
        <v>38.769052576461171</v>
      </c>
      <c r="L72" s="27">
        <f t="shared" si="23"/>
        <v>3.9806963472585384</v>
      </c>
      <c r="M72" s="27">
        <f t="shared" si="24"/>
        <v>18.963789737667991</v>
      </c>
      <c r="N72" s="27">
        <f t="shared" si="25"/>
        <v>42.749748923719707</v>
      </c>
      <c r="O72" s="27">
        <f t="shared" si="26"/>
        <v>172.65682216207372</v>
      </c>
      <c r="P72" s="27">
        <f t="shared" si="27"/>
        <v>61.216870516212609</v>
      </c>
      <c r="Q72" s="27">
        <f t="shared" si="28"/>
        <v>103.74637617256671</v>
      </c>
      <c r="R72" s="27">
        <f t="shared" si="29"/>
        <v>233.87369267828632</v>
      </c>
      <c r="S72" s="27">
        <f t="shared" si="30"/>
        <v>6.9889608453117482</v>
      </c>
      <c r="T72" s="27">
        <f t="shared" si="31"/>
        <v>2.6871542207742154</v>
      </c>
      <c r="U72" s="27">
        <f t="shared" si="32"/>
        <v>4.2923248957123796</v>
      </c>
      <c r="V72" s="27">
        <f t="shared" si="33"/>
        <v>9.6761150660859627</v>
      </c>
    </row>
    <row r="73" spans="1:22" ht="22.05" customHeight="1">
      <c r="A73" s="19">
        <f>'03 Recorded O'!A60</f>
        <v>0.78472222222222199</v>
      </c>
      <c r="B73" s="16">
        <f>'03 Recorded O'!B60</f>
        <v>95.875000000000057</v>
      </c>
      <c r="C73" s="16">
        <f>('05 Reconstructed R'!$B$10-'05 Reconstructed R'!$B$15*('05 Reconstructed R'!E73/B73-'05 Reconstructed R'!$B$10)/('01 Traffic inputs'!$B$10-'05 Reconstructed R'!$B$15))*60</f>
        <v>0.8762098965820122</v>
      </c>
      <c r="D73" s="16">
        <f>'01 Traffic inputs'!$B$10*('05 Reconstructed R'!E73/B73-'05 Reconstructed R'!$B$10)/('01 Traffic inputs'!$B$10-'05 Reconstructed R'!$B$15)*60</f>
        <v>0.45411919394701078</v>
      </c>
      <c r="E73" s="16">
        <f>'05 Reconstructed R'!D73</f>
        <v>46.905687054612216</v>
      </c>
      <c r="F73" s="27">
        <f t="shared" si="17"/>
        <v>2.1257550259078362</v>
      </c>
      <c r="G73" s="27">
        <f t="shared" si="18"/>
        <v>28864.16518280319</v>
      </c>
      <c r="H73" s="27">
        <f t="shared" si="19"/>
        <v>5030.0570497868093</v>
      </c>
      <c r="I73" s="27">
        <f t="shared" si="20"/>
        <v>15944.557025386759</v>
      </c>
      <c r="J73" s="27">
        <f t="shared" si="21"/>
        <v>33894.22223259</v>
      </c>
      <c r="K73" s="27">
        <f t="shared" si="22"/>
        <v>42.48547239120947</v>
      </c>
      <c r="L73" s="27">
        <f t="shared" si="23"/>
        <v>2.9576395920251226</v>
      </c>
      <c r="M73" s="27">
        <f t="shared" si="24"/>
        <v>21.377398349947413</v>
      </c>
      <c r="N73" s="27">
        <f t="shared" si="25"/>
        <v>45.443111983234594</v>
      </c>
      <c r="O73" s="27">
        <f t="shared" si="26"/>
        <v>189.20778723322417</v>
      </c>
      <c r="P73" s="27">
        <f t="shared" si="27"/>
        <v>45.483861149901088</v>
      </c>
      <c r="Q73" s="27">
        <f t="shared" si="28"/>
        <v>110.40390144809682</v>
      </c>
      <c r="R73" s="27">
        <f t="shared" si="29"/>
        <v>234.69164838312525</v>
      </c>
      <c r="S73" s="27">
        <f t="shared" si="30"/>
        <v>7.6589259552093987</v>
      </c>
      <c r="T73" s="27">
        <f t="shared" si="31"/>
        <v>1.9965435742700355</v>
      </c>
      <c r="U73" s="27">
        <f t="shared" si="32"/>
        <v>4.5421365170504151</v>
      </c>
      <c r="V73" s="27">
        <f t="shared" si="33"/>
        <v>9.6554695294794346</v>
      </c>
    </row>
    <row r="74" spans="1:22" ht="22.05" customHeight="1">
      <c r="A74" s="19">
        <f>'03 Recorded O'!A61</f>
        <v>0.78819444444444453</v>
      </c>
      <c r="B74" s="16">
        <f>'03 Recorded O'!B61</f>
        <v>97.666666666666544</v>
      </c>
      <c r="C74" s="16">
        <f>('05 Reconstructed R'!$B$10-'05 Reconstructed R'!$B$15*('05 Reconstructed R'!E74/B74-'05 Reconstructed R'!$B$10)/('01 Traffic inputs'!$B$10-'05 Reconstructed R'!$B$15))*60</f>
        <v>0.90901861754531155</v>
      </c>
      <c r="D74" s="16">
        <f>'01 Traffic inputs'!$B$10*('05 Reconstructed R'!E74/B74-'05 Reconstructed R'!$B$10)/('01 Traffic inputs'!$B$10-'05 Reconstructed R'!$B$15)*60</f>
        <v>0.29946480590800695</v>
      </c>
      <c r="E74" s="16">
        <f>'05 Reconstructed R'!D74</f>
        <v>51.634965601505101</v>
      </c>
      <c r="F74" s="27">
        <f t="shared" si="17"/>
        <v>1.9671424615101214</v>
      </c>
      <c r="G74" s="27">
        <f t="shared" si="18"/>
        <v>30504.549378240634</v>
      </c>
      <c r="H74" s="27">
        <f t="shared" si="19"/>
        <v>3379.0127548280707</v>
      </c>
      <c r="I74" s="27">
        <f t="shared" si="20"/>
        <v>17224.762718536014</v>
      </c>
      <c r="J74" s="27">
        <f t="shared" si="21"/>
        <v>33883.562133068706</v>
      </c>
      <c r="K74" s="27">
        <f t="shared" si="22"/>
        <v>44.899971373073519</v>
      </c>
      <c r="L74" s="27">
        <f t="shared" si="23"/>
        <v>1.986836691257996</v>
      </c>
      <c r="M74" s="27">
        <f t="shared" si="24"/>
        <v>23.834983475644055</v>
      </c>
      <c r="N74" s="27">
        <f t="shared" si="25"/>
        <v>46.886808064331518</v>
      </c>
      <c r="O74" s="27">
        <f t="shared" si="26"/>
        <v>199.96068661089222</v>
      </c>
      <c r="P74" s="27">
        <f t="shared" si="27"/>
        <v>30.554434163099337</v>
      </c>
      <c r="Q74" s="27">
        <f t="shared" si="28"/>
        <v>117.18272839122766</v>
      </c>
      <c r="R74" s="27">
        <f t="shared" si="29"/>
        <v>230.51512077399155</v>
      </c>
      <c r="S74" s="27">
        <f t="shared" si="30"/>
        <v>8.094191656170544</v>
      </c>
      <c r="T74" s="27">
        <f t="shared" si="31"/>
        <v>1.3412066973106018</v>
      </c>
      <c r="U74" s="27">
        <f t="shared" si="32"/>
        <v>4.7964997645558674</v>
      </c>
      <c r="V74" s="27">
        <f t="shared" si="33"/>
        <v>9.4353983534811459</v>
      </c>
    </row>
    <row r="75" spans="1:22" ht="22.05" customHeight="1">
      <c r="A75" s="19">
        <f>'03 Recorded O'!A62</f>
        <v>0.79166666666666663</v>
      </c>
      <c r="B75" s="16">
        <f>'03 Recorded O'!B62</f>
        <v>98.479166666666657</v>
      </c>
      <c r="C75" s="16">
        <f>('05 Reconstructed R'!$B$10-'05 Reconstructed R'!$B$15*('05 Reconstructed R'!E75/B75-'05 Reconstructed R'!$B$10)/('01 Traffic inputs'!$B$10-'05 Reconstructed R'!$B$15))*60</f>
        <v>0.93426223548676046</v>
      </c>
      <c r="D75" s="16">
        <f>'01 Traffic inputs'!$B$10*('05 Reconstructed R'!E75/B75-'05 Reconstructed R'!$B$10)/('01 Traffic inputs'!$B$10-'05 Reconstructed R'!$B$15)*60</f>
        <v>0.18047094787275048</v>
      </c>
      <c r="E75" s="16">
        <f>'05 Reconstructed R'!D75</f>
        <v>55.977520837716646</v>
      </c>
      <c r="F75" s="27">
        <f t="shared" si="17"/>
        <v>1.8296332492154193</v>
      </c>
      <c r="G75" s="27">
        <f t="shared" si="18"/>
        <v>31612.484494839067</v>
      </c>
      <c r="H75" s="27">
        <f t="shared" si="19"/>
        <v>2053.2854977165198</v>
      </c>
      <c r="I75" s="27">
        <f t="shared" si="20"/>
        <v>18400.283229981796</v>
      </c>
      <c r="J75" s="27">
        <f t="shared" si="21"/>
        <v>33665.769992555586</v>
      </c>
      <c r="K75" s="27">
        <f t="shared" si="22"/>
        <v>46.530752880502611</v>
      </c>
      <c r="L75" s="27">
        <f t="shared" si="23"/>
        <v>1.2073180128314405</v>
      </c>
      <c r="M75" s="27">
        <f t="shared" si="24"/>
        <v>26.091606563121339</v>
      </c>
      <c r="N75" s="27">
        <f t="shared" si="25"/>
        <v>47.738070893334054</v>
      </c>
      <c r="O75" s="27">
        <f t="shared" si="26"/>
        <v>207.22332353393989</v>
      </c>
      <c r="P75" s="27">
        <f t="shared" si="27"/>
        <v>18.566658698871414</v>
      </c>
      <c r="Q75" s="27">
        <f t="shared" si="28"/>
        <v>123.40723602920653</v>
      </c>
      <c r="R75" s="27">
        <f t="shared" si="29"/>
        <v>225.7899822328113</v>
      </c>
      <c r="S75" s="27">
        <f t="shared" si="30"/>
        <v>8.38817531956294</v>
      </c>
      <c r="T75" s="27">
        <f t="shared" si="31"/>
        <v>0.8149955211306239</v>
      </c>
      <c r="U75" s="27">
        <f t="shared" si="32"/>
        <v>5.0300631804980886</v>
      </c>
      <c r="V75" s="27">
        <f t="shared" si="33"/>
        <v>9.2031708406935646</v>
      </c>
    </row>
    <row r="76" spans="1:22" ht="22.05" customHeight="1">
      <c r="A76" s="19">
        <f>'03 Recorded O'!A63</f>
        <v>0.79513888888888873</v>
      </c>
      <c r="B76" s="16">
        <f>'03 Recorded O'!B63</f>
        <v>96.854166666666643</v>
      </c>
      <c r="C76" s="16">
        <f>('05 Reconstructed R'!$B$10-'05 Reconstructed R'!$B$15*('05 Reconstructed R'!E76/B76-'05 Reconstructed R'!$B$10)/('01 Traffic inputs'!$B$10-'05 Reconstructed R'!$B$15))*60</f>
        <v>0.95208919345269705</v>
      </c>
      <c r="D76" s="16">
        <f>'01 Traffic inputs'!$B$10*('05 Reconstructed R'!E76/B76-'05 Reconstructed R'!$B$10)/('01 Traffic inputs'!$B$10-'05 Reconstructed R'!$B$15)*60</f>
        <v>9.6437886117522936E-2</v>
      </c>
      <c r="E76" s="16">
        <f>'05 Reconstructed R'!D76</f>
        <v>59.512053828479388</v>
      </c>
      <c r="F76" s="27">
        <f t="shared" si="17"/>
        <v>1.6925702753201219</v>
      </c>
      <c r="G76" s="27">
        <f t="shared" si="18"/>
        <v>31684.102876615692</v>
      </c>
      <c r="H76" s="27">
        <f t="shared" si="19"/>
        <v>1079.1049048125817</v>
      </c>
      <c r="I76" s="27">
        <f t="shared" si="20"/>
        <v>19357.073829759684</v>
      </c>
      <c r="J76" s="27">
        <f t="shared" si="21"/>
        <v>32763.207781428275</v>
      </c>
      <c r="K76" s="27">
        <f t="shared" si="22"/>
        <v>46.636168740008806</v>
      </c>
      <c r="L76" s="27">
        <f t="shared" si="23"/>
        <v>0.63450639999350777</v>
      </c>
      <c r="M76" s="27">
        <f t="shared" si="24"/>
        <v>27.928338237572934</v>
      </c>
      <c r="N76" s="27">
        <f t="shared" si="25"/>
        <v>47.270675140002311</v>
      </c>
      <c r="O76" s="27">
        <f t="shared" si="26"/>
        <v>207.69278992783558</v>
      </c>
      <c r="P76" s="27">
        <f t="shared" si="27"/>
        <v>9.7577139127582964</v>
      </c>
      <c r="Q76" s="27">
        <f t="shared" si="28"/>
        <v>128.47354524140314</v>
      </c>
      <c r="R76" s="27">
        <f t="shared" si="29"/>
        <v>217.45050384059388</v>
      </c>
      <c r="S76" s="27">
        <f t="shared" si="30"/>
        <v>8.4071788098625966</v>
      </c>
      <c r="T76" s="27">
        <f t="shared" si="31"/>
        <v>0.42832117853576879</v>
      </c>
      <c r="U76" s="27">
        <f t="shared" si="32"/>
        <v>5.2201672906770584</v>
      </c>
      <c r="V76" s="27">
        <f t="shared" si="33"/>
        <v>8.8354999883983645</v>
      </c>
    </row>
    <row r="77" spans="1:22" ht="22.05" customHeight="1">
      <c r="A77" s="19">
        <f>'03 Recorded O'!A64</f>
        <v>0.79861111111111116</v>
      </c>
      <c r="B77" s="16">
        <f>'03 Recorded O'!B64</f>
        <v>98.4375</v>
      </c>
      <c r="C77" s="16">
        <f>('05 Reconstructed R'!$B$10-'05 Reconstructed R'!$B$15*('05 Reconstructed R'!E77/B77-'05 Reconstructed R'!$B$10)/('01 Traffic inputs'!$B$10-'05 Reconstructed R'!$B$15))*60</f>
        <v>0.96339177981086799</v>
      </c>
      <c r="D77" s="16">
        <f>'01 Traffic inputs'!$B$10*('05 Reconstructed R'!E77/B77-'05 Reconstructed R'!$B$10)/('01 Traffic inputs'!$B$10-'05 Reconstructed R'!$B$15)*60</f>
        <v>4.3159534351349303E-2</v>
      </c>
      <c r="E77" s="16">
        <f>'05 Reconstructed R'!D77</f>
        <v>61.993858755168006</v>
      </c>
      <c r="F77" s="27">
        <f t="shared" si="17"/>
        <v>1.6513732497973879</v>
      </c>
      <c r="G77" s="27">
        <f t="shared" si="18"/>
        <v>32584.343995128249</v>
      </c>
      <c r="H77" s="27">
        <f t="shared" si="19"/>
        <v>490.83440999291918</v>
      </c>
      <c r="I77" s="27">
        <f t="shared" si="20"/>
        <v>20028.893170686435</v>
      </c>
      <c r="J77" s="27">
        <f t="shared" si="21"/>
        <v>33075.178405121165</v>
      </c>
      <c r="K77" s="27">
        <f t="shared" si="22"/>
        <v>47.961243237877319</v>
      </c>
      <c r="L77" s="27">
        <f t="shared" si="23"/>
        <v>0.28860731990800736</v>
      </c>
      <c r="M77" s="27">
        <f t="shared" si="24"/>
        <v>29.218016316847361</v>
      </c>
      <c r="N77" s="27">
        <f t="shared" si="25"/>
        <v>48.249850557785329</v>
      </c>
      <c r="O77" s="27">
        <f t="shared" si="26"/>
        <v>213.59396977943939</v>
      </c>
      <c r="P77" s="27">
        <f t="shared" si="27"/>
        <v>4.438328219887242</v>
      </c>
      <c r="Q77" s="27">
        <f t="shared" si="28"/>
        <v>132.03090096444137</v>
      </c>
      <c r="R77" s="27">
        <f t="shared" si="29"/>
        <v>218.03229799932663</v>
      </c>
      <c r="S77" s="27">
        <f t="shared" si="30"/>
        <v>8.6460521680510531</v>
      </c>
      <c r="T77" s="27">
        <f t="shared" si="31"/>
        <v>0.1948232947663131</v>
      </c>
      <c r="U77" s="27">
        <f t="shared" si="32"/>
        <v>5.3536506443362093</v>
      </c>
      <c r="V77" s="27">
        <f t="shared" si="33"/>
        <v>8.8408754628173654</v>
      </c>
    </row>
    <row r="78" spans="1:22" ht="22.05" customHeight="1">
      <c r="A78" s="19">
        <f>'03 Recorded O'!A65</f>
        <v>0.80208333333333337</v>
      </c>
      <c r="B78" s="16">
        <f>'03 Recorded O'!B65</f>
        <v>96.520833333333314</v>
      </c>
      <c r="C78" s="16">
        <f>('05 Reconstructed R'!$B$10-'05 Reconstructed R'!$B$15*('05 Reconstructed R'!E78/B78-'05 Reconstructed R'!$B$10)/('01 Traffic inputs'!$B$10-'05 Reconstructed R'!$B$15))*60</f>
        <v>0.96951614172954637</v>
      </c>
      <c r="D78" s="16">
        <f>'01 Traffic inputs'!$B$10*('05 Reconstructed R'!E78/B78-'05 Reconstructed R'!$B$10)/('01 Traffic inputs'!$B$10-'05 Reconstructed R'!$B$15)*60</f>
        <v>1.4290397827492602E-2</v>
      </c>
      <c r="E78" s="16">
        <f>'05 Reconstructed R'!D78</f>
        <v>63.427104304568822</v>
      </c>
      <c r="F78" s="27">
        <f t="shared" si="17"/>
        <v>1.5826304506138058</v>
      </c>
      <c r="G78" s="27">
        <f t="shared" si="18"/>
        <v>32153.005672872805</v>
      </c>
      <c r="H78" s="27">
        <f t="shared" si="19"/>
        <v>159.35403235551394</v>
      </c>
      <c r="I78" s="27">
        <f t="shared" si="20"/>
        <v>20416.869707452126</v>
      </c>
      <c r="J78" s="27">
        <f t="shared" si="21"/>
        <v>32312.359705228318</v>
      </c>
      <c r="K78" s="27">
        <f t="shared" si="22"/>
        <v>47.326351763781524</v>
      </c>
      <c r="L78" s="27">
        <f t="shared" si="23"/>
        <v>9.3699095373778366E-2</v>
      </c>
      <c r="M78" s="27">
        <f t="shared" si="24"/>
        <v>29.962807072721215</v>
      </c>
      <c r="N78" s="27">
        <f t="shared" si="25"/>
        <v>47.420050859155303</v>
      </c>
      <c r="O78" s="27">
        <f t="shared" si="26"/>
        <v>210.76649948934184</v>
      </c>
      <c r="P78" s="27">
        <f t="shared" si="27"/>
        <v>1.4409452238006404</v>
      </c>
      <c r="Q78" s="27">
        <f t="shared" si="28"/>
        <v>134.08527848736901</v>
      </c>
      <c r="R78" s="27">
        <f t="shared" si="29"/>
        <v>212.20744471314248</v>
      </c>
      <c r="S78" s="27">
        <f t="shared" si="30"/>
        <v>8.5315992382373445</v>
      </c>
      <c r="T78" s="27">
        <f t="shared" si="31"/>
        <v>6.3251224823962046E-2</v>
      </c>
      <c r="U78" s="27">
        <f t="shared" si="32"/>
        <v>5.4307374534136432</v>
      </c>
      <c r="V78" s="27">
        <f t="shared" si="33"/>
        <v>8.5948504630613058</v>
      </c>
    </row>
    <row r="79" spans="1:22" ht="22.05" customHeight="1">
      <c r="A79" s="19">
        <f>'03 Recorded O'!A66</f>
        <v>0.80555555555555536</v>
      </c>
      <c r="B79" s="16">
        <f>'03 Recorded O'!B66</f>
        <v>93.687500000000043</v>
      </c>
      <c r="C79" s="16">
        <f>('05 Reconstructed R'!$B$10-'05 Reconstructed R'!$B$15*('05 Reconstructed R'!E79/B79-'05 Reconstructed R'!$B$10)/('01 Traffic inputs'!$B$10-'05 Reconstructed R'!$B$15))*60</f>
        <v>0.97196965753811648</v>
      </c>
      <c r="D79" s="16">
        <f>'01 Traffic inputs'!$B$10*('05 Reconstructed R'!E79/B79-'05 Reconstructed R'!$B$10)/('01 Traffic inputs'!$B$10-'05 Reconstructed R'!$B$15)*60</f>
        <v>2.7249672109539236E-3</v>
      </c>
      <c r="E79" s="16">
        <f>'05 Reconstructed R'!D79</f>
        <v>64.020051424891932</v>
      </c>
      <c r="F79" s="27">
        <f t="shared" si="17"/>
        <v>1.5219450442696429</v>
      </c>
      <c r="G79" s="27">
        <f t="shared" si="18"/>
        <v>31288.145884582285</v>
      </c>
      <c r="H79" s="27">
        <f t="shared" si="19"/>
        <v>29.494470678758098</v>
      </c>
      <c r="I79" s="27">
        <f t="shared" si="20"/>
        <v>20577.379237953941</v>
      </c>
      <c r="J79" s="27">
        <f t="shared" si="21"/>
        <v>31317.640355261043</v>
      </c>
      <c r="K79" s="27">
        <f t="shared" si="22"/>
        <v>46.053355422990919</v>
      </c>
      <c r="L79" s="27">
        <f t="shared" si="23"/>
        <v>1.734254966929576E-2</v>
      </c>
      <c r="M79" s="27">
        <f t="shared" si="24"/>
        <v>30.27093399076627</v>
      </c>
      <c r="N79" s="27">
        <f t="shared" si="25"/>
        <v>46.070697972660213</v>
      </c>
      <c r="O79" s="27">
        <f t="shared" si="26"/>
        <v>205.09724816081439</v>
      </c>
      <c r="P79" s="27">
        <f t="shared" si="27"/>
        <v>0.2667012313705906</v>
      </c>
      <c r="Q79" s="27">
        <f t="shared" si="28"/>
        <v>134.93519372819134</v>
      </c>
      <c r="R79" s="27">
        <f t="shared" si="29"/>
        <v>205.36394939218499</v>
      </c>
      <c r="S79" s="27">
        <f t="shared" si="30"/>
        <v>8.302114095043196</v>
      </c>
      <c r="T79" s="27">
        <f t="shared" si="31"/>
        <v>1.1707023464607877E-2</v>
      </c>
      <c r="U79" s="27">
        <f t="shared" si="32"/>
        <v>5.4626289890102262</v>
      </c>
      <c r="V79" s="27">
        <f t="shared" si="33"/>
        <v>8.3138211185078035</v>
      </c>
    </row>
    <row r="80" spans="1:22" ht="22.05" customHeight="1">
      <c r="A80" s="20">
        <f>'03 Recorded O'!A67</f>
        <v>0.80902777777777779</v>
      </c>
      <c r="B80" s="17">
        <f>'03 Recorded O'!B67</f>
        <v>87.625000000000043</v>
      </c>
      <c r="C80" s="17">
        <f>('05 Reconstructed R'!$B$10-'05 Reconstructed R'!$B$15*('05 Reconstructed R'!E80/B80-'05 Reconstructed R'!$B$10)/('01 Traffic inputs'!$B$10-'05 Reconstructed R'!$B$15))*60</f>
        <v>0.97251992783108765</v>
      </c>
      <c r="D80" s="17">
        <f>'01 Traffic inputs'!$B$10*('05 Reconstructed R'!E80/B80-'05 Reconstructed R'!$B$10)/('01 Traffic inputs'!$B$10-'05 Reconstructed R'!$B$15)*60</f>
        <v>1.3109238387052442E-4</v>
      </c>
      <c r="E80" s="17">
        <f>'05 Reconstructed R'!D80</f>
        <v>64.154561814175324</v>
      </c>
      <c r="F80" s="28">
        <f t="shared" si="17"/>
        <v>1.4204757607722625</v>
      </c>
      <c r="G80" s="28">
        <f t="shared" si="18"/>
        <v>29280.063234769383</v>
      </c>
      <c r="H80" s="28">
        <f t="shared" si="19"/>
        <v>1.3270985280856828</v>
      </c>
      <c r="I80" s="28">
        <f t="shared" si="20"/>
        <v>20613.790915642385</v>
      </c>
      <c r="J80" s="28">
        <f t="shared" si="21"/>
        <v>29281.39033329747</v>
      </c>
      <c r="K80" s="28">
        <f t="shared" si="22"/>
        <v>43.097637166891076</v>
      </c>
      <c r="L80" s="28">
        <f t="shared" si="23"/>
        <v>7.8032497650316673E-4</v>
      </c>
      <c r="M80" s="28">
        <f t="shared" si="24"/>
        <v>30.340832756228444</v>
      </c>
      <c r="N80" s="28">
        <f t="shared" si="25"/>
        <v>43.098417491867579</v>
      </c>
      <c r="O80" s="28">
        <f t="shared" si="26"/>
        <v>191.93404484811668</v>
      </c>
      <c r="P80" s="28">
        <f t="shared" si="27"/>
        <v>1.2000175064862463E-2</v>
      </c>
      <c r="Q80" s="28">
        <f t="shared" si="28"/>
        <v>135.1279974808069</v>
      </c>
      <c r="R80" s="28">
        <f t="shared" si="29"/>
        <v>191.94604502318154</v>
      </c>
      <c r="S80" s="28">
        <f t="shared" si="30"/>
        <v>7.7692819057366869</v>
      </c>
      <c r="T80" s="28">
        <f t="shared" si="31"/>
        <v>5.2675546468901216E-4</v>
      </c>
      <c r="U80" s="28">
        <f t="shared" si="32"/>
        <v>5.469863601880264</v>
      </c>
      <c r="V80" s="28">
        <f t="shared" si="33"/>
        <v>7.7698086612013757</v>
      </c>
    </row>
    <row r="81" spans="1:22" ht="22.05" customHeight="1">
      <c r="A81" s="1"/>
      <c r="B81" s="1"/>
      <c r="C81" s="1"/>
      <c r="D81" s="1"/>
      <c r="E81" s="1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1:22" ht="28.95" customHeight="1">
      <c r="A82" s="21" t="s">
        <v>78</v>
      </c>
      <c r="B82" s="21">
        <f>SUM(B24:B80)</f>
        <v>4789.2500000000009</v>
      </c>
      <c r="C82" s="21">
        <f>SUMPRODUCT(B24:B80,C24:C80)/B82</f>
        <v>0.56973321374156083</v>
      </c>
      <c r="D82" s="21">
        <f>SUMPRODUCT(B24:B80,D24:D80)/B82</f>
        <v>1.8987949521374707</v>
      </c>
      <c r="E82" s="21">
        <f>B82*'01 Traffic inputs'!$B$8/F82</f>
        <v>25.278220788613471</v>
      </c>
      <c r="F82" s="30">
        <f>SUM(F24:F80)</f>
        <v>197.03997530726926</v>
      </c>
      <c r="G82" s="30">
        <f>SUM(G24:G80)</f>
        <v>937528.58111862105</v>
      </c>
      <c r="H82" s="30">
        <f>SUM(H24:H80)</f>
        <v>1050614.1649142501</v>
      </c>
      <c r="I82" s="30">
        <f>J82/F82</f>
        <v>10090.04768160628</v>
      </c>
      <c r="J82" s="30">
        <f>SUM(J24:J80)</f>
        <v>1988142.7460328708</v>
      </c>
      <c r="K82" s="30">
        <f>SUM(K24:K80)</f>
        <v>1379.9583115196358</v>
      </c>
      <c r="L82" s="30">
        <f>SUM(L24:L80)</f>
        <v>617.75403724784678</v>
      </c>
      <c r="M82" s="30">
        <f>N82/F82</f>
        <v>10.1386144900404</v>
      </c>
      <c r="N82" s="30">
        <f>SUM(N24:N80)</f>
        <v>1997.7123487674826</v>
      </c>
      <c r="O82" s="30">
        <f>SUM(O24:O80)</f>
        <v>6145.6032827529452</v>
      </c>
      <c r="P82" s="30">
        <f>SUM(P24:P80)</f>
        <v>9500.0888312199877</v>
      </c>
      <c r="Q82" s="30">
        <f>R82/F82</f>
        <v>79.403644309103427</v>
      </c>
      <c r="R82" s="30">
        <f>SUM(R24:R80)</f>
        <v>15645.692113972929</v>
      </c>
      <c r="S82" s="30">
        <f>SUM(S24:S80)</f>
        <v>248.76735350579443</v>
      </c>
      <c r="T82" s="30">
        <f>SUM(T24:T80)</f>
        <v>417.01255855249781</v>
      </c>
      <c r="U82" s="30">
        <f>V82/F82</f>
        <v>3.3789078130976091</v>
      </c>
      <c r="V82" s="30">
        <f>SUM(V24:V80)</f>
        <v>665.7799120582921</v>
      </c>
    </row>
    <row r="83" spans="1:22" ht="22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2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2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2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</sheetData>
  <mergeCells count="4">
    <mergeCell ref="A1:H1"/>
    <mergeCell ref="A2:H3"/>
    <mergeCell ref="A13:J15"/>
    <mergeCell ref="A18:J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324D"/>
  </sheetPr>
  <dimension ref="A1:V86"/>
  <sheetViews>
    <sheetView showGridLines="0" workbookViewId="0">
      <pane ySplit="23" topLeftCell="A24" activePane="bottomLeft" state="frozen"/>
      <selection pane="bottomLeft" sqref="A1:H1"/>
    </sheetView>
  </sheetViews>
  <sheetFormatPr defaultRowHeight="13.8"/>
  <cols>
    <col min="1" max="22" width="15" customWidth="1"/>
  </cols>
  <sheetData>
    <row r="1" spans="1:22" ht="31.05" customHeight="1">
      <c r="A1" s="31" t="s">
        <v>152</v>
      </c>
      <c r="B1" s="31"/>
      <c r="C1" s="31"/>
      <c r="D1" s="31"/>
      <c r="E1" s="31"/>
      <c r="F1" s="31"/>
      <c r="G1" s="3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95" customHeight="1">
      <c r="A2" s="32" t="s">
        <v>128</v>
      </c>
      <c r="B2" s="32"/>
      <c r="C2" s="32"/>
      <c r="D2" s="32"/>
      <c r="E2" s="32"/>
      <c r="F2" s="32"/>
      <c r="G2" s="32"/>
      <c r="H2" s="3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.95" customHeight="1">
      <c r="A3" s="32"/>
      <c r="B3" s="32"/>
      <c r="C3" s="32"/>
      <c r="D3" s="32"/>
      <c r="E3" s="32"/>
      <c r="F3" s="32"/>
      <c r="G3" s="32"/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0.049999999999997" customHeight="1">
      <c r="A6" s="4" t="s">
        <v>129</v>
      </c>
      <c r="B6" s="4" t="s">
        <v>153</v>
      </c>
      <c r="C6" s="4" t="s">
        <v>154</v>
      </c>
      <c r="D6" s="4" t="s">
        <v>155</v>
      </c>
      <c r="E6" s="4" t="s">
        <v>156</v>
      </c>
      <c r="F6" s="4" t="s">
        <v>130</v>
      </c>
      <c r="G6" s="4" t="s">
        <v>131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2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2.05" customHeight="1">
      <c r="A8" s="1" t="s">
        <v>157</v>
      </c>
      <c r="B8" s="23">
        <v>8801.6334403973251</v>
      </c>
      <c r="C8" s="23">
        <v>-281.94373063210361</v>
      </c>
      <c r="D8" s="23">
        <v>9.9634722839973158</v>
      </c>
      <c r="E8" s="23">
        <v>-5.1321778768490527E-2</v>
      </c>
      <c r="F8" s="1">
        <f>B8+C8*'01 Traffic inputs'!$B$10+D8*'01 Traffic inputs'!$B$10^2+E8*'01 Traffic inputs'!$B$10^3</f>
        <v>18172.460333653522</v>
      </c>
      <c r="G8" s="1">
        <f>B8+C8*'05 Reconstructed R'!$B$15+D8*'05 Reconstructed R'!$B$15^2+E8*'05 Reconstructed R'!$B$15^3</f>
        <v>6680.4991165376368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2.05" customHeight="1">
      <c r="A9" s="1" t="s">
        <v>158</v>
      </c>
      <c r="B9" s="23">
        <v>7.4223415177345506</v>
      </c>
      <c r="C9" s="23">
        <v>-0.50713252655934349</v>
      </c>
      <c r="D9" s="23">
        <v>1.804329008046688E-2</v>
      </c>
      <c r="E9" s="23">
        <v>-8.9479783762999219E-5</v>
      </c>
      <c r="F9" s="1">
        <f>B9+C9*'01 Traffic inputs'!$B$10+D9*'01 Traffic inputs'!$B$10^2+E9*'01 Traffic inputs'!$B$10^3</f>
        <v>25.528036988360135</v>
      </c>
      <c r="G9" s="1">
        <f>B9+C9*'05 Reconstructed R'!$B$15+D9*'05 Reconstructed R'!$B$15^2+E9*'05 Reconstructed R'!$B$15^3</f>
        <v>3.6367973237124982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.05" customHeight="1">
      <c r="A10" s="1" t="s">
        <v>134</v>
      </c>
      <c r="B10" s="23">
        <v>58.178423969901566</v>
      </c>
      <c r="C10" s="23">
        <v>6.492322686651926E-2</v>
      </c>
      <c r="D10" s="23">
        <v>2.0176382564744251E-2</v>
      </c>
      <c r="E10" s="23">
        <v>-9.4395724584266861E-5</v>
      </c>
      <c r="F10" s="1">
        <f>B10+C10*'01 Traffic inputs'!$B$10+D10*'01 Traffic inputs'!$B$10^2+E10*'01 Traffic inputs'!$B$10^3</f>
        <v>120.47080939440815</v>
      </c>
      <c r="G10" s="1">
        <f>B10+C10*'05 Reconstructed R'!$B$15+D10*'05 Reconstructed R'!$B$15^2+E10*'05 Reconstructed R'!$B$15^3</f>
        <v>62.562120051979768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.05" customHeight="1">
      <c r="A11" s="1" t="s">
        <v>135</v>
      </c>
      <c r="B11" s="23">
        <v>2.941868430060413</v>
      </c>
      <c r="C11" s="23">
        <v>-4.07633863391412E-2</v>
      </c>
      <c r="D11" s="23">
        <v>1.9420510837799651E-3</v>
      </c>
      <c r="E11" s="23">
        <v>-1.2368607529741969E-5</v>
      </c>
      <c r="F11" s="1">
        <f>B11+C11*'01 Traffic inputs'!$B$10+D11*'01 Traffic inputs'!$B$10^2+E11*'01 Traffic inputs'!$B$10^3</f>
        <v>5.0542955269409164</v>
      </c>
      <c r="G11" s="1">
        <f>B11+C11*'05 Reconstructed R'!$B$15+D11*'05 Reconstructed R'!$B$15^2+E11*'05 Reconstructed R'!$B$15^3</f>
        <v>2.7156345511004951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.05" customHeight="1">
      <c r="A13" s="32" t="s">
        <v>159</v>
      </c>
      <c r="B13" s="32"/>
      <c r="C13" s="32"/>
      <c r="D13" s="32"/>
      <c r="E13" s="32"/>
      <c r="F13" s="32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.0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.0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.05" customHeight="1">
      <c r="A18" s="32" t="s">
        <v>137</v>
      </c>
      <c r="B18" s="32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.0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.0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0.049999999999997" customHeight="1">
      <c r="A23" s="4" t="s">
        <v>45</v>
      </c>
      <c r="B23" s="4" t="s">
        <v>46</v>
      </c>
      <c r="C23" s="4" t="s">
        <v>138</v>
      </c>
      <c r="D23" s="4" t="s">
        <v>139</v>
      </c>
      <c r="E23" s="4" t="s">
        <v>68</v>
      </c>
      <c r="F23" s="4" t="s">
        <v>69</v>
      </c>
      <c r="G23" s="4" t="s">
        <v>140</v>
      </c>
      <c r="H23" s="4" t="s">
        <v>141</v>
      </c>
      <c r="I23" s="4" t="s">
        <v>142</v>
      </c>
      <c r="J23" s="4" t="s">
        <v>71</v>
      </c>
      <c r="K23" s="4" t="s">
        <v>143</v>
      </c>
      <c r="L23" s="4" t="s">
        <v>144</v>
      </c>
      <c r="M23" s="4" t="s">
        <v>145</v>
      </c>
      <c r="N23" s="4" t="s">
        <v>73</v>
      </c>
      <c r="O23" s="4" t="s">
        <v>146</v>
      </c>
      <c r="P23" s="4" t="s">
        <v>147</v>
      </c>
      <c r="Q23" s="4" t="s">
        <v>148</v>
      </c>
      <c r="R23" s="4" t="s">
        <v>75</v>
      </c>
      <c r="S23" s="4" t="s">
        <v>149</v>
      </c>
      <c r="T23" s="4" t="s">
        <v>150</v>
      </c>
      <c r="U23" s="4" t="s">
        <v>151</v>
      </c>
      <c r="V23" s="4" t="s">
        <v>77</v>
      </c>
    </row>
    <row r="24" spans="1:22" ht="22.05" customHeight="1">
      <c r="A24" s="18">
        <f>'03 Recorded O'!A11</f>
        <v>0.61458333333333337</v>
      </c>
      <c r="B24" s="15">
        <f>'03 Recorded O'!B11</f>
        <v>125.54166666666664</v>
      </c>
      <c r="C24" s="15">
        <f>('05 Reconstructed R'!$B$10-'05 Reconstructed R'!$B$15*('05 Reconstructed R'!E24/B24-'05 Reconstructed R'!$B$10)/('01 Traffic inputs'!$B$10-'05 Reconstructed R'!$B$15))*60</f>
        <v>0.97245517401529968</v>
      </c>
      <c r="D24" s="15">
        <f>'01 Traffic inputs'!$B$10*('05 Reconstructed R'!E24/B24-'05 Reconstructed R'!$B$10)/('01 Traffic inputs'!$B$10-'05 Reconstructed R'!$B$15)*60</f>
        <v>4.3633018223175358E-4</v>
      </c>
      <c r="E24" s="15">
        <f>'05 Reconstructed R'!D24</f>
        <v>64.138703782258361</v>
      </c>
      <c r="F24" s="26">
        <f t="shared" ref="F24:F55" si="0">B24*(C24+D24)/60</f>
        <v>2.0356403487133066</v>
      </c>
      <c r="G24" s="26">
        <f t="shared" ref="G24:G55" si="1">B24*C24/60*$F$8</f>
        <v>36976.002755650094</v>
      </c>
      <c r="H24" s="26">
        <f t="shared" ref="H24:H55" si="2">B24*D24/60*$G$8</f>
        <v>6.0990305103567639</v>
      </c>
      <c r="I24" s="26">
        <f t="shared" ref="I24:I55" si="3">J24/F24</f>
        <v>18167.306326746864</v>
      </c>
      <c r="J24" s="26">
        <f t="shared" ref="J24:J55" si="4">G24+H24</f>
        <v>36982.101786160449</v>
      </c>
      <c r="K24" s="26">
        <f t="shared" ref="K24:K55" si="5">B24*C24/60*$F$9</f>
        <v>51.942596032519084</v>
      </c>
      <c r="L24" s="26">
        <f t="shared" ref="L24:L55" si="6">B24*D24/60*$G$9</f>
        <v>3.3202515935369611E-3</v>
      </c>
      <c r="M24" s="26">
        <f t="shared" ref="M24:M55" si="7">N24/F24</f>
        <v>25.518219029676214</v>
      </c>
      <c r="N24" s="26">
        <f t="shared" ref="N24:N55" si="8">K24+L24</f>
        <v>51.94591628411262</v>
      </c>
      <c r="O24" s="26">
        <f t="shared" ref="O24:O55" si="9">B24*C24/60*$F$10</f>
        <v>245.12525537853037</v>
      </c>
      <c r="P24" s="26">
        <f t="shared" ref="P24:P55" si="10">B24*D24/60*$G$10</f>
        <v>5.7116732198205296E-2</v>
      </c>
      <c r="Q24" s="26">
        <f t="shared" ref="Q24:Q55" si="11">R24/F24</f>
        <v>120.44483804111279</v>
      </c>
      <c r="R24" s="26">
        <f t="shared" ref="R24:R55" si="12">O24+P24</f>
        <v>245.18237211072858</v>
      </c>
      <c r="S24" s="26">
        <f t="shared" ref="S24:S55" si="13">B24*C24/60*$F$11</f>
        <v>10.284113537776754</v>
      </c>
      <c r="T24" s="26">
        <f t="shared" ref="T24:T55" si="14">B24*D24/60*$G$11</f>
        <v>2.4792665477852849E-3</v>
      </c>
      <c r="U24" s="26">
        <f t="shared" ref="U24:U55" si="15">V24/F24</f>
        <v>5.053246665515605</v>
      </c>
      <c r="V24" s="26">
        <f t="shared" ref="V24:V55" si="16">S24+T24</f>
        <v>10.28659280432454</v>
      </c>
    </row>
    <row r="25" spans="1:22" ht="22.05" customHeight="1">
      <c r="A25" s="19">
        <f>'03 Recorded O'!A12</f>
        <v>0.61805555555555558</v>
      </c>
      <c r="B25" s="16">
        <f>'03 Recorded O'!B12</f>
        <v>120.22916666666664</v>
      </c>
      <c r="C25" s="16">
        <f>('05 Reconstructed R'!$B$10-'05 Reconstructed R'!$B$15*('05 Reconstructed R'!E25/B25-'05 Reconstructed R'!$B$10)/('01 Traffic inputs'!$B$10-'05 Reconstructed R'!$B$15))*60</f>
        <v>0.97092515267879165</v>
      </c>
      <c r="D25" s="16">
        <f>'01 Traffic inputs'!$B$10*('05 Reconstructed R'!E25/B25-'05 Reconstructed R'!$B$10)/('01 Traffic inputs'!$B$10-'05 Reconstructed R'!$B$15)*60</f>
        <v>7.6485745653319297E-3</v>
      </c>
      <c r="E25" s="16">
        <f>'05 Reconstructed R'!D25</f>
        <v>63.766273570140903</v>
      </c>
      <c r="F25" s="27">
        <f t="shared" si="0"/>
        <v>1.9608850624742487</v>
      </c>
      <c r="G25" s="27">
        <f t="shared" si="1"/>
        <v>35355.588303234217</v>
      </c>
      <c r="H25" s="27">
        <f t="shared" si="2"/>
        <v>102.3877507154066</v>
      </c>
      <c r="I25" s="27">
        <f t="shared" si="3"/>
        <v>18082.638667872088</v>
      </c>
      <c r="J25" s="27">
        <f t="shared" si="4"/>
        <v>35457.976053949627</v>
      </c>
      <c r="K25" s="27">
        <f t="shared" si="5"/>
        <v>49.666294457594731</v>
      </c>
      <c r="L25" s="27">
        <f t="shared" si="6"/>
        <v>5.5738873890566629E-2</v>
      </c>
      <c r="M25" s="27">
        <f t="shared" si="7"/>
        <v>25.356934112571565</v>
      </c>
      <c r="N25" s="27">
        <f t="shared" si="8"/>
        <v>49.722033331485299</v>
      </c>
      <c r="O25" s="27">
        <f t="shared" si="9"/>
        <v>234.38303131790477</v>
      </c>
      <c r="P25" s="27">
        <f t="shared" si="10"/>
        <v>0.95884972669966173</v>
      </c>
      <c r="Q25" s="27">
        <f t="shared" si="11"/>
        <v>120.0181925745559</v>
      </c>
      <c r="R25" s="27">
        <f t="shared" si="12"/>
        <v>235.34188104460443</v>
      </c>
      <c r="S25" s="27">
        <f t="shared" si="13"/>
        <v>9.8334286350028108</v>
      </c>
      <c r="T25" s="27">
        <f t="shared" si="14"/>
        <v>4.1620799374692367E-2</v>
      </c>
      <c r="U25" s="27">
        <f t="shared" si="15"/>
        <v>5.0360164516308501</v>
      </c>
      <c r="V25" s="27">
        <f t="shared" si="16"/>
        <v>9.8750494343775035</v>
      </c>
    </row>
    <row r="26" spans="1:22" ht="22.05" customHeight="1">
      <c r="A26" s="19">
        <f>'03 Recorded O'!A13</f>
        <v>0.62152777777777779</v>
      </c>
      <c r="B26" s="16">
        <f>'03 Recorded O'!B13</f>
        <v>116.20833333333346</v>
      </c>
      <c r="C26" s="16">
        <f>('05 Reconstructed R'!$B$10-'05 Reconstructed R'!$B$15*('05 Reconstructed R'!E26/B26-'05 Reconstructed R'!$B$10)/('01 Traffic inputs'!$B$10-'05 Reconstructed R'!$B$15))*60</f>
        <v>0.96526411884132091</v>
      </c>
      <c r="D26" s="16">
        <f>'01 Traffic inputs'!$B$10*('05 Reconstructed R'!E26/B26-'05 Reconstructed R'!$B$10)/('01 Traffic inputs'!$B$10-'05 Reconstructed R'!$B$15)*60</f>
        <v>3.4333666153677819E-2</v>
      </c>
      <c r="E26" s="16">
        <f>'05 Reconstructed R'!D26</f>
        <v>62.425108315254455</v>
      </c>
      <c r="F26" s="27">
        <f t="shared" si="0"/>
        <v>1.9360265432993435</v>
      </c>
      <c r="G26" s="27">
        <f t="shared" si="1"/>
        <v>33973.939922345598</v>
      </c>
      <c r="H26" s="27">
        <f t="shared" si="2"/>
        <v>444.23739420105693</v>
      </c>
      <c r="I26" s="27">
        <f t="shared" si="3"/>
        <v>17777.740411498587</v>
      </c>
      <c r="J26" s="27">
        <f t="shared" si="4"/>
        <v>34418.177316546658</v>
      </c>
      <c r="K26" s="27">
        <f t="shared" si="5"/>
        <v>47.725403112964052</v>
      </c>
      <c r="L26" s="27">
        <f t="shared" si="6"/>
        <v>0.24183842227057287</v>
      </c>
      <c r="M26" s="27">
        <f t="shared" si="7"/>
        <v>24.776128044964544</v>
      </c>
      <c r="N26" s="27">
        <f t="shared" si="8"/>
        <v>47.967241535234628</v>
      </c>
      <c r="O26" s="27">
        <f t="shared" si="9"/>
        <v>225.22366072701786</v>
      </c>
      <c r="P26" s="27">
        <f t="shared" si="10"/>
        <v>4.1602330458789769</v>
      </c>
      <c r="Q26" s="27">
        <f t="shared" si="11"/>
        <v>118.48179177439619</v>
      </c>
      <c r="R26" s="27">
        <f t="shared" si="12"/>
        <v>229.38389377289684</v>
      </c>
      <c r="S26" s="27">
        <f t="shared" si="13"/>
        <v>9.4491515969399895</v>
      </c>
      <c r="T26" s="27">
        <f t="shared" si="14"/>
        <v>0.18058327612031566</v>
      </c>
      <c r="U26" s="27">
        <f t="shared" si="15"/>
        <v>4.9739684129792332</v>
      </c>
      <c r="V26" s="27">
        <f t="shared" si="16"/>
        <v>9.6297348730603058</v>
      </c>
    </row>
    <row r="27" spans="1:22" ht="22.05" customHeight="1">
      <c r="A27" s="19">
        <f>'03 Recorded O'!A14</f>
        <v>0.625</v>
      </c>
      <c r="B27" s="16">
        <f>'03 Recorded O'!B14</f>
        <v>109.89583333333329</v>
      </c>
      <c r="C27" s="16">
        <f>('05 Reconstructed R'!$B$10-'05 Reconstructed R'!$B$15*('05 Reconstructed R'!E27/B27-'05 Reconstructed R'!$B$10)/('01 Traffic inputs'!$B$10-'05 Reconstructed R'!$B$15))*60</f>
        <v>0.95349595266449982</v>
      </c>
      <c r="D27" s="16">
        <f>'01 Traffic inputs'!$B$10*('05 Reconstructed R'!E27/B27-'05 Reconstructed R'!$B$10)/('01 Traffic inputs'!$B$10-'05 Reconstructed R'!$B$15)*60</f>
        <v>8.9806677139185442E-2</v>
      </c>
      <c r="E27" s="16">
        <f>'05 Reconstructed R'!D27</f>
        <v>59.810066818045705</v>
      </c>
      <c r="F27" s="27">
        <f t="shared" si="0"/>
        <v>1.9109101986855686</v>
      </c>
      <c r="G27" s="27">
        <f t="shared" si="1"/>
        <v>31736.757958142371</v>
      </c>
      <c r="H27" s="27">
        <f t="shared" si="2"/>
        <v>1098.8730308825031</v>
      </c>
      <c r="I27" s="27">
        <f t="shared" si="3"/>
        <v>17183.241269846731</v>
      </c>
      <c r="J27" s="27">
        <f t="shared" si="4"/>
        <v>32835.630989024874</v>
      </c>
      <c r="K27" s="27">
        <f t="shared" si="5"/>
        <v>44.582688098965157</v>
      </c>
      <c r="L27" s="27">
        <f t="shared" si="6"/>
        <v>0.59821555666705462</v>
      </c>
      <c r="M27" s="27">
        <f t="shared" si="7"/>
        <v>23.643656141827165</v>
      </c>
      <c r="N27" s="27">
        <f t="shared" si="8"/>
        <v>45.180903655632214</v>
      </c>
      <c r="O27" s="27">
        <f t="shared" si="9"/>
        <v>210.39269579207061</v>
      </c>
      <c r="P27" s="27">
        <f t="shared" si="10"/>
        <v>10.290821880324504</v>
      </c>
      <c r="Q27" s="27">
        <f t="shared" si="11"/>
        <v>115.48607455452048</v>
      </c>
      <c r="R27" s="27">
        <f t="shared" si="12"/>
        <v>220.68351767239511</v>
      </c>
      <c r="S27" s="27">
        <f t="shared" si="13"/>
        <v>8.826925514889604</v>
      </c>
      <c r="T27" s="27">
        <f t="shared" si="14"/>
        <v>0.44669380504067235</v>
      </c>
      <c r="U27" s="27">
        <f t="shared" si="15"/>
        <v>4.8529854130817833</v>
      </c>
      <c r="V27" s="27">
        <f t="shared" si="16"/>
        <v>9.2736193199302761</v>
      </c>
    </row>
    <row r="28" spans="1:22" ht="22.05" customHeight="1">
      <c r="A28" s="19">
        <f>'03 Recorded O'!A15</f>
        <v>0.62847222222222221</v>
      </c>
      <c r="B28" s="16">
        <f>'03 Recorded O'!B15</f>
        <v>106.89583333333329</v>
      </c>
      <c r="C28" s="16">
        <f>('05 Reconstructed R'!$B$10-'05 Reconstructed R'!$B$15*('05 Reconstructed R'!E28/B28-'05 Reconstructed R'!$B$10)/('01 Traffic inputs'!$B$10-'05 Reconstructed R'!$B$15))*60</f>
        <v>0.93468430995541119</v>
      </c>
      <c r="D28" s="16">
        <f>'01 Traffic inputs'!$B$10*('05 Reconstructed R'!E28/B28-'05 Reconstructed R'!$B$10)/('01 Traffic inputs'!$B$10-'05 Reconstructed R'!$B$15)*60</f>
        <v>0.17848136501979245</v>
      </c>
      <c r="E28" s="16">
        <f>'05 Reconstructed R'!D28</f>
        <v>56.056345791825834</v>
      </c>
      <c r="F28" s="27">
        <f t="shared" si="0"/>
        <v>1.9832128744089472</v>
      </c>
      <c r="G28" s="27">
        <f t="shared" si="1"/>
        <v>30261.343753625733</v>
      </c>
      <c r="H28" s="27">
        <f t="shared" si="2"/>
        <v>2124.2778296668107</v>
      </c>
      <c r="I28" s="27">
        <f t="shared" si="3"/>
        <v>16329.876636639101</v>
      </c>
      <c r="J28" s="27">
        <f t="shared" si="4"/>
        <v>32385.621583292545</v>
      </c>
      <c r="K28" s="27">
        <f t="shared" si="5"/>
        <v>42.510077803247412</v>
      </c>
      <c r="L28" s="27">
        <f t="shared" si="6"/>
        <v>1.1564357379569645</v>
      </c>
      <c r="M28" s="27">
        <f t="shared" si="7"/>
        <v>22.018066796898044</v>
      </c>
      <c r="N28" s="27">
        <f t="shared" si="8"/>
        <v>43.666513541204374</v>
      </c>
      <c r="O28" s="27">
        <f t="shared" si="9"/>
        <v>200.6117228172136</v>
      </c>
      <c r="P28" s="27">
        <f t="shared" si="10"/>
        <v>19.893622061019443</v>
      </c>
      <c r="Q28" s="27">
        <f t="shared" si="11"/>
        <v>111.1859184274153</v>
      </c>
      <c r="R28" s="27">
        <f t="shared" si="12"/>
        <v>220.50534487823305</v>
      </c>
      <c r="S28" s="27">
        <f t="shared" si="13"/>
        <v>8.4165694443654822</v>
      </c>
      <c r="T28" s="27">
        <f t="shared" si="14"/>
        <v>0.86352264550104341</v>
      </c>
      <c r="U28" s="27">
        <f t="shared" si="15"/>
        <v>4.679322229910519</v>
      </c>
      <c r="V28" s="27">
        <f t="shared" si="16"/>
        <v>9.2800920898665247</v>
      </c>
    </row>
    <row r="29" spans="1:22" ht="22.05" customHeight="1">
      <c r="A29" s="19">
        <f>'03 Recorded O'!A16</f>
        <v>0.63194444444444442</v>
      </c>
      <c r="B29" s="16">
        <f>'03 Recorded O'!B16</f>
        <v>104.5208333333334</v>
      </c>
      <c r="C29" s="16">
        <f>('05 Reconstructed R'!$B$10-'05 Reconstructed R'!$B$15*('05 Reconstructed R'!E29/B29-'05 Reconstructed R'!$B$10)/('01 Traffic inputs'!$B$10-'05 Reconstructed R'!$B$15))*60</f>
        <v>0.90836870693100191</v>
      </c>
      <c r="D29" s="16">
        <f>'01 Traffic inputs'!$B$10*('05 Reconstructed R'!E29/B29-'05 Reconstructed R'!$B$10)/('01 Traffic inputs'!$B$10-'05 Reconstructed R'!$B$15)*60</f>
        <v>0.30252836722295606</v>
      </c>
      <c r="E29" s="16">
        <f>'05 Reconstructed R'!D29</f>
        <v>51.532042922475057</v>
      </c>
      <c r="F29" s="27">
        <f t="shared" si="0"/>
        <v>2.109399521191115</v>
      </c>
      <c r="G29" s="27">
        <f t="shared" si="1"/>
        <v>28755.935929928655</v>
      </c>
      <c r="H29" s="27">
        <f t="shared" si="2"/>
        <v>3520.6806035180539</v>
      </c>
      <c r="I29" s="27">
        <f t="shared" si="3"/>
        <v>15301.329221512797</v>
      </c>
      <c r="J29" s="27">
        <f t="shared" si="4"/>
        <v>32276.616533446708</v>
      </c>
      <c r="K29" s="27">
        <f t="shared" si="5"/>
        <v>40.395333519847483</v>
      </c>
      <c r="L29" s="27">
        <f t="shared" si="6"/>
        <v>1.9166235296438461</v>
      </c>
      <c r="M29" s="27">
        <f t="shared" si="7"/>
        <v>20.058768680102396</v>
      </c>
      <c r="N29" s="27">
        <f t="shared" si="8"/>
        <v>42.311957049491326</v>
      </c>
      <c r="O29" s="27">
        <f t="shared" si="9"/>
        <v>190.63191294779236</v>
      </c>
      <c r="P29" s="27">
        <f t="shared" si="10"/>
        <v>32.970776395541215</v>
      </c>
      <c r="Q29" s="27">
        <f t="shared" si="11"/>
        <v>106.0030056407104</v>
      </c>
      <c r="R29" s="27">
        <f t="shared" si="12"/>
        <v>223.60268934333357</v>
      </c>
      <c r="S29" s="27">
        <f t="shared" si="13"/>
        <v>7.9978712664724574</v>
      </c>
      <c r="T29" s="27">
        <f t="shared" si="14"/>
        <v>1.4311628103706981</v>
      </c>
      <c r="U29" s="27">
        <f t="shared" si="15"/>
        <v>4.4700086361633673</v>
      </c>
      <c r="V29" s="27">
        <f t="shared" si="16"/>
        <v>9.4290340768431555</v>
      </c>
    </row>
    <row r="30" spans="1:22" ht="22.05" customHeight="1">
      <c r="A30" s="19">
        <f>'03 Recorded O'!A17</f>
        <v>0.63541666666666663</v>
      </c>
      <c r="B30" s="16">
        <f>'03 Recorded O'!B17</f>
        <v>102.27083333333336</v>
      </c>
      <c r="C30" s="16">
        <f>('05 Reconstructed R'!$B$10-'05 Reconstructed R'!$B$15*('05 Reconstructed R'!E30/B30-'05 Reconstructed R'!$B$10)/('01 Traffic inputs'!$B$10-'05 Reconstructed R'!$B$15))*60</f>
        <v>0.87456973547435979</v>
      </c>
      <c r="D30" s="16">
        <f>'01 Traffic inputs'!$B$10*('05 Reconstructed R'!E30/B30-'05 Reconstructed R'!$B$10)/('01 Traffic inputs'!$B$10-'05 Reconstructed R'!$B$15)*60</f>
        <v>0.4618506173290165</v>
      </c>
      <c r="E30" s="16">
        <f>'05 Reconstructed R'!D30</f>
        <v>46.691895906184207</v>
      </c>
      <c r="F30" s="27">
        <f t="shared" si="0"/>
        <v>2.2779470527471442</v>
      </c>
      <c r="G30" s="27">
        <f t="shared" si="1"/>
        <v>27089.982120263343</v>
      </c>
      <c r="H30" s="27">
        <f t="shared" si="2"/>
        <v>5259.0946093263028</v>
      </c>
      <c r="I30" s="27">
        <f t="shared" si="3"/>
        <v>14200.978328525023</v>
      </c>
      <c r="J30" s="27">
        <f t="shared" si="4"/>
        <v>32349.076729589644</v>
      </c>
      <c r="K30" s="27">
        <f t="shared" si="5"/>
        <v>38.055059847862786</v>
      </c>
      <c r="L30" s="27">
        <f t="shared" si="6"/>
        <v>2.8629988368685644</v>
      </c>
      <c r="M30" s="27">
        <f t="shared" si="7"/>
        <v>17.962690851565338</v>
      </c>
      <c r="N30" s="27">
        <f t="shared" si="8"/>
        <v>40.918058684731349</v>
      </c>
      <c r="O30" s="27">
        <f t="shared" si="9"/>
        <v>179.58779453018852</v>
      </c>
      <c r="P30" s="27">
        <f t="shared" si="10"/>
        <v>49.25082730703452</v>
      </c>
      <c r="Q30" s="27">
        <f t="shared" si="11"/>
        <v>100.45827077554313</v>
      </c>
      <c r="R30" s="27">
        <f t="shared" si="12"/>
        <v>228.83862183722303</v>
      </c>
      <c r="S30" s="27">
        <f t="shared" si="13"/>
        <v>7.5345205294955724</v>
      </c>
      <c r="T30" s="27">
        <f t="shared" si="14"/>
        <v>2.1378311379816206</v>
      </c>
      <c r="U30" s="27">
        <f t="shared" si="15"/>
        <v>4.2460827418322085</v>
      </c>
      <c r="V30" s="27">
        <f t="shared" si="16"/>
        <v>9.6723516674771925</v>
      </c>
    </row>
    <row r="31" spans="1:22" ht="22.05" customHeight="1">
      <c r="A31" s="19">
        <f>'03 Recorded O'!A18</f>
        <v>0.63888888888888895</v>
      </c>
      <c r="B31" s="16">
        <f>'03 Recorded O'!B18</f>
        <v>102.87499999999991</v>
      </c>
      <c r="C31" s="16">
        <f>('05 Reconstructed R'!$B$10-'05 Reconstructed R'!$B$15*('05 Reconstructed R'!E31/B31-'05 Reconstructed R'!$B$10)/('01 Traffic inputs'!$B$10-'05 Reconstructed R'!$B$15))*60</f>
        <v>0.83351432817928228</v>
      </c>
      <c r="D31" s="16">
        <f>'01 Traffic inputs'!$B$10*('05 Reconstructed R'!E31/B31-'05 Reconstructed R'!$B$10)/('01 Traffic inputs'!$B$10-'05 Reconstructed R'!$B$15)*60</f>
        <v>0.65537839605635062</v>
      </c>
      <c r="E31" s="16">
        <f>'05 Reconstructed R'!D31</f>
        <v>41.910339801033082</v>
      </c>
      <c r="F31" s="27">
        <f t="shared" si="0"/>
        <v>2.552830650095677</v>
      </c>
      <c r="G31" s="27">
        <f t="shared" si="1"/>
        <v>25970.804151296656</v>
      </c>
      <c r="H31" s="27">
        <f t="shared" si="2"/>
        <v>7506.8827020550907</v>
      </c>
      <c r="I31" s="27">
        <f t="shared" si="3"/>
        <v>13113.947394864224</v>
      </c>
      <c r="J31" s="27">
        <f t="shared" si="4"/>
        <v>33477.686853351748</v>
      </c>
      <c r="K31" s="27">
        <f t="shared" si="5"/>
        <v>36.482877762235674</v>
      </c>
      <c r="L31" s="27">
        <f t="shared" si="6"/>
        <v>4.0866723345077167</v>
      </c>
      <c r="M31" s="27">
        <f t="shared" si="7"/>
        <v>15.89198644854209</v>
      </c>
      <c r="N31" s="27">
        <f t="shared" si="8"/>
        <v>40.569550096743392</v>
      </c>
      <c r="O31" s="27">
        <f t="shared" si="9"/>
        <v>172.1684207468754</v>
      </c>
      <c r="P31" s="27">
        <f t="shared" si="10"/>
        <v>70.301109038318202</v>
      </c>
      <c r="Q31" s="27">
        <f t="shared" si="11"/>
        <v>94.980655993027241</v>
      </c>
      <c r="R31" s="27">
        <f t="shared" si="12"/>
        <v>242.4695297851936</v>
      </c>
      <c r="S31" s="27">
        <f t="shared" si="13"/>
        <v>7.2232442301645667</v>
      </c>
      <c r="T31" s="27">
        <f t="shared" si="14"/>
        <v>3.0515609209937384</v>
      </c>
      <c r="U31" s="27">
        <f t="shared" si="15"/>
        <v>4.0248675135474485</v>
      </c>
      <c r="V31" s="27">
        <f t="shared" si="16"/>
        <v>10.274805151158304</v>
      </c>
    </row>
    <row r="32" spans="1:22" ht="22.05" customHeight="1">
      <c r="A32" s="19">
        <f>'03 Recorded O'!A19</f>
        <v>0.64236111111111105</v>
      </c>
      <c r="B32" s="16">
        <f>'03 Recorded O'!B19</f>
        <v>99.374999999999957</v>
      </c>
      <c r="C32" s="16">
        <f>('05 Reconstructed R'!$B$10-'05 Reconstructed R'!$B$15*('05 Reconstructed R'!E32/B32-'05 Reconstructed R'!$B$10)/('01 Traffic inputs'!$B$10-'05 Reconstructed R'!$B$15))*60</f>
        <v>0.78578288541418728</v>
      </c>
      <c r="D32" s="16">
        <f>'01 Traffic inputs'!$B$10*('05 Reconstructed R'!E32/B32-'05 Reconstructed R'!$B$10)/('01 Traffic inputs'!$B$10-'05 Reconstructed R'!$B$15)*60</f>
        <v>0.88037580084125688</v>
      </c>
      <c r="E32" s="16">
        <f>'05 Reconstructed R'!D32</f>
        <v>37.451414751040396</v>
      </c>
      <c r="F32" s="27">
        <f t="shared" si="0"/>
        <v>2.7595753241105783</v>
      </c>
      <c r="G32" s="27">
        <f t="shared" si="1"/>
        <v>23650.601273462988</v>
      </c>
      <c r="H32" s="27">
        <f t="shared" si="2"/>
        <v>9740.9855395712439</v>
      </c>
      <c r="I32" s="27">
        <f t="shared" si="3"/>
        <v>12100.262863379699</v>
      </c>
      <c r="J32" s="27">
        <f t="shared" si="4"/>
        <v>33391.586813034228</v>
      </c>
      <c r="K32" s="27">
        <f t="shared" si="5"/>
        <v>33.223537871084602</v>
      </c>
      <c r="L32" s="27">
        <f t="shared" si="6"/>
        <v>5.3028957152224567</v>
      </c>
      <c r="M32" s="27">
        <f t="shared" si="7"/>
        <v>13.961000901007939</v>
      </c>
      <c r="N32" s="27">
        <f t="shared" si="8"/>
        <v>38.526433586307057</v>
      </c>
      <c r="O32" s="27">
        <f t="shared" si="9"/>
        <v>156.78708472963723</v>
      </c>
      <c r="P32" s="27">
        <f t="shared" si="10"/>
        <v>91.223229899490349</v>
      </c>
      <c r="Q32" s="27">
        <f t="shared" si="11"/>
        <v>89.872638178145124</v>
      </c>
      <c r="R32" s="27">
        <f t="shared" si="12"/>
        <v>248.01031462912758</v>
      </c>
      <c r="S32" s="27">
        <f t="shared" si="13"/>
        <v>6.5779275910459241</v>
      </c>
      <c r="T32" s="27">
        <f t="shared" si="14"/>
        <v>3.9597276238755019</v>
      </c>
      <c r="U32" s="27">
        <f t="shared" si="15"/>
        <v>3.8185785772373335</v>
      </c>
      <c r="V32" s="27">
        <f t="shared" si="16"/>
        <v>10.537655214921426</v>
      </c>
    </row>
    <row r="33" spans="1:22" ht="22.05" customHeight="1">
      <c r="A33" s="19">
        <f>'03 Recorded O'!A20</f>
        <v>0.64583333333333337</v>
      </c>
      <c r="B33" s="16">
        <f>'03 Recorded O'!B20</f>
        <v>99.312499999999943</v>
      </c>
      <c r="C33" s="16">
        <f>('05 Reconstructed R'!$B$10-'05 Reconstructed R'!$B$15*('05 Reconstructed R'!E33/B33-'05 Reconstructed R'!$B$10)/('01 Traffic inputs'!$B$10-'05 Reconstructed R'!$B$15))*60</f>
        <v>0.73316210050602004</v>
      </c>
      <c r="D33" s="16">
        <f>'01 Traffic inputs'!$B$10*('05 Reconstructed R'!E33/B33-'05 Reconstructed R'!$B$10)/('01 Traffic inputs'!$B$10-'05 Reconstructed R'!$B$15)*60</f>
        <v>1.1284206818717619</v>
      </c>
      <c r="E33" s="16">
        <f>'05 Reconstructed R'!D33</f>
        <v>33.519863092146942</v>
      </c>
      <c r="F33" s="27">
        <f t="shared" si="0"/>
        <v>3.0813073345815565</v>
      </c>
      <c r="G33" s="27">
        <f t="shared" si="1"/>
        <v>22052.935158592249</v>
      </c>
      <c r="H33" s="27">
        <f t="shared" si="2"/>
        <v>12477.644627366419</v>
      </c>
      <c r="I33" s="27">
        <f t="shared" si="3"/>
        <v>11206.470512831185</v>
      </c>
      <c r="J33" s="27">
        <f t="shared" si="4"/>
        <v>34530.579785958667</v>
      </c>
      <c r="K33" s="27">
        <f t="shared" si="5"/>
        <v>30.979192365487886</v>
      </c>
      <c r="L33" s="27">
        <f t="shared" si="6"/>
        <v>6.7927057238442741</v>
      </c>
      <c r="M33" s="27">
        <f t="shared" si="7"/>
        <v>12.25840008408691</v>
      </c>
      <c r="N33" s="27">
        <f t="shared" si="8"/>
        <v>37.771898089332161</v>
      </c>
      <c r="O33" s="27">
        <f t="shared" si="9"/>
        <v>146.19566637094317</v>
      </c>
      <c r="P33" s="27">
        <f t="shared" si="10"/>
        <v>116.85173330998379</v>
      </c>
      <c r="Q33" s="27">
        <f t="shared" si="11"/>
        <v>85.368764332185307</v>
      </c>
      <c r="R33" s="27">
        <f t="shared" si="12"/>
        <v>263.04739968092696</v>
      </c>
      <c r="S33" s="27">
        <f t="shared" si="13"/>
        <v>6.1335696697917479</v>
      </c>
      <c r="T33" s="27">
        <f t="shared" si="14"/>
        <v>5.0721843196637462</v>
      </c>
      <c r="U33" s="27">
        <f t="shared" si="15"/>
        <v>3.6366881887091096</v>
      </c>
      <c r="V33" s="27">
        <f t="shared" si="16"/>
        <v>11.205753989455495</v>
      </c>
    </row>
    <row r="34" spans="1:22" ht="22.05" customHeight="1">
      <c r="A34" s="19">
        <f>'03 Recorded O'!A21</f>
        <v>0.64930555555555558</v>
      </c>
      <c r="B34" s="16">
        <f>'03 Recorded O'!B21</f>
        <v>94.520833333333343</v>
      </c>
      <c r="C34" s="16">
        <f>('05 Reconstructed R'!$B$10-'05 Reconstructed R'!$B$15*('05 Reconstructed R'!E34/B34-'05 Reconstructed R'!$B$10)/('01 Traffic inputs'!$B$10-'05 Reconstructed R'!$B$15))*60</f>
        <v>0.67687165856598885</v>
      </c>
      <c r="D34" s="16">
        <f>'01 Traffic inputs'!$B$10*('05 Reconstructed R'!E34/B34-'05 Reconstructed R'!$B$10)/('01 Traffic inputs'!$B$10-'05 Reconstructed R'!$B$15)*60</f>
        <v>1.3937636637093911</v>
      </c>
      <c r="E34" s="16">
        <f>'05 Reconstructed R'!D34</f>
        <v>30.135678324771888</v>
      </c>
      <c r="F34" s="27">
        <f t="shared" si="0"/>
        <v>3.2619696031817358</v>
      </c>
      <c r="G34" s="27">
        <f t="shared" si="1"/>
        <v>19377.437782202418</v>
      </c>
      <c r="H34" s="27">
        <f t="shared" si="2"/>
        <v>14668.116154346706</v>
      </c>
      <c r="I34" s="27">
        <f t="shared" si="3"/>
        <v>10437.115632022133</v>
      </c>
      <c r="J34" s="27">
        <f t="shared" si="4"/>
        <v>34045.553936549128</v>
      </c>
      <c r="K34" s="27">
        <f t="shared" si="5"/>
        <v>27.220747183453</v>
      </c>
      <c r="L34" s="27">
        <f t="shared" si="6"/>
        <v>7.9851766527408419</v>
      </c>
      <c r="M34" s="27">
        <f t="shared" si="7"/>
        <v>10.79284239860907</v>
      </c>
      <c r="N34" s="27">
        <f t="shared" si="8"/>
        <v>35.20592383619384</v>
      </c>
      <c r="O34" s="27">
        <f t="shared" si="9"/>
        <v>128.45897422533443</v>
      </c>
      <c r="P34" s="27">
        <f t="shared" si="10"/>
        <v>137.36525187361013</v>
      </c>
      <c r="Q34" s="27">
        <f t="shared" si="11"/>
        <v>81.4919384410139</v>
      </c>
      <c r="R34" s="27">
        <f t="shared" si="12"/>
        <v>265.82422609894456</v>
      </c>
      <c r="S34" s="27">
        <f t="shared" si="13"/>
        <v>5.3894351842269872</v>
      </c>
      <c r="T34" s="27">
        <f t="shared" si="14"/>
        <v>5.9626148186580368</v>
      </c>
      <c r="U34" s="27">
        <f t="shared" si="15"/>
        <v>3.4801213327715246</v>
      </c>
      <c r="V34" s="27">
        <f t="shared" si="16"/>
        <v>11.352050002885024</v>
      </c>
    </row>
    <row r="35" spans="1:22" ht="22.05" customHeight="1">
      <c r="A35" s="19">
        <f>'03 Recorded O'!A22</f>
        <v>0.65277777777777779</v>
      </c>
      <c r="B35" s="16">
        <f>'03 Recorded O'!B22</f>
        <v>91.562500000000057</v>
      </c>
      <c r="C35" s="16">
        <f>('05 Reconstructed R'!$B$10-'05 Reconstructed R'!$B$15*('05 Reconstructed R'!E35/B35-'05 Reconstructed R'!$B$10)/('01 Traffic inputs'!$B$10-'05 Reconstructed R'!$B$15))*60</f>
        <v>0.61949679350318998</v>
      </c>
      <c r="D35" s="16">
        <f>'01 Traffic inputs'!$B$10*('05 Reconstructed R'!E35/B35-'05 Reconstructed R'!$B$10)/('01 Traffic inputs'!$B$10-'05 Reconstructed R'!$B$15)*60</f>
        <v>1.6642184203892822</v>
      </c>
      <c r="E35" s="16">
        <f>'05 Reconstructed R'!D35</f>
        <v>27.323897314518355</v>
      </c>
      <c r="F35" s="27">
        <f t="shared" si="0"/>
        <v>3.4850445712004938</v>
      </c>
      <c r="G35" s="27">
        <f t="shared" si="1"/>
        <v>17179.842737923678</v>
      </c>
      <c r="H35" s="27">
        <f t="shared" si="2"/>
        <v>16966.240824640245</v>
      </c>
      <c r="I35" s="27">
        <f t="shared" si="3"/>
        <v>9797.8900599258668</v>
      </c>
      <c r="J35" s="27">
        <f t="shared" si="4"/>
        <v>34146.083562563923</v>
      </c>
      <c r="K35" s="27">
        <f t="shared" si="5"/>
        <v>24.133642490650747</v>
      </c>
      <c r="L35" s="27">
        <f t="shared" si="6"/>
        <v>9.2362528829272001</v>
      </c>
      <c r="M35" s="27">
        <f t="shared" si="7"/>
        <v>9.5751703290506303</v>
      </c>
      <c r="N35" s="27">
        <f t="shared" si="8"/>
        <v>33.369895373577947</v>
      </c>
      <c r="O35" s="27">
        <f t="shared" si="9"/>
        <v>113.89044311592173</v>
      </c>
      <c r="P35" s="27">
        <f t="shared" si="10"/>
        <v>158.88692997119463</v>
      </c>
      <c r="Q35" s="27">
        <f t="shared" si="11"/>
        <v>78.270842026319542</v>
      </c>
      <c r="R35" s="27">
        <f t="shared" si="12"/>
        <v>272.77737308711636</v>
      </c>
      <c r="S35" s="27">
        <f t="shared" si="13"/>
        <v>4.7782193885454314</v>
      </c>
      <c r="T35" s="27">
        <f t="shared" si="14"/>
        <v>6.8968065083083268</v>
      </c>
      <c r="U35" s="27">
        <f t="shared" si="15"/>
        <v>3.350036321868922</v>
      </c>
      <c r="V35" s="27">
        <f t="shared" si="16"/>
        <v>11.675025896853757</v>
      </c>
    </row>
    <row r="36" spans="1:22" ht="22.05" customHeight="1">
      <c r="A36" s="19">
        <f>'03 Recorded O'!A23</f>
        <v>0.65625</v>
      </c>
      <c r="B36" s="16">
        <f>'03 Recorded O'!B23</f>
        <v>89.708333333333385</v>
      </c>
      <c r="C36" s="16">
        <f>('05 Reconstructed R'!$B$10-'05 Reconstructed R'!$B$15*('05 Reconstructed R'!E36/B36-'05 Reconstructed R'!$B$10)/('01 Traffic inputs'!$B$10-'05 Reconstructed R'!$B$15))*60</f>
        <v>0.56097647988222021</v>
      </c>
      <c r="D36" s="16">
        <f>'01 Traffic inputs'!$B$10*('05 Reconstructed R'!E36/B36-'05 Reconstructed R'!$B$10)/('01 Traffic inputs'!$B$10-'05 Reconstructed R'!$B$15)*60</f>
        <v>1.9400726147977039</v>
      </c>
      <c r="E36" s="16">
        <f>'05 Reconstructed R'!D36</f>
        <v>24.949530232227197</v>
      </c>
      <c r="F36" s="27">
        <f t="shared" si="0"/>
        <v>3.7394157644763051</v>
      </c>
      <c r="G36" s="27">
        <f t="shared" si="1"/>
        <v>15241.928507185155</v>
      </c>
      <c r="H36" s="27">
        <f t="shared" si="2"/>
        <v>19377.976907565018</v>
      </c>
      <c r="I36" s="27">
        <f t="shared" si="3"/>
        <v>9258.105435515432</v>
      </c>
      <c r="J36" s="27">
        <f t="shared" si="4"/>
        <v>34619.905414750174</v>
      </c>
      <c r="K36" s="27">
        <f t="shared" si="5"/>
        <v>21.41132832656659</v>
      </c>
      <c r="L36" s="27">
        <f t="shared" si="6"/>
        <v>10.54917803700274</v>
      </c>
      <c r="M36" s="27">
        <f t="shared" si="7"/>
        <v>8.5469250750846406</v>
      </c>
      <c r="N36" s="27">
        <f t="shared" si="8"/>
        <v>31.96050636356933</v>
      </c>
      <c r="O36" s="27">
        <f t="shared" si="9"/>
        <v>101.04341571140105</v>
      </c>
      <c r="P36" s="27">
        <f t="shared" si="10"/>
        <v>181.47256612225979</v>
      </c>
      <c r="Q36" s="27">
        <f t="shared" si="11"/>
        <v>75.550834576220595</v>
      </c>
      <c r="R36" s="27">
        <f t="shared" si="12"/>
        <v>282.51598183366082</v>
      </c>
      <c r="S36" s="27">
        <f t="shared" si="13"/>
        <v>4.2392284622657392</v>
      </c>
      <c r="T36" s="27">
        <f t="shared" si="14"/>
        <v>7.8771814354920169</v>
      </c>
      <c r="U36" s="27">
        <f t="shared" si="15"/>
        <v>3.2401879493746599</v>
      </c>
      <c r="V36" s="27">
        <f t="shared" si="16"/>
        <v>12.116409897757755</v>
      </c>
    </row>
    <row r="37" spans="1:22" ht="22.05" customHeight="1">
      <c r="A37" s="19">
        <f>'03 Recorded O'!A24</f>
        <v>0.65972222222222221</v>
      </c>
      <c r="B37" s="16">
        <f>'03 Recorded O'!B24</f>
        <v>90.104166666666686</v>
      </c>
      <c r="C37" s="16">
        <f>('05 Reconstructed R'!$B$10-'05 Reconstructed R'!$B$15*('05 Reconstructed R'!E37/B37-'05 Reconstructed R'!$B$10)/('01 Traffic inputs'!$B$10-'05 Reconstructed R'!$B$15))*60</f>
        <v>0.50174212394879825</v>
      </c>
      <c r="D37" s="16">
        <f>'01 Traffic inputs'!$B$10*('05 Reconstructed R'!E37/B37-'05 Reconstructed R'!$B$10)/('01 Traffic inputs'!$B$10-'05 Reconstructed R'!$B$15)*60</f>
        <v>2.2192926757691591</v>
      </c>
      <c r="E37" s="16">
        <f>'05 Reconstructed R'!D37</f>
        <v>22.932452023939263</v>
      </c>
      <c r="F37" s="27">
        <f t="shared" si="0"/>
        <v>4.0862762183264474</v>
      </c>
      <c r="G37" s="27">
        <f t="shared" si="1"/>
        <v>13692.662935907909</v>
      </c>
      <c r="H37" s="27">
        <f t="shared" si="2"/>
        <v>22264.713693123933</v>
      </c>
      <c r="I37" s="27">
        <f t="shared" si="3"/>
        <v>8799.5462636048505</v>
      </c>
      <c r="J37" s="27">
        <f t="shared" si="4"/>
        <v>35957.376629031845</v>
      </c>
      <c r="K37" s="27">
        <f t="shared" si="5"/>
        <v>19.234974212582561</v>
      </c>
      <c r="L37" s="27">
        <f t="shared" si="6"/>
        <v>12.120688852713203</v>
      </c>
      <c r="M37" s="27">
        <f t="shared" si="7"/>
        <v>7.6734076185720053</v>
      </c>
      <c r="N37" s="27">
        <f t="shared" si="8"/>
        <v>31.355663065295765</v>
      </c>
      <c r="O37" s="27">
        <f t="shared" si="9"/>
        <v>90.772859390911009</v>
      </c>
      <c r="P37" s="27">
        <f t="shared" si="10"/>
        <v>208.50653022975067</v>
      </c>
      <c r="Q37" s="27">
        <f t="shared" si="11"/>
        <v>73.240127106050821</v>
      </c>
      <c r="R37" s="27">
        <f t="shared" si="12"/>
        <v>299.27938962066168</v>
      </c>
      <c r="S37" s="27">
        <f t="shared" si="13"/>
        <v>3.8083321552616205</v>
      </c>
      <c r="T37" s="27">
        <f t="shared" si="14"/>
        <v>9.050644977368739</v>
      </c>
      <c r="U37" s="27">
        <f t="shared" si="15"/>
        <v>3.1468692877293574</v>
      </c>
      <c r="V37" s="27">
        <f t="shared" si="16"/>
        <v>12.858977132630359</v>
      </c>
    </row>
    <row r="38" spans="1:22" ht="22.05" customHeight="1">
      <c r="A38" s="19">
        <f>'03 Recorded O'!A25</f>
        <v>0.66319444444444442</v>
      </c>
      <c r="B38" s="16">
        <f>'03 Recorded O'!B25</f>
        <v>89.854166666666686</v>
      </c>
      <c r="C38" s="16">
        <f>('05 Reconstructed R'!$B$10-'05 Reconstructed R'!$B$15*('05 Reconstructed R'!E38/B38-'05 Reconstructed R'!$B$10)/('01 Traffic inputs'!$B$10-'05 Reconstructed R'!$B$15))*60</f>
        <v>0.44227441833042952</v>
      </c>
      <c r="D38" s="16">
        <f>'01 Traffic inputs'!$B$10*('05 Reconstructed R'!E38/B38-'05 Reconstructed R'!$B$10)/('01 Traffic inputs'!$B$10-'05 Reconstructed R'!$B$15)*60</f>
        <v>2.4996127050315109</v>
      </c>
      <c r="E38" s="16">
        <f>'05 Reconstructed R'!D38</f>
        <v>21.210874987172019</v>
      </c>
      <c r="F38" s="27">
        <f t="shared" si="0"/>
        <v>4.4056802649514077</v>
      </c>
      <c r="G38" s="27">
        <f t="shared" si="1"/>
        <v>12036.286589623465</v>
      </c>
      <c r="H38" s="27">
        <f t="shared" si="2"/>
        <v>25007.403679503917</v>
      </c>
      <c r="I38" s="27">
        <f t="shared" si="3"/>
        <v>8408.165831692726</v>
      </c>
      <c r="J38" s="27">
        <f t="shared" si="4"/>
        <v>37043.690269127386</v>
      </c>
      <c r="K38" s="27">
        <f t="shared" si="5"/>
        <v>16.908154626338181</v>
      </c>
      <c r="L38" s="27">
        <f t="shared" si="6"/>
        <v>13.613782022585429</v>
      </c>
      <c r="M38" s="27">
        <f t="shared" si="7"/>
        <v>6.9278601290555182</v>
      </c>
      <c r="N38" s="27">
        <f t="shared" si="8"/>
        <v>30.52193664892361</v>
      </c>
      <c r="O38" s="27">
        <f t="shared" si="9"/>
        <v>79.79223291354279</v>
      </c>
      <c r="P38" s="27">
        <f t="shared" si="10"/>
        <v>234.19151232465106</v>
      </c>
      <c r="Q38" s="27">
        <f t="shared" si="11"/>
        <v>71.267937379849073</v>
      </c>
      <c r="R38" s="27">
        <f t="shared" si="12"/>
        <v>313.98374523819382</v>
      </c>
      <c r="S38" s="27">
        <f t="shared" si="13"/>
        <v>3.3476451924483097</v>
      </c>
      <c r="T38" s="27">
        <f t="shared" si="14"/>
        <v>10.165553243958113</v>
      </c>
      <c r="U38" s="27">
        <f t="shared" si="15"/>
        <v>3.0672217736516716</v>
      </c>
      <c r="V38" s="27">
        <f t="shared" si="16"/>
        <v>13.513198436406423</v>
      </c>
    </row>
    <row r="39" spans="1:22" ht="22.05" customHeight="1">
      <c r="A39" s="19">
        <f>'03 Recorded O'!A26</f>
        <v>0.66666666666666663</v>
      </c>
      <c r="B39" s="16">
        <f>'03 Recorded O'!B26</f>
        <v>85.437500000000014</v>
      </c>
      <c r="C39" s="16">
        <f>('05 Reconstructed R'!$B$10-'05 Reconstructed R'!$B$15*('05 Reconstructed R'!E39/B39-'05 Reconstructed R'!$B$10)/('01 Traffic inputs'!$B$10-'05 Reconstructed R'!$B$15))*60</f>
        <v>0.38528909206231943</v>
      </c>
      <c r="D39" s="16">
        <f>'01 Traffic inputs'!$B$10*('05 Reconstructed R'!E39/B39-'05 Reconstructed R'!$B$10)/('01 Traffic inputs'!$B$10-'05 Reconstructed R'!$B$15)*60</f>
        <v>2.7682312461522081</v>
      </c>
      <c r="E39" s="16">
        <f>'05 Reconstructed R'!D39</f>
        <v>19.787410039451689</v>
      </c>
      <c r="F39" s="27">
        <f t="shared" si="0"/>
        <v>4.4904815649367285</v>
      </c>
      <c r="G39" s="27">
        <f t="shared" si="1"/>
        <v>9970.0589218608347</v>
      </c>
      <c r="H39" s="27">
        <f t="shared" si="2"/>
        <v>26333.498396871633</v>
      </c>
      <c r="I39" s="27">
        <f t="shared" si="3"/>
        <v>8084.5577013840812</v>
      </c>
      <c r="J39" s="27">
        <f t="shared" si="4"/>
        <v>36303.55731873247</v>
      </c>
      <c r="K39" s="27">
        <f t="shared" si="5"/>
        <v>14.005590231613047</v>
      </c>
      <c r="L39" s="27">
        <f t="shared" si="6"/>
        <v>14.335694807091823</v>
      </c>
      <c r="M39" s="27">
        <f t="shared" si="7"/>
        <v>6.3114132925082389</v>
      </c>
      <c r="N39" s="27">
        <f t="shared" si="8"/>
        <v>28.341285038704868</v>
      </c>
      <c r="O39" s="27">
        <f t="shared" si="9"/>
        <v>66.094576407037181</v>
      </c>
      <c r="P39" s="27">
        <f t="shared" si="10"/>
        <v>246.61023964741636</v>
      </c>
      <c r="Q39" s="27">
        <f t="shared" si="11"/>
        <v>69.637256390531377</v>
      </c>
      <c r="R39" s="27">
        <f t="shared" si="12"/>
        <v>312.70481605445354</v>
      </c>
      <c r="S39" s="27">
        <f t="shared" si="13"/>
        <v>2.7729665266501367</v>
      </c>
      <c r="T39" s="27">
        <f t="shared" si="14"/>
        <v>10.70461306115064</v>
      </c>
      <c r="U39" s="27">
        <f t="shared" si="15"/>
        <v>3.0013661993489729</v>
      </c>
      <c r="V39" s="27">
        <f t="shared" si="16"/>
        <v>13.477579587800777</v>
      </c>
    </row>
    <row r="40" spans="1:22" ht="22.05" customHeight="1">
      <c r="A40" s="19">
        <f>'03 Recorded O'!A27</f>
        <v>0.67013888888888884</v>
      </c>
      <c r="B40" s="16">
        <f>'03 Recorded O'!B27</f>
        <v>79.791666666666671</v>
      </c>
      <c r="C40" s="16">
        <f>('05 Reconstructed R'!$B$10-'05 Reconstructed R'!$B$15*('05 Reconstructed R'!E40/B40-'05 Reconstructed R'!$B$10)/('01 Traffic inputs'!$B$10-'05 Reconstructed R'!$B$15))*60</f>
        <v>0.33263869620107694</v>
      </c>
      <c r="D40" s="16">
        <f>'01 Traffic inputs'!$B$10*('05 Reconstructed R'!E40/B40-'05 Reconstructed R'!$B$10)/('01 Traffic inputs'!$B$10-'05 Reconstructed R'!$B$15)*60</f>
        <v>3.016415707870185</v>
      </c>
      <c r="E40" s="16">
        <f>'05 Reconstructed R'!D40</f>
        <v>18.63212491386971</v>
      </c>
      <c r="F40" s="27">
        <f t="shared" si="0"/>
        <v>4.4537772109697693</v>
      </c>
      <c r="G40" s="27">
        <f t="shared" si="1"/>
        <v>8038.8289067858659</v>
      </c>
      <c r="H40" s="27">
        <f t="shared" si="2"/>
        <v>26798.247314578748</v>
      </c>
      <c r="I40" s="27">
        <f t="shared" si="3"/>
        <v>7821.9171213952932</v>
      </c>
      <c r="J40" s="27">
        <f t="shared" si="4"/>
        <v>34837.076221364616</v>
      </c>
      <c r="K40" s="27">
        <f t="shared" si="5"/>
        <v>11.292665820020543</v>
      </c>
      <c r="L40" s="27">
        <f t="shared" si="6"/>
        <v>14.588699498901665</v>
      </c>
      <c r="M40" s="27">
        <f t="shared" si="7"/>
        <v>5.8111046181600035</v>
      </c>
      <c r="N40" s="27">
        <f t="shared" si="8"/>
        <v>25.881365318922207</v>
      </c>
      <c r="O40" s="27">
        <f t="shared" si="9"/>
        <v>53.291860716856249</v>
      </c>
      <c r="P40" s="27">
        <f t="shared" si="10"/>
        <v>250.96256079534425</v>
      </c>
      <c r="Q40" s="27">
        <f t="shared" si="11"/>
        <v>68.313794583800458</v>
      </c>
      <c r="R40" s="27">
        <f t="shared" si="12"/>
        <v>304.25442151220051</v>
      </c>
      <c r="S40" s="27">
        <f t="shared" si="13"/>
        <v>2.2358346772763302</v>
      </c>
      <c r="T40" s="27">
        <f t="shared" si="14"/>
        <v>10.893534307377243</v>
      </c>
      <c r="U40" s="27">
        <f t="shared" si="15"/>
        <v>2.9479177701829347</v>
      </c>
      <c r="V40" s="27">
        <f t="shared" si="16"/>
        <v>13.129368984653572</v>
      </c>
    </row>
    <row r="41" spans="1:22" ht="22.05" customHeight="1">
      <c r="A41" s="19">
        <f>'03 Recorded O'!A28</f>
        <v>0.67361111111111116</v>
      </c>
      <c r="B41" s="16">
        <f>'03 Recorded O'!B28</f>
        <v>74.333333333333343</v>
      </c>
      <c r="C41" s="16">
        <f>('05 Reconstructed R'!$B$10-'05 Reconstructed R'!$B$15*('05 Reconstructed R'!E41/B41-'05 Reconstructed R'!$B$10)/('01 Traffic inputs'!$B$10-'05 Reconstructed R'!$B$15))*60</f>
        <v>0.28554870355204537</v>
      </c>
      <c r="D41" s="16">
        <f>'01 Traffic inputs'!$B$10*('05 Reconstructed R'!E41/B41-'05 Reconstructed R'!$B$10)/('01 Traffic inputs'!$B$10-'05 Reconstructed R'!$B$15)*60</f>
        <v>3.2383894326015983</v>
      </c>
      <c r="E41" s="16">
        <f>'05 Reconstructed R'!D41</f>
        <v>17.707461819437736</v>
      </c>
      <c r="F41" s="27">
        <f t="shared" si="0"/>
        <v>4.3657678020125701</v>
      </c>
      <c r="G41" s="27">
        <f t="shared" si="1"/>
        <v>6428.7461942418813</v>
      </c>
      <c r="H41" s="27">
        <f t="shared" si="2"/>
        <v>26802.19376000253</v>
      </c>
      <c r="I41" s="27">
        <f t="shared" si="3"/>
        <v>7611.7057666065803</v>
      </c>
      <c r="J41" s="27">
        <f t="shared" si="4"/>
        <v>33230.939954244415</v>
      </c>
      <c r="K41" s="27">
        <f t="shared" si="5"/>
        <v>9.0308779120824578</v>
      </c>
      <c r="L41" s="27">
        <f t="shared" si="6"/>
        <v>14.590847904567919</v>
      </c>
      <c r="M41" s="27">
        <f t="shared" si="7"/>
        <v>5.4106692998562647</v>
      </c>
      <c r="N41" s="27">
        <f t="shared" si="8"/>
        <v>23.621725816650375</v>
      </c>
      <c r="O41" s="27">
        <f t="shared" si="9"/>
        <v>42.618128926510316</v>
      </c>
      <c r="P41" s="27">
        <f t="shared" si="10"/>
        <v>250.99951881121612</v>
      </c>
      <c r="Q41" s="27">
        <f t="shared" si="11"/>
        <v>67.254526821690334</v>
      </c>
      <c r="R41" s="27">
        <f t="shared" si="12"/>
        <v>293.61764773772643</v>
      </c>
      <c r="S41" s="27">
        <f t="shared" si="13"/>
        <v>1.7880233351354136</v>
      </c>
      <c r="T41" s="27">
        <f t="shared" si="14"/>
        <v>10.895138544330186</v>
      </c>
      <c r="U41" s="27">
        <f t="shared" si="15"/>
        <v>2.9051389021694658</v>
      </c>
      <c r="V41" s="27">
        <f t="shared" si="16"/>
        <v>12.683161879465599</v>
      </c>
    </row>
    <row r="42" spans="1:22" ht="22.05" customHeight="1">
      <c r="A42" s="19">
        <f>'03 Recorded O'!A29</f>
        <v>0.67708333333333337</v>
      </c>
      <c r="B42" s="16">
        <f>'03 Recorded O'!B29</f>
        <v>71.145833333333329</v>
      </c>
      <c r="C42" s="16">
        <f>('05 Reconstructed R'!$B$10-'05 Reconstructed R'!$B$15*('05 Reconstructed R'!E42/B42-'05 Reconstructed R'!$B$10)/('01 Traffic inputs'!$B$10-'05 Reconstructed R'!$B$15))*60</f>
        <v>0.24359686211455525</v>
      </c>
      <c r="D42" s="16">
        <f>'01 Traffic inputs'!$B$10*('05 Reconstructed R'!E42/B42-'05 Reconstructed R'!$B$10)/('01 Traffic inputs'!$B$10-'05 Reconstructed R'!$B$15)*60</f>
        <v>3.4361428400532943</v>
      </c>
      <c r="E42" s="16">
        <f>'05 Reconstructed R'!D42</f>
        <v>16.957721211432279</v>
      </c>
      <c r="F42" s="27">
        <f t="shared" si="0"/>
        <v>4.3633024593413916</v>
      </c>
      <c r="G42" s="27">
        <f t="shared" si="1"/>
        <v>5249.0854107368204</v>
      </c>
      <c r="H42" s="27">
        <f t="shared" si="2"/>
        <v>27219.386994040909</v>
      </c>
      <c r="I42" s="27">
        <f t="shared" si="3"/>
        <v>7441.2609960755753</v>
      </c>
      <c r="J42" s="27">
        <f t="shared" si="4"/>
        <v>32468.472404777731</v>
      </c>
      <c r="K42" s="27">
        <f t="shared" si="5"/>
        <v>7.3737316830016173</v>
      </c>
      <c r="L42" s="27">
        <f t="shared" si="6"/>
        <v>14.817963754829135</v>
      </c>
      <c r="M42" s="27">
        <f t="shared" si="7"/>
        <v>5.0859860494705256</v>
      </c>
      <c r="N42" s="27">
        <f t="shared" si="8"/>
        <v>22.191695437830752</v>
      </c>
      <c r="O42" s="27">
        <f t="shared" si="9"/>
        <v>34.797796027694488</v>
      </c>
      <c r="P42" s="27">
        <f t="shared" si="10"/>
        <v>254.90648635023891</v>
      </c>
      <c r="Q42" s="27">
        <f t="shared" si="11"/>
        <v>66.395645288743552</v>
      </c>
      <c r="R42" s="27">
        <f t="shared" si="12"/>
        <v>289.7042823779334</v>
      </c>
      <c r="S42" s="27">
        <f t="shared" si="13"/>
        <v>1.459924986760671</v>
      </c>
      <c r="T42" s="27">
        <f t="shared" si="14"/>
        <v>11.064728322141153</v>
      </c>
      <c r="U42" s="27">
        <f t="shared" si="15"/>
        <v>2.8704526962342025</v>
      </c>
      <c r="V42" s="27">
        <f t="shared" si="16"/>
        <v>12.524653308901824</v>
      </c>
    </row>
    <row r="43" spans="1:22" ht="22.05" customHeight="1">
      <c r="A43" s="19">
        <f>'03 Recorded O'!A30</f>
        <v>0.68055555555555547</v>
      </c>
      <c r="B43" s="16">
        <f>'03 Recorded O'!B30</f>
        <v>70.374999999999972</v>
      </c>
      <c r="C43" s="16">
        <f>('05 Reconstructed R'!$B$10-'05 Reconstructed R'!$B$15*('05 Reconstructed R'!E43/B43-'05 Reconstructed R'!$B$10)/('01 Traffic inputs'!$B$10-'05 Reconstructed R'!$B$15))*60</f>
        <v>0.20603777027401676</v>
      </c>
      <c r="D43" s="16">
        <f>'01 Traffic inputs'!$B$10*('05 Reconstructed R'!E43/B43-'05 Reconstructed R'!$B$10)/('01 Traffic inputs'!$B$10-'05 Reconstructed R'!$B$15)*60</f>
        <v>3.6131896188776484</v>
      </c>
      <c r="E43" s="16">
        <f>'05 Reconstructed R'!D43</f>
        <v>16.338383039785864</v>
      </c>
      <c r="F43" s="27">
        <f t="shared" si="0"/>
        <v>4.4796354585258058</v>
      </c>
      <c r="G43" s="27">
        <f t="shared" si="1"/>
        <v>4391.6500746759348</v>
      </c>
      <c r="H43" s="27">
        <f t="shared" si="2"/>
        <v>28311.757004115898</v>
      </c>
      <c r="I43" s="27">
        <f t="shared" si="3"/>
        <v>7300.4616963975304</v>
      </c>
      <c r="J43" s="27">
        <f t="shared" si="4"/>
        <v>32703.407078791832</v>
      </c>
      <c r="K43" s="27">
        <f t="shared" si="5"/>
        <v>6.1692364978585355</v>
      </c>
      <c r="L43" s="27">
        <f t="shared" si="6"/>
        <v>15.41263913160001</v>
      </c>
      <c r="M43" s="27">
        <f t="shared" si="7"/>
        <v>4.8177749795205163</v>
      </c>
      <c r="N43" s="27">
        <f t="shared" si="8"/>
        <v>21.581875629458544</v>
      </c>
      <c r="O43" s="27">
        <f t="shared" si="9"/>
        <v>29.113594381793632</v>
      </c>
      <c r="P43" s="27">
        <f t="shared" si="10"/>
        <v>265.13640817483957</v>
      </c>
      <c r="Q43" s="27">
        <f t="shared" si="11"/>
        <v>65.686149080860105</v>
      </c>
      <c r="R43" s="27">
        <f t="shared" si="12"/>
        <v>294.25000255663321</v>
      </c>
      <c r="S43" s="27">
        <f t="shared" si="13"/>
        <v>1.2214470094188801</v>
      </c>
      <c r="T43" s="27">
        <f t="shared" si="14"/>
        <v>11.508778637873116</v>
      </c>
      <c r="U43" s="27">
        <f t="shared" si="15"/>
        <v>2.8417994645219098</v>
      </c>
      <c r="V43" s="27">
        <f t="shared" si="16"/>
        <v>12.730225647291995</v>
      </c>
    </row>
    <row r="44" spans="1:22" ht="22.05" customHeight="1">
      <c r="A44" s="19">
        <f>'03 Recorded O'!A31</f>
        <v>0.68402777777777779</v>
      </c>
      <c r="B44" s="16">
        <f>'03 Recorded O'!B31</f>
        <v>72.166666666666643</v>
      </c>
      <c r="C44" s="16">
        <f>('05 Reconstructed R'!$B$10-'05 Reconstructed R'!$B$15*('05 Reconstructed R'!E44/B44-'05 Reconstructed R'!$B$10)/('01 Traffic inputs'!$B$10-'05 Reconstructed R'!$B$15))*60</f>
        <v>0.1704361805188524</v>
      </c>
      <c r="D44" s="16">
        <f>'01 Traffic inputs'!$B$10*('05 Reconstructed R'!E44/B44-'05 Reconstructed R'!$B$10)/('01 Traffic inputs'!$B$10-'05 Reconstructed R'!$B$15)*60</f>
        <v>3.781009086236943</v>
      </c>
      <c r="E44" s="16">
        <f>'05 Reconstructed R'!D44</f>
        <v>15.791690327836102</v>
      </c>
      <c r="F44" s="27">
        <f t="shared" si="0"/>
        <v>4.7527105569590526</v>
      </c>
      <c r="G44" s="27">
        <f t="shared" si="1"/>
        <v>3725.2971334609574</v>
      </c>
      <c r="H44" s="27">
        <f t="shared" si="2"/>
        <v>30380.997398550404</v>
      </c>
      <c r="I44" s="27">
        <f t="shared" si="3"/>
        <v>7176.1774935088288</v>
      </c>
      <c r="J44" s="27">
        <f t="shared" si="4"/>
        <v>34106.294532011365</v>
      </c>
      <c r="K44" s="27">
        <f t="shared" si="5"/>
        <v>5.2331671809737719</v>
      </c>
      <c r="L44" s="27">
        <f t="shared" si="6"/>
        <v>16.539113036815863</v>
      </c>
      <c r="M44" s="27">
        <f t="shared" si="7"/>
        <v>4.5810238088052824</v>
      </c>
      <c r="N44" s="27">
        <f t="shared" si="8"/>
        <v>21.772280217789636</v>
      </c>
      <c r="O44" s="27">
        <f t="shared" si="9"/>
        <v>24.696136497907116</v>
      </c>
      <c r="P44" s="27">
        <f t="shared" si="10"/>
        <v>284.5146108681904</v>
      </c>
      <c r="Q44" s="27">
        <f t="shared" si="11"/>
        <v>65.059873447025382</v>
      </c>
      <c r="R44" s="27">
        <f t="shared" si="12"/>
        <v>309.21074736609751</v>
      </c>
      <c r="S44" s="27">
        <f t="shared" si="13"/>
        <v>1.0361146643037997</v>
      </c>
      <c r="T44" s="27">
        <f t="shared" si="14"/>
        <v>12.349928469889189</v>
      </c>
      <c r="U44" s="27">
        <f t="shared" si="15"/>
        <v>2.8165071223604743</v>
      </c>
      <c r="V44" s="27">
        <f t="shared" si="16"/>
        <v>13.386043134192988</v>
      </c>
    </row>
    <row r="45" spans="1:22" ht="22.05" customHeight="1">
      <c r="A45" s="19">
        <f>'03 Recorded O'!A32</f>
        <v>0.6875</v>
      </c>
      <c r="B45" s="16">
        <f>'03 Recorded O'!B32</f>
        <v>71.500000000000014</v>
      </c>
      <c r="C45" s="16">
        <f>('05 Reconstructed R'!$B$10-'05 Reconstructed R'!$B$15*('05 Reconstructed R'!E45/B45-'05 Reconstructed R'!$B$10)/('01 Traffic inputs'!$B$10-'05 Reconstructed R'!$B$15))*60</f>
        <v>0.13890479140026171</v>
      </c>
      <c r="D45" s="16">
        <f>'01 Traffic inputs'!$B$10*('05 Reconstructed R'!E45/B45-'05 Reconstructed R'!$B$10)/('01 Traffic inputs'!$B$10-'05 Reconstructed R'!$B$15)*60</f>
        <v>3.9296423625420527</v>
      </c>
      <c r="E45" s="16">
        <f>'05 Reconstructed R'!D45</f>
        <v>15.337170159017885</v>
      </c>
      <c r="F45" s="27">
        <f t="shared" si="0"/>
        <v>4.8483520251145924</v>
      </c>
      <c r="G45" s="27">
        <f t="shared" si="1"/>
        <v>3008.0548258185108</v>
      </c>
      <c r="H45" s="27">
        <f t="shared" si="2"/>
        <v>31283.600361431349</v>
      </c>
      <c r="I45" s="27">
        <f t="shared" si="3"/>
        <v>7072.8476417591328</v>
      </c>
      <c r="J45" s="27">
        <f t="shared" si="4"/>
        <v>34291.65518724986</v>
      </c>
      <c r="K45" s="27">
        <f t="shared" si="5"/>
        <v>4.2256102611655439</v>
      </c>
      <c r="L45" s="27">
        <f t="shared" si="6"/>
        <v>17.030481119127902</v>
      </c>
      <c r="M45" s="27">
        <f t="shared" si="7"/>
        <v>4.3841889512531944</v>
      </c>
      <c r="N45" s="27">
        <f t="shared" si="8"/>
        <v>21.256091380293448</v>
      </c>
      <c r="O45" s="27">
        <f t="shared" si="9"/>
        <v>19.941317406428222</v>
      </c>
      <c r="P45" s="27">
        <f t="shared" si="10"/>
        <v>292.96738571898578</v>
      </c>
      <c r="Q45" s="27">
        <f t="shared" si="11"/>
        <v>64.539188059063903</v>
      </c>
      <c r="R45" s="27">
        <f t="shared" si="12"/>
        <v>312.90870312541398</v>
      </c>
      <c r="S45" s="27">
        <f t="shared" si="13"/>
        <v>0.83662849013196305</v>
      </c>
      <c r="T45" s="27">
        <f t="shared" si="14"/>
        <v>12.71683814971496</v>
      </c>
      <c r="U45" s="27">
        <f t="shared" si="15"/>
        <v>2.7954790761148542</v>
      </c>
      <c r="V45" s="27">
        <f t="shared" si="16"/>
        <v>13.553466639846922</v>
      </c>
    </row>
    <row r="46" spans="1:22" ht="22.05" customHeight="1">
      <c r="A46" s="19">
        <f>'03 Recorded O'!A33</f>
        <v>0.69097222222222221</v>
      </c>
      <c r="B46" s="16">
        <f>'03 Recorded O'!B33</f>
        <v>67.041666666666657</v>
      </c>
      <c r="C46" s="16">
        <f>('05 Reconstructed R'!$B$10-'05 Reconstructed R'!$B$15*('05 Reconstructed R'!E46/B46-'05 Reconstructed R'!$B$10)/('01 Traffic inputs'!$B$10-'05 Reconstructed R'!$B$15))*60</f>
        <v>0.11216800419384151</v>
      </c>
      <c r="D46" s="16">
        <f>'01 Traffic inputs'!$B$10*('05 Reconstructed R'!E46/B46-'05 Reconstructed R'!$B$10)/('01 Traffic inputs'!$B$10-'05 Reconstructed R'!$B$15)*60</f>
        <v>4.0556747509476674</v>
      </c>
      <c r="E46" s="16">
        <f>'05 Reconstructed R'!D46</f>
        <v>14.97177404858274</v>
      </c>
      <c r="F46" s="27">
        <f t="shared" si="0"/>
        <v>4.6569854118213101</v>
      </c>
      <c r="G46" s="27">
        <f t="shared" si="1"/>
        <v>2277.5938114795317</v>
      </c>
      <c r="H46" s="27">
        <f t="shared" si="2"/>
        <v>30273.705506519342</v>
      </c>
      <c r="I46" s="27">
        <f t="shared" si="3"/>
        <v>6989.7791037460684</v>
      </c>
      <c r="J46" s="27">
        <f t="shared" si="4"/>
        <v>32551.299317998873</v>
      </c>
      <c r="K46" s="27">
        <f t="shared" si="5"/>
        <v>3.1994841643008414</v>
      </c>
      <c r="L46" s="27">
        <f t="shared" si="6"/>
        <v>16.480704397133735</v>
      </c>
      <c r="M46" s="27">
        <f t="shared" si="7"/>
        <v>4.2259502276898502</v>
      </c>
      <c r="N46" s="27">
        <f t="shared" si="8"/>
        <v>19.680188561434576</v>
      </c>
      <c r="O46" s="27">
        <f t="shared" si="9"/>
        <v>15.098867456736398</v>
      </c>
      <c r="P46" s="27">
        <f t="shared" si="10"/>
        <v>283.50983441170757</v>
      </c>
      <c r="Q46" s="27">
        <f t="shared" si="11"/>
        <v>64.120600659485532</v>
      </c>
      <c r="R46" s="27">
        <f t="shared" si="12"/>
        <v>298.60870186844397</v>
      </c>
      <c r="S46" s="27">
        <f t="shared" si="13"/>
        <v>0.63346580497033489</v>
      </c>
      <c r="T46" s="27">
        <f t="shared" si="14"/>
        <v>12.306314128509932</v>
      </c>
      <c r="U46" s="27">
        <f t="shared" si="15"/>
        <v>2.7785742898472217</v>
      </c>
      <c r="V46" s="27">
        <f t="shared" si="16"/>
        <v>12.939779933480267</v>
      </c>
    </row>
    <row r="47" spans="1:22" ht="22.05" customHeight="1">
      <c r="A47" s="19">
        <f>'03 Recorded O'!A34</f>
        <v>0.69444444444444453</v>
      </c>
      <c r="B47" s="16">
        <f>'03 Recorded O'!B34</f>
        <v>64.208333333333343</v>
      </c>
      <c r="C47" s="16">
        <f>('05 Reconstructed R'!$B$10-'05 Reconstructed R'!$B$15*('05 Reconstructed R'!E47/B47-'05 Reconstructed R'!$B$10)/('01 Traffic inputs'!$B$10-'05 Reconstructed R'!$B$15))*60</f>
        <v>9.0788702769731028E-2</v>
      </c>
      <c r="D47" s="16">
        <f>'01 Traffic inputs'!$B$10*('05 Reconstructed R'!E47/B47-'05 Reconstructed R'!$B$10)/('01 Traffic inputs'!$B$10-'05 Reconstructed R'!$B$15)*60</f>
        <v>4.1564529185009178</v>
      </c>
      <c r="E47" s="16">
        <f>'05 Reconstructed R'!D47</f>
        <v>14.691888421768905</v>
      </c>
      <c r="F47" s="27">
        <f t="shared" si="0"/>
        <v>4.5451384294292163</v>
      </c>
      <c r="G47" s="27">
        <f t="shared" si="1"/>
        <v>1765.5730332174264</v>
      </c>
      <c r="H47" s="27">
        <f t="shared" si="2"/>
        <v>29714.73920625868</v>
      </c>
      <c r="I47" s="27">
        <f t="shared" si="3"/>
        <v>6926.1503754527985</v>
      </c>
      <c r="J47" s="27">
        <f t="shared" si="4"/>
        <v>31480.312239476109</v>
      </c>
      <c r="K47" s="27">
        <f t="shared" si="5"/>
        <v>2.4802152746569863</v>
      </c>
      <c r="L47" s="27">
        <f t="shared" si="6"/>
        <v>16.176408698657983</v>
      </c>
      <c r="M47" s="27">
        <f t="shared" si="7"/>
        <v>4.1047427406205301</v>
      </c>
      <c r="N47" s="27">
        <f t="shared" si="8"/>
        <v>18.656623973314971</v>
      </c>
      <c r="O47" s="27">
        <f t="shared" si="9"/>
        <v>11.704524783732511</v>
      </c>
      <c r="P47" s="27">
        <f t="shared" si="10"/>
        <v>278.27517811254728</v>
      </c>
      <c r="Q47" s="27">
        <f t="shared" si="11"/>
        <v>63.79997163974074</v>
      </c>
      <c r="R47" s="27">
        <f t="shared" si="12"/>
        <v>289.97970289627978</v>
      </c>
      <c r="S47" s="27">
        <f t="shared" si="13"/>
        <v>0.4910577720592143</v>
      </c>
      <c r="T47" s="27">
        <f t="shared" si="14"/>
        <v>12.079093351827099</v>
      </c>
      <c r="U47" s="27">
        <f t="shared" si="15"/>
        <v>2.7656255841397743</v>
      </c>
      <c r="V47" s="27">
        <f t="shared" si="16"/>
        <v>12.570151123886314</v>
      </c>
    </row>
    <row r="48" spans="1:22" ht="22.05" customHeight="1">
      <c r="A48" s="19">
        <f>'03 Recorded O'!A35</f>
        <v>0.69791666666666663</v>
      </c>
      <c r="B48" s="16">
        <f>'03 Recorded O'!B35</f>
        <v>65.104166666666657</v>
      </c>
      <c r="C48" s="16">
        <f>('05 Reconstructed R'!$B$10-'05 Reconstructed R'!$B$15*('05 Reconstructed R'!E48/B48-'05 Reconstructed R'!$B$10)/('01 Traffic inputs'!$B$10-'05 Reconstructed R'!$B$15))*60</f>
        <v>7.3306886141308897E-2</v>
      </c>
      <c r="D48" s="16">
        <f>'01 Traffic inputs'!$B$10*('05 Reconstructed R'!E48/B48-'05 Reconstructed R'!$B$10)/('01 Traffic inputs'!$B$10-'05 Reconstructed R'!$B$15)*60</f>
        <v>4.2388590462955076</v>
      </c>
      <c r="E48" s="16">
        <f>'05 Reconstructed R'!D48</f>
        <v>14.470686188260576</v>
      </c>
      <c r="F48" s="27">
        <f t="shared" si="0"/>
        <v>4.6789994926614762</v>
      </c>
      <c r="G48" s="27">
        <f t="shared" si="1"/>
        <v>1445.4931429976027</v>
      </c>
      <c r="H48" s="27">
        <f t="shared" si="2"/>
        <v>30726.664620122294</v>
      </c>
      <c r="I48" s="27">
        <f t="shared" si="3"/>
        <v>6875.8626312267352</v>
      </c>
      <c r="J48" s="27">
        <f t="shared" si="4"/>
        <v>32172.157763119896</v>
      </c>
      <c r="K48" s="27">
        <f t="shared" si="5"/>
        <v>2.0305782345017773</v>
      </c>
      <c r="L48" s="27">
        <f t="shared" si="6"/>
        <v>16.727290836764336</v>
      </c>
      <c r="M48" s="27">
        <f t="shared" si="7"/>
        <v>4.0089487294636132</v>
      </c>
      <c r="N48" s="27">
        <f t="shared" si="8"/>
        <v>18.757869071266114</v>
      </c>
      <c r="O48" s="27">
        <f t="shared" si="9"/>
        <v>9.5826170872690994</v>
      </c>
      <c r="P48" s="27">
        <f t="shared" si="10"/>
        <v>287.75174537517358</v>
      </c>
      <c r="Q48" s="27">
        <f t="shared" si="11"/>
        <v>63.546568647588167</v>
      </c>
      <c r="R48" s="27">
        <f t="shared" si="12"/>
        <v>297.3343624624427</v>
      </c>
      <c r="S48" s="27">
        <f t="shared" si="13"/>
        <v>0.40203414357420197</v>
      </c>
      <c r="T48" s="27">
        <f t="shared" si="14"/>
        <v>12.490442798790117</v>
      </c>
      <c r="U48" s="27">
        <f t="shared" si="15"/>
        <v>2.7553918230991106</v>
      </c>
      <c r="V48" s="27">
        <f t="shared" si="16"/>
        <v>12.892476942364318</v>
      </c>
    </row>
    <row r="49" spans="1:22" ht="22.05" customHeight="1">
      <c r="A49" s="19">
        <f>'03 Recorded O'!A36</f>
        <v>0.70138888888888884</v>
      </c>
      <c r="B49" s="16">
        <f>'03 Recorded O'!B36</f>
        <v>69.999999999999986</v>
      </c>
      <c r="C49" s="16">
        <f>('05 Reconstructed R'!$B$10-'05 Reconstructed R'!$B$15*('05 Reconstructed R'!E49/B49-'05 Reconstructed R'!$B$10)/('01 Traffic inputs'!$B$10-'05 Reconstructed R'!$B$15))*60</f>
        <v>5.9763698975577005E-2</v>
      </c>
      <c r="D49" s="16">
        <f>'01 Traffic inputs'!$B$10*('05 Reconstructed R'!E49/B49-'05 Reconstructed R'!$B$10)/('01 Traffic inputs'!$B$10-'05 Reconstructed R'!$B$15)*60</f>
        <v>4.3026991857985655</v>
      </c>
      <c r="E49" s="16">
        <f>'05 Reconstructed R'!D49</f>
        <v>14.303846622464009</v>
      </c>
      <c r="F49" s="27">
        <f t="shared" si="0"/>
        <v>5.0895400322364992</v>
      </c>
      <c r="G49" s="27">
        <f t="shared" si="1"/>
        <v>1267.0623571970964</v>
      </c>
      <c r="H49" s="27">
        <f t="shared" si="2"/>
        <v>33534.874461030275</v>
      </c>
      <c r="I49" s="27">
        <f t="shared" si="3"/>
        <v>6837.9336045686505</v>
      </c>
      <c r="J49" s="27">
        <f t="shared" si="4"/>
        <v>34801.936818227368</v>
      </c>
      <c r="K49" s="27">
        <f t="shared" si="5"/>
        <v>1.7799249043447087</v>
      </c>
      <c r="L49" s="27">
        <f t="shared" si="6"/>
        <v>18.25605236426086</v>
      </c>
      <c r="M49" s="27">
        <f t="shared" si="7"/>
        <v>3.9366970574354929</v>
      </c>
      <c r="N49" s="27">
        <f t="shared" si="8"/>
        <v>20.035977268605571</v>
      </c>
      <c r="O49" s="27">
        <f t="shared" si="9"/>
        <v>8.3997447193234418</v>
      </c>
      <c r="P49" s="27">
        <f t="shared" si="10"/>
        <v>314.05031351106635</v>
      </c>
      <c r="Q49" s="27">
        <f t="shared" si="11"/>
        <v>63.355441982582342</v>
      </c>
      <c r="R49" s="27">
        <f t="shared" si="12"/>
        <v>322.4500582303898</v>
      </c>
      <c r="S49" s="27">
        <f t="shared" si="13"/>
        <v>0.35240729580665264</v>
      </c>
      <c r="T49" s="27">
        <f t="shared" si="14"/>
        <v>13.631985000604312</v>
      </c>
      <c r="U49" s="27">
        <f t="shared" si="15"/>
        <v>2.7476731114866184</v>
      </c>
      <c r="V49" s="27">
        <f t="shared" si="16"/>
        <v>13.984392296410965</v>
      </c>
    </row>
    <row r="50" spans="1:22" ht="22.05" customHeight="1">
      <c r="A50" s="19">
        <f>'03 Recorded O'!A37</f>
        <v>0.70486111111111116</v>
      </c>
      <c r="B50" s="16">
        <f>'03 Recorded O'!B37</f>
        <v>69.583333333333314</v>
      </c>
      <c r="C50" s="16">
        <f>('05 Reconstructed R'!$B$10-'05 Reconstructed R'!$B$15*('05 Reconstructed R'!E50/B50-'05 Reconstructed R'!$B$10)/('01 Traffic inputs'!$B$10-'05 Reconstructed R'!$B$15))*60</f>
        <v>5.0580799466813792E-2</v>
      </c>
      <c r="D50" s="16">
        <f>'01 Traffic inputs'!$B$10*('05 Reconstructed R'!E50/B50-'05 Reconstructed R'!$B$10)/('01 Traffic inputs'!$B$10-'05 Reconstructed R'!$B$15)*60</f>
        <v>4.3459857163993805</v>
      </c>
      <c r="E50" s="16">
        <f>'05 Reconstructed R'!D50</f>
        <v>14.192893425998221</v>
      </c>
      <c r="F50" s="27">
        <f t="shared" si="0"/>
        <v>5.0987958899281542</v>
      </c>
      <c r="G50" s="27">
        <f t="shared" si="1"/>
        <v>1065.9906563646607</v>
      </c>
      <c r="H50" s="27">
        <f t="shared" si="2"/>
        <v>33670.625516630818</v>
      </c>
      <c r="I50" s="27">
        <f t="shared" si="3"/>
        <v>6812.7096912453462</v>
      </c>
      <c r="J50" s="27">
        <f t="shared" si="4"/>
        <v>34736.616172995477</v>
      </c>
      <c r="K50" s="27">
        <f t="shared" si="5"/>
        <v>1.4974664082511897</v>
      </c>
      <c r="L50" s="27">
        <f t="shared" si="6"/>
        <v>18.329953889743745</v>
      </c>
      <c r="M50" s="27">
        <f t="shared" si="7"/>
        <v>3.8886475799434908</v>
      </c>
      <c r="N50" s="27">
        <f t="shared" si="8"/>
        <v>19.827420297994934</v>
      </c>
      <c r="O50" s="27">
        <f t="shared" si="9"/>
        <v>7.0667787862111924</v>
      </c>
      <c r="P50" s="27">
        <f t="shared" si="10"/>
        <v>315.32160682156763</v>
      </c>
      <c r="Q50" s="27">
        <f t="shared" si="11"/>
        <v>63.228337153994516</v>
      </c>
      <c r="R50" s="27">
        <f t="shared" si="12"/>
        <v>322.38838560777884</v>
      </c>
      <c r="S50" s="27">
        <f t="shared" si="13"/>
        <v>0.29648334387870462</v>
      </c>
      <c r="T50" s="27">
        <f t="shared" si="14"/>
        <v>13.687168041647546</v>
      </c>
      <c r="U50" s="27">
        <f t="shared" si="15"/>
        <v>2.7425399422535603</v>
      </c>
      <c r="V50" s="27">
        <f t="shared" si="16"/>
        <v>13.983651385526251</v>
      </c>
    </row>
    <row r="51" spans="1:22" ht="22.05" customHeight="1">
      <c r="A51" s="19">
        <f>'03 Recorded O'!A38</f>
        <v>0.70833333333333337</v>
      </c>
      <c r="B51" s="16">
        <f>'03 Recorded O'!B38</f>
        <v>66.208333333333314</v>
      </c>
      <c r="C51" s="16">
        <f>('05 Reconstructed R'!$B$10-'05 Reconstructed R'!$B$15*('05 Reconstructed R'!E51/B51-'05 Reconstructed R'!$B$10)/('01 Traffic inputs'!$B$10-'05 Reconstructed R'!$B$15))*60</f>
        <v>4.6609480395124886E-2</v>
      </c>
      <c r="D51" s="16">
        <f>'01 Traffic inputs'!$B$10*('05 Reconstructed R'!E51/B51-'05 Reconstructed R'!$B$10)/('01 Traffic inputs'!$B$10-'05 Reconstructed R'!$B$15)*60</f>
        <v>4.3647057976066517</v>
      </c>
      <c r="E51" s="16">
        <f>'05 Reconstructed R'!D51</f>
        <v>14.145441000595854</v>
      </c>
      <c r="F51" s="27">
        <f t="shared" si="0"/>
        <v>4.8677638727394585</v>
      </c>
      <c r="G51" s="27">
        <f t="shared" si="1"/>
        <v>934.65083025971842</v>
      </c>
      <c r="H51" s="27">
        <f t="shared" si="2"/>
        <v>32175.49903770781</v>
      </c>
      <c r="I51" s="27">
        <f t="shared" si="3"/>
        <v>6801.9219365572771</v>
      </c>
      <c r="J51" s="27">
        <f t="shared" si="4"/>
        <v>33110.149867967528</v>
      </c>
      <c r="K51" s="27">
        <f t="shared" si="5"/>
        <v>1.3129648120285458</v>
      </c>
      <c r="L51" s="27">
        <f t="shared" si="6"/>
        <v>17.516021894198925</v>
      </c>
      <c r="M51" s="27">
        <f t="shared" si="7"/>
        <v>3.8680977957196965</v>
      </c>
      <c r="N51" s="27">
        <f t="shared" si="8"/>
        <v>18.828986706227472</v>
      </c>
      <c r="O51" s="27">
        <f t="shared" si="9"/>
        <v>6.1960868234238884</v>
      </c>
      <c r="P51" s="27">
        <f t="shared" si="10"/>
        <v>301.31991613415772</v>
      </c>
      <c r="Q51" s="27">
        <f t="shared" si="11"/>
        <v>63.173977004048709</v>
      </c>
      <c r="R51" s="27">
        <f t="shared" si="12"/>
        <v>307.51600295758163</v>
      </c>
      <c r="S51" s="27">
        <f t="shared" si="13"/>
        <v>0.25995387657470598</v>
      </c>
      <c r="T51" s="27">
        <f t="shared" si="14"/>
        <v>13.07939651835261</v>
      </c>
      <c r="U51" s="27">
        <f t="shared" si="15"/>
        <v>2.7403445901783758</v>
      </c>
      <c r="V51" s="27">
        <f t="shared" si="16"/>
        <v>13.339350394927315</v>
      </c>
    </row>
    <row r="52" spans="1:22" ht="22.05" customHeight="1">
      <c r="A52" s="19">
        <f>'03 Recorded O'!A39</f>
        <v>0.71180555555555547</v>
      </c>
      <c r="B52" s="16">
        <f>'03 Recorded O'!B39</f>
        <v>60.375</v>
      </c>
      <c r="C52" s="16">
        <f>('05 Reconstructed R'!$B$10-'05 Reconstructed R'!$B$15*('05 Reconstructed R'!E52/B52-'05 Reconstructed R'!$B$10)/('01 Traffic inputs'!$B$10-'05 Reconstructed R'!$B$15))*60</f>
        <v>4.7404127519238108E-2</v>
      </c>
      <c r="D52" s="16">
        <f>'01 Traffic inputs'!$B$10*('05 Reconstructed R'!E52/B52-'05 Reconstructed R'!$B$10)/('01 Traffic inputs'!$B$10-'05 Reconstructed R'!$B$15)*60</f>
        <v>4.3609599745121113</v>
      </c>
      <c r="E52" s="16">
        <f>'05 Reconstructed R'!D52</f>
        <v>14.154910655235501</v>
      </c>
      <c r="F52" s="27">
        <f t="shared" si="0"/>
        <v>4.4359163776690451</v>
      </c>
      <c r="G52" s="27">
        <f t="shared" si="1"/>
        <v>866.83368716352538</v>
      </c>
      <c r="H52" s="27">
        <f t="shared" si="2"/>
        <v>29315.472939840307</v>
      </c>
      <c r="I52" s="27">
        <f t="shared" si="3"/>
        <v>6804.0747519374618</v>
      </c>
      <c r="J52" s="27">
        <f t="shared" si="4"/>
        <v>30182.306627003833</v>
      </c>
      <c r="K52" s="27">
        <f t="shared" si="5"/>
        <v>1.2176976602165013</v>
      </c>
      <c r="L52" s="27">
        <f t="shared" si="6"/>
        <v>15.959052111398741</v>
      </c>
      <c r="M52" s="27">
        <f t="shared" si="7"/>
        <v>3.872198731717563</v>
      </c>
      <c r="N52" s="27">
        <f t="shared" si="8"/>
        <v>17.176749771615242</v>
      </c>
      <c r="O52" s="27">
        <f t="shared" si="9"/>
        <v>5.7465061959463419</v>
      </c>
      <c r="P52" s="27">
        <f t="shared" si="10"/>
        <v>274.53609460147601</v>
      </c>
      <c r="Q52" s="27">
        <f t="shared" si="11"/>
        <v>63.184825171276856</v>
      </c>
      <c r="R52" s="27">
        <f t="shared" si="12"/>
        <v>280.28260079742233</v>
      </c>
      <c r="S52" s="27">
        <f t="shared" si="13"/>
        <v>0.24109193511451588</v>
      </c>
      <c r="T52" s="27">
        <f t="shared" si="14"/>
        <v>11.916790917643622</v>
      </c>
      <c r="U52" s="27">
        <f t="shared" si="15"/>
        <v>2.7407826968881634</v>
      </c>
      <c r="V52" s="27">
        <f t="shared" si="16"/>
        <v>12.157882852758139</v>
      </c>
    </row>
    <row r="53" spans="1:22" ht="22.05" customHeight="1">
      <c r="A53" s="19">
        <f>'03 Recorded O'!A40</f>
        <v>0.71527777777777779</v>
      </c>
      <c r="B53" s="16">
        <f>'03 Recorded O'!B40</f>
        <v>58.729166666666643</v>
      </c>
      <c r="C53" s="16">
        <f>('05 Reconstructed R'!$B$10-'05 Reconstructed R'!$B$15*('05 Reconstructed R'!E53/B53-'05 Reconstructed R'!$B$10)/('01 Traffic inputs'!$B$10-'05 Reconstructed R'!$B$15))*60</f>
        <v>5.2214458923155183E-2</v>
      </c>
      <c r="D53" s="16">
        <f>'01 Traffic inputs'!$B$10*('05 Reconstructed R'!E53/B53-'05 Reconstructed R'!$B$10)/('01 Traffic inputs'!$B$10-'05 Reconstructed R'!$B$15)*60</f>
        <v>4.3382849406279869</v>
      </c>
      <c r="E53" s="16">
        <f>'05 Reconstructed R'!D53</f>
        <v>14.212506214300047</v>
      </c>
      <c r="F53" s="27">
        <f t="shared" si="0"/>
        <v>4.297506183102314</v>
      </c>
      <c r="G53" s="27">
        <f t="shared" si="1"/>
        <v>928.76769188773324</v>
      </c>
      <c r="H53" s="27">
        <f t="shared" si="2"/>
        <v>28368.055785548797</v>
      </c>
      <c r="I53" s="27">
        <f t="shared" si="3"/>
        <v>6817.1684295954947</v>
      </c>
      <c r="J53" s="27">
        <f t="shared" si="4"/>
        <v>29296.82347743653</v>
      </c>
      <c r="K53" s="27">
        <f t="shared" si="5"/>
        <v>1.3047003849113463</v>
      </c>
      <c r="L53" s="27">
        <f t="shared" si="6"/>
        <v>15.443287628676611</v>
      </c>
      <c r="M53" s="27">
        <f t="shared" si="7"/>
        <v>3.8971411092881318</v>
      </c>
      <c r="N53" s="27">
        <f t="shared" si="8"/>
        <v>16.747988013587957</v>
      </c>
      <c r="O53" s="27">
        <f t="shared" si="9"/>
        <v>6.1570856959794202</v>
      </c>
      <c r="P53" s="27">
        <f t="shared" si="10"/>
        <v>265.66363990728092</v>
      </c>
      <c r="Q53" s="27">
        <f t="shared" si="11"/>
        <v>63.250805006878785</v>
      </c>
      <c r="R53" s="27">
        <f t="shared" si="12"/>
        <v>271.82072560326037</v>
      </c>
      <c r="S53" s="27">
        <f t="shared" si="13"/>
        <v>0.2583176028169456</v>
      </c>
      <c r="T53" s="27">
        <f t="shared" si="14"/>
        <v>11.531664190790197</v>
      </c>
      <c r="U53" s="27">
        <f t="shared" si="15"/>
        <v>2.7434473136920792</v>
      </c>
      <c r="V53" s="27">
        <f t="shared" si="16"/>
        <v>11.789981793607144</v>
      </c>
    </row>
    <row r="54" spans="1:22" ht="22.05" customHeight="1">
      <c r="A54" s="19">
        <f>'03 Recorded O'!A41</f>
        <v>0.71875</v>
      </c>
      <c r="B54" s="16">
        <f>'03 Recorded O'!B41</f>
        <v>58.291666666666657</v>
      </c>
      <c r="C54" s="16">
        <f>('05 Reconstructed R'!$B$10-'05 Reconstructed R'!$B$15*('05 Reconstructed R'!E54/B54-'05 Reconstructed R'!$B$10)/('01 Traffic inputs'!$B$10-'05 Reconstructed R'!$B$15))*60</f>
        <v>6.076794338800675E-2</v>
      </c>
      <c r="D54" s="16">
        <f>'01 Traffic inputs'!$B$10*('05 Reconstructed R'!E54/B54-'05 Reconstructed R'!$B$10)/('01 Traffic inputs'!$B$10-'05 Reconstructed R'!$B$15)*60</f>
        <v>4.2979653589230944</v>
      </c>
      <c r="E54" s="16">
        <f>'05 Reconstructed R'!D54</f>
        <v>14.316085814866284</v>
      </c>
      <c r="F54" s="27">
        <f t="shared" si="0"/>
        <v>4.2346304791202991</v>
      </c>
      <c r="G54" s="27">
        <f t="shared" si="1"/>
        <v>1072.861079198598</v>
      </c>
      <c r="H54" s="27">
        <f t="shared" si="2"/>
        <v>27895.043571312457</v>
      </c>
      <c r="I54" s="27">
        <f t="shared" si="3"/>
        <v>6840.7160420119681</v>
      </c>
      <c r="J54" s="27">
        <f t="shared" si="4"/>
        <v>28967.904650511056</v>
      </c>
      <c r="K54" s="27">
        <f t="shared" si="5"/>
        <v>1.507117738066208</v>
      </c>
      <c r="L54" s="27">
        <f t="shared" si="6"/>
        <v>15.185784480362505</v>
      </c>
      <c r="M54" s="27">
        <f t="shared" si="7"/>
        <v>3.941997371609268</v>
      </c>
      <c r="N54" s="27">
        <f t="shared" si="8"/>
        <v>16.692902218428713</v>
      </c>
      <c r="O54" s="27">
        <f t="shared" si="9"/>
        <v>7.1123249249557334</v>
      </c>
      <c r="P54" s="27">
        <f t="shared" si="10"/>
        <v>261.23393392021632</v>
      </c>
      <c r="Q54" s="27">
        <f t="shared" si="11"/>
        <v>63.369462853561238</v>
      </c>
      <c r="R54" s="27">
        <f t="shared" si="12"/>
        <v>268.34625884517203</v>
      </c>
      <c r="S54" s="27">
        <f t="shared" si="13"/>
        <v>0.29839421047355169</v>
      </c>
      <c r="T54" s="27">
        <f t="shared" si="14"/>
        <v>11.339383900101602</v>
      </c>
      <c r="U54" s="27">
        <f t="shared" si="15"/>
        <v>2.7482393488540664</v>
      </c>
      <c r="V54" s="27">
        <f t="shared" si="16"/>
        <v>11.637778110575153</v>
      </c>
    </row>
    <row r="55" spans="1:22" ht="22.05" customHeight="1">
      <c r="A55" s="19">
        <f>'03 Recorded O'!A42</f>
        <v>0.72222222222222221</v>
      </c>
      <c r="B55" s="16">
        <f>'03 Recorded O'!B42</f>
        <v>61.270833333333336</v>
      </c>
      <c r="C55" s="16">
        <f>('05 Reconstructed R'!$B$10-'05 Reconstructed R'!$B$15*('05 Reconstructed R'!E55/B55-'05 Reconstructed R'!$B$10)/('01 Traffic inputs'!$B$10-'05 Reconstructed R'!$B$15))*60</f>
        <v>7.3329841233068307E-2</v>
      </c>
      <c r="D55" s="16">
        <f>'01 Traffic inputs'!$B$10*('05 Reconstructed R'!E55/B55-'05 Reconstructed R'!$B$10)/('01 Traffic inputs'!$B$10-'05 Reconstructed R'!$B$15)*60</f>
        <v>4.2387508401367731</v>
      </c>
      <c r="E55" s="16">
        <f>'05 Reconstructed R'!D55</f>
        <v>14.4709722778606</v>
      </c>
      <c r="F55" s="27">
        <f t="shared" si="0"/>
        <v>4.4034129458016329</v>
      </c>
      <c r="G55" s="27">
        <f t="shared" si="1"/>
        <v>1360.8084927115801</v>
      </c>
      <c r="H55" s="27">
        <f t="shared" si="2"/>
        <v>28916.740425329164</v>
      </c>
      <c r="I55" s="27">
        <f t="shared" si="3"/>
        <v>6875.9276703558799</v>
      </c>
      <c r="J55" s="27">
        <f t="shared" si="4"/>
        <v>30277.548918040746</v>
      </c>
      <c r="K55" s="27">
        <f t="shared" si="5"/>
        <v>1.9116161982581525</v>
      </c>
      <c r="L55" s="27">
        <f t="shared" si="6"/>
        <v>15.741986093373004</v>
      </c>
      <c r="M55" s="27">
        <f t="shared" si="7"/>
        <v>4.0090726236481444</v>
      </c>
      <c r="N55" s="27">
        <f t="shared" si="8"/>
        <v>17.653602291631156</v>
      </c>
      <c r="O55" s="27">
        <f t="shared" si="9"/>
        <v>9.0212165847545105</v>
      </c>
      <c r="P55" s="27">
        <f t="shared" si="10"/>
        <v>270.80200961675968</v>
      </c>
      <c r="Q55" s="27">
        <f t="shared" si="11"/>
        <v>63.54689638370332</v>
      </c>
      <c r="R55" s="27">
        <f t="shared" si="12"/>
        <v>279.82322620151416</v>
      </c>
      <c r="S55" s="27">
        <f t="shared" si="13"/>
        <v>0.37848085242470647</v>
      </c>
      <c r="T55" s="27">
        <f t="shared" si="14"/>
        <v>11.75470545454205</v>
      </c>
      <c r="U55" s="27">
        <f t="shared" si="15"/>
        <v>2.7554050588271441</v>
      </c>
      <c r="V55" s="27">
        <f t="shared" si="16"/>
        <v>12.133186306966756</v>
      </c>
    </row>
    <row r="56" spans="1:22" ht="22.05" customHeight="1">
      <c r="A56" s="19">
        <f>'03 Recorded O'!A43</f>
        <v>0.72569444444444453</v>
      </c>
      <c r="B56" s="16">
        <f>'03 Recorded O'!B43</f>
        <v>61.062500000000028</v>
      </c>
      <c r="C56" s="16">
        <f>('05 Reconstructed R'!$B$10-'05 Reconstructed R'!$B$15*('05 Reconstructed R'!E56/B56-'05 Reconstructed R'!$B$10)/('01 Traffic inputs'!$B$10-'05 Reconstructed R'!$B$15))*60</f>
        <v>9.0465925163224187E-2</v>
      </c>
      <c r="D56" s="16">
        <f>'01 Traffic inputs'!$B$10*('05 Reconstructed R'!E56/B56-'05 Reconstructed R'!$B$10)/('01 Traffic inputs'!$B$10-'05 Reconstructed R'!$B$15)*60</f>
        <v>4.1579744338706526</v>
      </c>
      <c r="E56" s="16">
        <f>'05 Reconstructed R'!D56</f>
        <v>14.687742966030811</v>
      </c>
      <c r="F56" s="27">
        <f t="shared" ref="F56:F80" si="17">B56*(C56+D56)/60</f>
        <v>4.3236731570584368</v>
      </c>
      <c r="G56" s="27">
        <f t="shared" ref="G56:G80" si="18">B56*C56/60*$F$8</f>
        <v>1673.1007318069931</v>
      </c>
      <c r="H56" s="27">
        <f t="shared" ref="H56:H80" si="19">B56*D56/60*$G$8</f>
        <v>28269.235008147531</v>
      </c>
      <c r="I56" s="27">
        <f t="shared" ref="I56:I80" si="20">J56/F56</f>
        <v>6925.2079545081669</v>
      </c>
      <c r="J56" s="27">
        <f t="shared" ref="J56:J80" si="21">G56+H56</f>
        <v>29942.335739954524</v>
      </c>
      <c r="K56" s="27">
        <f t="shared" ref="K56:K80" si="22">B56*C56/60*$F$9</f>
        <v>2.3503134183611345</v>
      </c>
      <c r="L56" s="27">
        <f t="shared" ref="L56:L80" si="23">B56*D56/60*$G$9</f>
        <v>15.389490579607264</v>
      </c>
      <c r="M56" s="27">
        <f t="shared" ref="M56:M80" si="24">N56/F56</f>
        <v>4.1029475063368288</v>
      </c>
      <c r="N56" s="27">
        <f t="shared" ref="N56:N80" si="25">K56+L56</f>
        <v>17.739803997968398</v>
      </c>
      <c r="O56" s="27">
        <f t="shared" ref="O56:O80" si="26">B56*C56/60*$F$10</f>
        <v>11.091497555006192</v>
      </c>
      <c r="P56" s="27">
        <f t="shared" ref="P56:P80" si="27">B56*D56/60*$G$10</f>
        <v>264.7381944829857</v>
      </c>
      <c r="Q56" s="27">
        <f t="shared" ref="Q56:Q80" si="28">R56/F56</f>
        <v>63.795222723460803</v>
      </c>
      <c r="R56" s="27">
        <f t="shared" ref="R56:R80" si="29">O56+P56</f>
        <v>275.82969203799189</v>
      </c>
      <c r="S56" s="27">
        <f t="shared" ref="S56:S80" si="30">B56*C56/60*$F$11</f>
        <v>0.46533850615887051</v>
      </c>
      <c r="T56" s="27">
        <f t="shared" ref="T56:T80" si="31">B56*D56/60*$G$11</f>
        <v>11.491493372293544</v>
      </c>
      <c r="U56" s="27">
        <f t="shared" ref="U56:U80" si="32">V56/F56</f>
        <v>2.7654337976340266</v>
      </c>
      <c r="V56" s="27">
        <f t="shared" ref="V56:V80" si="33">S56+T56</f>
        <v>11.956831878452414</v>
      </c>
    </row>
    <row r="57" spans="1:22" ht="22.05" customHeight="1">
      <c r="A57" s="19">
        <f>'03 Recorded O'!A44</f>
        <v>0.72916666666666663</v>
      </c>
      <c r="B57" s="16">
        <f>'03 Recorded O'!B44</f>
        <v>62.291666666666657</v>
      </c>
      <c r="C57" s="16">
        <f>('05 Reconstructed R'!$B$10-'05 Reconstructed R'!$B$15*('05 Reconstructed R'!E57/B57-'05 Reconstructed R'!$B$10)/('01 Traffic inputs'!$B$10-'05 Reconstructed R'!$B$15))*60</f>
        <v>0.1114423277259306</v>
      </c>
      <c r="D57" s="16">
        <f>'01 Traffic inputs'!$B$10*('05 Reconstructed R'!E57/B57-'05 Reconstructed R'!$B$10)/('01 Traffic inputs'!$B$10-'05 Reconstructed R'!$B$15)*60</f>
        <v>4.0590954588193524</v>
      </c>
      <c r="E57" s="16">
        <f>'05 Reconstructed R'!D57</f>
        <v>14.962099180904689</v>
      </c>
      <c r="F57" s="27">
        <f t="shared" si="17"/>
        <v>4.3298291603369421</v>
      </c>
      <c r="G57" s="27">
        <f t="shared" si="18"/>
        <v>2102.5319539817965</v>
      </c>
      <c r="H57" s="27">
        <f t="shared" si="19"/>
        <v>28152.49411232222</v>
      </c>
      <c r="I57" s="27">
        <f t="shared" si="20"/>
        <v>6987.5796355784178</v>
      </c>
      <c r="J57" s="27">
        <f t="shared" si="21"/>
        <v>30255.026066304017</v>
      </c>
      <c r="K57" s="27">
        <f t="shared" si="22"/>
        <v>2.9535633868496385</v>
      </c>
      <c r="L57" s="27">
        <f t="shared" si="23"/>
        <v>15.325937996170154</v>
      </c>
      <c r="M57" s="27">
        <f t="shared" si="24"/>
        <v>4.2217604219740865</v>
      </c>
      <c r="N57" s="27">
        <f t="shared" si="25"/>
        <v>18.279501383019792</v>
      </c>
      <c r="O57" s="27">
        <f t="shared" si="26"/>
        <v>13.938328747083281</v>
      </c>
      <c r="P57" s="27">
        <f t="shared" si="27"/>
        <v>263.64492917268592</v>
      </c>
      <c r="Q57" s="27">
        <f t="shared" si="28"/>
        <v>64.109517406032722</v>
      </c>
      <c r="R57" s="27">
        <f t="shared" si="29"/>
        <v>277.58325791976921</v>
      </c>
      <c r="S57" s="27">
        <f t="shared" si="30"/>
        <v>0.58477595521728931</v>
      </c>
      <c r="T57" s="27">
        <f t="shared" si="31"/>
        <v>11.444037994379512</v>
      </c>
      <c r="U57" s="27">
        <f t="shared" si="32"/>
        <v>2.7781266891049192</v>
      </c>
      <c r="V57" s="27">
        <f t="shared" si="33"/>
        <v>12.028813949596801</v>
      </c>
    </row>
    <row r="58" spans="1:22" ht="22.05" customHeight="1">
      <c r="A58" s="19">
        <f>'03 Recorded O'!A45</f>
        <v>0.73263888888888884</v>
      </c>
      <c r="B58" s="16">
        <f>'03 Recorded O'!B45</f>
        <v>62.208333333333329</v>
      </c>
      <c r="C58" s="16">
        <f>('05 Reconstructed R'!$B$10-'05 Reconstructed R'!$B$15*('05 Reconstructed R'!E58/B58-'05 Reconstructed R'!$B$10)/('01 Traffic inputs'!$B$10-'05 Reconstructed R'!$B$15))*60</f>
        <v>0.13630115381493005</v>
      </c>
      <c r="D58" s="16">
        <f>'01 Traffic inputs'!$B$10*('05 Reconstructed R'!E58/B58-'05 Reconstructed R'!$B$10)/('01 Traffic inputs'!$B$10-'05 Reconstructed R'!$B$15)*60</f>
        <v>3.9419154401144834</v>
      </c>
      <c r="E58" s="16">
        <f>'05 Reconstructed R'!D58</f>
        <v>15.300805772034298</v>
      </c>
      <c r="F58" s="27">
        <f t="shared" si="17"/>
        <v>4.2283176213448703</v>
      </c>
      <c r="G58" s="27">
        <f t="shared" si="18"/>
        <v>2568.091996890003</v>
      </c>
      <c r="H58" s="27">
        <f t="shared" si="19"/>
        <v>27303.198739180734</v>
      </c>
      <c r="I58" s="27">
        <f t="shared" si="20"/>
        <v>7064.5806231012966</v>
      </c>
      <c r="J58" s="27">
        <f t="shared" si="21"/>
        <v>29871.290736070736</v>
      </c>
      <c r="K58" s="27">
        <f t="shared" si="22"/>
        <v>3.6075658596823201</v>
      </c>
      <c r="L58" s="27">
        <f t="shared" si="23"/>
        <v>14.863590035905295</v>
      </c>
      <c r="M58" s="27">
        <f t="shared" si="24"/>
        <v>4.3684409615644313</v>
      </c>
      <c r="N58" s="27">
        <f t="shared" si="25"/>
        <v>18.471155895587614</v>
      </c>
      <c r="O58" s="27">
        <f t="shared" si="26"/>
        <v>17.024668965252904</v>
      </c>
      <c r="P58" s="27">
        <f t="shared" si="27"/>
        <v>255.69137388180422</v>
      </c>
      <c r="Q58" s="27">
        <f t="shared" si="28"/>
        <v>64.49753005080926</v>
      </c>
      <c r="R58" s="27">
        <f t="shared" si="29"/>
        <v>272.71604284705711</v>
      </c>
      <c r="S58" s="27">
        <f t="shared" si="30"/>
        <v>0.71426189158418352</v>
      </c>
      <c r="T58" s="27">
        <f t="shared" si="31"/>
        <v>11.098797942826575</v>
      </c>
      <c r="U58" s="27">
        <f t="shared" si="32"/>
        <v>2.7937967041022485</v>
      </c>
      <c r="V58" s="27">
        <f t="shared" si="33"/>
        <v>11.813059834410758</v>
      </c>
    </row>
    <row r="59" spans="1:22" ht="22.05" customHeight="1">
      <c r="A59" s="19">
        <f>'03 Recorded O'!A46</f>
        <v>0.73611111111111116</v>
      </c>
      <c r="B59" s="16">
        <f>'03 Recorded O'!B46</f>
        <v>64.604166666666671</v>
      </c>
      <c r="C59" s="16">
        <f>('05 Reconstructed R'!$B$10-'05 Reconstructed R'!$B$15*('05 Reconstructed R'!E59/B59-'05 Reconstructed R'!$B$10)/('01 Traffic inputs'!$B$10-'05 Reconstructed R'!$B$15))*60</f>
        <v>0.16592315094785179</v>
      </c>
      <c r="D59" s="16">
        <f>'01 Traffic inputs'!$B$10*('05 Reconstructed R'!E59/B59-'05 Reconstructed R'!$B$10)/('01 Traffic inputs'!$B$10-'05 Reconstructed R'!$B$15)*60</f>
        <v>3.8022826929491869</v>
      </c>
      <c r="E59" s="16">
        <f>'05 Reconstructed R'!D59</f>
        <v>15.724990702276754</v>
      </c>
      <c r="F59" s="27">
        <f t="shared" si="17"/>
        <v>4.2727105284460825</v>
      </c>
      <c r="G59" s="27">
        <f t="shared" si="18"/>
        <v>3246.6090475300093</v>
      </c>
      <c r="H59" s="27">
        <f t="shared" si="19"/>
        <v>27350.331346006453</v>
      </c>
      <c r="I59" s="27">
        <f t="shared" si="20"/>
        <v>7161.0141126654062</v>
      </c>
      <c r="J59" s="27">
        <f t="shared" si="21"/>
        <v>30596.940393536461</v>
      </c>
      <c r="K59" s="27">
        <f t="shared" si="22"/>
        <v>4.5607228922440601</v>
      </c>
      <c r="L59" s="27">
        <f t="shared" si="23"/>
        <v>14.889248558625408</v>
      </c>
      <c r="M59" s="27">
        <f t="shared" si="24"/>
        <v>4.5521388171229837</v>
      </c>
      <c r="N59" s="27">
        <f t="shared" si="25"/>
        <v>19.449971450869469</v>
      </c>
      <c r="O59" s="27">
        <f t="shared" si="26"/>
        <v>21.522766458806455</v>
      </c>
      <c r="P59" s="27">
        <f t="shared" si="27"/>
        <v>256.13276542383642</v>
      </c>
      <c r="Q59" s="27">
        <f t="shared" si="28"/>
        <v>64.983464251584067</v>
      </c>
      <c r="R59" s="27">
        <f t="shared" si="29"/>
        <v>277.65553188264289</v>
      </c>
      <c r="S59" s="27">
        <f t="shared" si="30"/>
        <v>0.90297743318049595</v>
      </c>
      <c r="T59" s="27">
        <f t="shared" si="31"/>
        <v>11.117957429767079</v>
      </c>
      <c r="U59" s="27">
        <f t="shared" si="32"/>
        <v>2.8134213125173728</v>
      </c>
      <c r="V59" s="27">
        <f t="shared" si="33"/>
        <v>12.020934862947575</v>
      </c>
    </row>
    <row r="60" spans="1:22" ht="22.05" customHeight="1">
      <c r="A60" s="19">
        <f>'03 Recorded O'!A47</f>
        <v>0.73958333333333337</v>
      </c>
      <c r="B60" s="16">
        <f>'03 Recorded O'!B47</f>
        <v>69.375000000000028</v>
      </c>
      <c r="C60" s="16">
        <f>('05 Reconstructed R'!$B$10-'05 Reconstructed R'!$B$15*('05 Reconstructed R'!E60/B60-'05 Reconstructed R'!$B$10)/('01 Traffic inputs'!$B$10-'05 Reconstructed R'!$B$15))*60</f>
        <v>0.20045179019952025</v>
      </c>
      <c r="D60" s="16">
        <f>'01 Traffic inputs'!$B$10*('05 Reconstructed R'!E60/B60-'05 Reconstructed R'!$B$10)/('01 Traffic inputs'!$B$10-'05 Reconstructed R'!$B$15)*60</f>
        <v>3.6395209205759289</v>
      </c>
      <c r="E60" s="16">
        <f>'05 Reconstructed R'!D60</f>
        <v>16.250115482565523</v>
      </c>
      <c r="F60" s="27">
        <f t="shared" si="17"/>
        <v>4.439968446834115</v>
      </c>
      <c r="G60" s="27">
        <f t="shared" si="18"/>
        <v>4211.8744259310306</v>
      </c>
      <c r="H60" s="27">
        <f t="shared" si="19"/>
        <v>28112.850090547712</v>
      </c>
      <c r="I60" s="27">
        <f t="shared" si="20"/>
        <v>7280.3950981966182</v>
      </c>
      <c r="J60" s="27">
        <f t="shared" si="21"/>
        <v>32324.724516478742</v>
      </c>
      <c r="K60" s="27">
        <f t="shared" si="22"/>
        <v>5.916693951252042</v>
      </c>
      <c r="L60" s="27">
        <f t="shared" si="23"/>
        <v>15.304356184725284</v>
      </c>
      <c r="M60" s="27">
        <f t="shared" si="24"/>
        <v>4.7795497625909551</v>
      </c>
      <c r="N60" s="27">
        <f t="shared" si="25"/>
        <v>21.221050135977325</v>
      </c>
      <c r="O60" s="27">
        <f t="shared" si="26"/>
        <v>27.92180650519029</v>
      </c>
      <c r="P60" s="27">
        <f t="shared" si="27"/>
        <v>263.27366738425758</v>
      </c>
      <c r="Q60" s="27">
        <f t="shared" si="28"/>
        <v>65.585032275867306</v>
      </c>
      <c r="R60" s="27">
        <f t="shared" si="29"/>
        <v>291.19547388944784</v>
      </c>
      <c r="S60" s="27">
        <f t="shared" si="30"/>
        <v>1.1714461157247242</v>
      </c>
      <c r="T60" s="27">
        <f t="shared" si="31"/>
        <v>11.427922630332997</v>
      </c>
      <c r="U60" s="27">
        <f t="shared" si="32"/>
        <v>2.8377158299495582</v>
      </c>
      <c r="V60" s="27">
        <f t="shared" si="33"/>
        <v>12.599368746057721</v>
      </c>
    </row>
    <row r="61" spans="1:22" ht="22.05" customHeight="1">
      <c r="A61" s="19">
        <f>'03 Recorded O'!A48</f>
        <v>0.74305555555555547</v>
      </c>
      <c r="B61" s="16">
        <f>'03 Recorded O'!B48</f>
        <v>72.1458333333333</v>
      </c>
      <c r="C61" s="16">
        <f>('05 Reconstructed R'!$B$10-'05 Reconstructed R'!$B$15*('05 Reconstructed R'!E61/B61-'05 Reconstructed R'!$B$10)/('01 Traffic inputs'!$B$10-'05 Reconstructed R'!$B$15))*60</f>
        <v>0.24119023244817853</v>
      </c>
      <c r="D61" s="16">
        <f>'01 Traffic inputs'!$B$10*('05 Reconstructed R'!E61/B61-'05 Reconstructed R'!$B$10)/('01 Traffic inputs'!$B$10-'05 Reconstructed R'!$B$15)*60</f>
        <v>3.447487257859351</v>
      </c>
      <c r="E61" s="16">
        <f>'05 Reconstructed R'!D61</f>
        <v>16.916632089404718</v>
      </c>
      <c r="F61" s="27">
        <f t="shared" si="17"/>
        <v>4.4353785239357526</v>
      </c>
      <c r="G61" s="27">
        <f t="shared" si="18"/>
        <v>5270.2770918809383</v>
      </c>
      <c r="H61" s="27">
        <f t="shared" si="19"/>
        <v>27693.100664909565</v>
      </c>
      <c r="I61" s="27">
        <f t="shared" si="20"/>
        <v>7431.9198640886925</v>
      </c>
      <c r="J61" s="27">
        <f t="shared" si="21"/>
        <v>32963.377756790505</v>
      </c>
      <c r="K61" s="27">
        <f t="shared" si="22"/>
        <v>7.4035010158360226</v>
      </c>
      <c r="L61" s="27">
        <f t="shared" si="23"/>
        <v>15.075848769162322</v>
      </c>
      <c r="M61" s="27">
        <f t="shared" si="24"/>
        <v>5.0681919623516585</v>
      </c>
      <c r="N61" s="27">
        <f t="shared" si="25"/>
        <v>22.479349784998345</v>
      </c>
      <c r="O61" s="27">
        <f t="shared" si="26"/>
        <v>34.938282177229901</v>
      </c>
      <c r="P61" s="27">
        <f t="shared" si="27"/>
        <v>259.34276139947639</v>
      </c>
      <c r="Q61" s="27">
        <f t="shared" si="28"/>
        <v>66.34857475829925</v>
      </c>
      <c r="R61" s="27">
        <f t="shared" si="29"/>
        <v>294.28104357670628</v>
      </c>
      <c r="S61" s="27">
        <f t="shared" si="30"/>
        <v>1.4658190163663769</v>
      </c>
      <c r="T61" s="27">
        <f t="shared" si="31"/>
        <v>11.257293756175116</v>
      </c>
      <c r="U61" s="27">
        <f t="shared" si="32"/>
        <v>2.8685517377785339</v>
      </c>
      <c r="V61" s="27">
        <f t="shared" si="33"/>
        <v>12.723112772541493</v>
      </c>
    </row>
    <row r="62" spans="1:22" ht="22.05" customHeight="1">
      <c r="A62" s="19">
        <f>'03 Recorded O'!A49</f>
        <v>0.74652777777777779</v>
      </c>
      <c r="B62" s="16">
        <f>'03 Recorded O'!B49</f>
        <v>74.833333333333343</v>
      </c>
      <c r="C62" s="16">
        <f>('05 Reconstructed R'!$B$10-'05 Reconstructed R'!$B$15*('05 Reconstructed R'!E62/B62-'05 Reconstructed R'!$B$10)/('01 Traffic inputs'!$B$10-'05 Reconstructed R'!$B$15))*60</f>
        <v>0.28716787503482855</v>
      </c>
      <c r="D62" s="16">
        <f>'01 Traffic inputs'!$B$10*('05 Reconstructed R'!E62/B62-'05 Reconstructed R'!$B$10)/('01 Traffic inputs'!$B$10-'05 Reconstructed R'!$B$15)*60</f>
        <v>3.2307569505222098</v>
      </c>
      <c r="E62" s="16">
        <f>'05 Reconstructed R'!D62</f>
        <v>17.737729796463352</v>
      </c>
      <c r="F62" s="27">
        <f t="shared" si="17"/>
        <v>4.3876340185419735</v>
      </c>
      <c r="G62" s="27">
        <f t="shared" si="18"/>
        <v>6508.6875593286868</v>
      </c>
      <c r="H62" s="27">
        <f t="shared" si="19"/>
        <v>26918.883222823453</v>
      </c>
      <c r="I62" s="27">
        <f t="shared" si="20"/>
        <v>7618.586837664333</v>
      </c>
      <c r="J62" s="27">
        <f t="shared" si="21"/>
        <v>33427.570782152143</v>
      </c>
      <c r="K62" s="27">
        <f t="shared" si="22"/>
        <v>9.1431767470980283</v>
      </c>
      <c r="L62" s="27">
        <f t="shared" si="23"/>
        <v>14.654372488388617</v>
      </c>
      <c r="M62" s="27">
        <f t="shared" si="24"/>
        <v>5.4237771735106239</v>
      </c>
      <c r="N62" s="27">
        <f t="shared" si="25"/>
        <v>23.797549235486645</v>
      </c>
      <c r="O62" s="27">
        <f t="shared" si="26"/>
        <v>43.148084737626682</v>
      </c>
      <c r="P62" s="27">
        <f t="shared" si="27"/>
        <v>252.09230245723617</v>
      </c>
      <c r="Q62" s="27">
        <f t="shared" si="28"/>
        <v>67.289200955956744</v>
      </c>
      <c r="R62" s="27">
        <f t="shared" si="29"/>
        <v>295.24038719486288</v>
      </c>
      <c r="S62" s="27">
        <f t="shared" si="30"/>
        <v>1.8102573792085508</v>
      </c>
      <c r="T62" s="27">
        <f t="shared" si="31"/>
        <v>10.94257301463816</v>
      </c>
      <c r="U62" s="27">
        <f t="shared" si="32"/>
        <v>2.9065392281930849</v>
      </c>
      <c r="V62" s="27">
        <f t="shared" si="33"/>
        <v>12.752830393846711</v>
      </c>
    </row>
    <row r="63" spans="1:22" ht="22.05" customHeight="1">
      <c r="A63" s="19">
        <f>'03 Recorded O'!A50</f>
        <v>0.75</v>
      </c>
      <c r="B63" s="16">
        <f>'03 Recorded O'!B50</f>
        <v>75.520833333333343</v>
      </c>
      <c r="C63" s="16">
        <f>('05 Reconstructed R'!$B$10-'05 Reconstructed R'!$B$15*('05 Reconstructed R'!E63/B63-'05 Reconstructed R'!$B$10)/('01 Traffic inputs'!$B$10-'05 Reconstructed R'!$B$15))*60</f>
        <v>0.33704029224462539</v>
      </c>
      <c r="D63" s="16">
        <f>'01 Traffic inputs'!$B$10*('05 Reconstructed R'!E63/B63-'05 Reconstructed R'!$B$10)/('01 Traffic inputs'!$B$10-'05 Reconstructed R'!$B$15)*60</f>
        <v>2.9956673786905332</v>
      </c>
      <c r="E63" s="16">
        <f>'05 Reconstructed R'!D63</f>
        <v>18.72351437967308</v>
      </c>
      <c r="F63" s="27">
        <f t="shared" si="17"/>
        <v>4.1948143427569278</v>
      </c>
      <c r="G63" s="27">
        <f t="shared" si="18"/>
        <v>7709.231289413844</v>
      </c>
      <c r="H63" s="27">
        <f t="shared" si="19"/>
        <v>25189.411676506039</v>
      </c>
      <c r="I63" s="27">
        <f t="shared" si="20"/>
        <v>7842.6934490497961</v>
      </c>
      <c r="J63" s="27">
        <f t="shared" si="21"/>
        <v>32898.642965919884</v>
      </c>
      <c r="K63" s="27">
        <f t="shared" si="22"/>
        <v>10.829658609490744</v>
      </c>
      <c r="L63" s="27">
        <f t="shared" si="23"/>
        <v>13.712865367234482</v>
      </c>
      <c r="M63" s="27">
        <f t="shared" si="24"/>
        <v>5.8506818112468171</v>
      </c>
      <c r="N63" s="27">
        <f t="shared" si="25"/>
        <v>24.542523976725228</v>
      </c>
      <c r="O63" s="27">
        <f t="shared" si="26"/>
        <v>51.106857089926173</v>
      </c>
      <c r="P63" s="27">
        <f t="shared" si="27"/>
        <v>235.89599666934308</v>
      </c>
      <c r="Q63" s="27">
        <f t="shared" si="28"/>
        <v>68.418487758541531</v>
      </c>
      <c r="R63" s="27">
        <f t="shared" si="29"/>
        <v>287.00285375926927</v>
      </c>
      <c r="S63" s="27">
        <f t="shared" si="30"/>
        <v>2.1441638890293064</v>
      </c>
      <c r="T63" s="27">
        <f t="shared" si="31"/>
        <v>10.239539812418545</v>
      </c>
      <c r="U63" s="27">
        <f t="shared" si="32"/>
        <v>2.9521458375936129</v>
      </c>
      <c r="V63" s="27">
        <f t="shared" si="33"/>
        <v>12.383703701447851</v>
      </c>
    </row>
    <row r="64" spans="1:22" ht="22.05" customHeight="1">
      <c r="A64" s="19">
        <f>'03 Recorded O'!A51</f>
        <v>0.75347222222222199</v>
      </c>
      <c r="B64" s="16">
        <f>'03 Recorded O'!B51</f>
        <v>78.208333333333343</v>
      </c>
      <c r="C64" s="16">
        <f>('05 Reconstructed R'!$B$10-'05 Reconstructed R'!$B$15*('05 Reconstructed R'!E64/B64-'05 Reconstructed R'!$B$10)/('01 Traffic inputs'!$B$10-'05 Reconstructed R'!$B$15))*60</f>
        <v>0.39012039099811091</v>
      </c>
      <c r="D64" s="16">
        <f>'01 Traffic inputs'!$B$10*('05 Reconstructed R'!E64/B64-'05 Reconstructed R'!$B$10)/('01 Traffic inputs'!$B$10-'05 Reconstructed R'!$B$15)*60</f>
        <v>2.7454573751078564</v>
      </c>
      <c r="E64" s="16">
        <f>'05 Reconstructed R'!D64</f>
        <v>19.900638623769478</v>
      </c>
      <c r="F64" s="27">
        <f t="shared" si="17"/>
        <v>4.0871385187367375</v>
      </c>
      <c r="G64" s="27">
        <f t="shared" si="18"/>
        <v>9240.8976665564951</v>
      </c>
      <c r="H64" s="27">
        <f t="shared" si="19"/>
        <v>23907.017356128392</v>
      </c>
      <c r="I64" s="27">
        <f t="shared" si="20"/>
        <v>8110.2988975598319</v>
      </c>
      <c r="J64" s="27">
        <f t="shared" si="21"/>
        <v>33147.915022684887</v>
      </c>
      <c r="K64" s="27">
        <f t="shared" si="22"/>
        <v>12.981289990802122</v>
      </c>
      <c r="L64" s="27">
        <f t="shared" si="23"/>
        <v>13.014742644525301</v>
      </c>
      <c r="M64" s="27">
        <f t="shared" si="24"/>
        <v>6.3604481512318154</v>
      </c>
      <c r="N64" s="27">
        <f t="shared" si="25"/>
        <v>25.996032635327424</v>
      </c>
      <c r="O64" s="27">
        <f t="shared" si="26"/>
        <v>61.260742958360936</v>
      </c>
      <c r="P64" s="27">
        <f t="shared" si="27"/>
        <v>223.88651863096791</v>
      </c>
      <c r="Q64" s="27">
        <f t="shared" si="28"/>
        <v>69.766967838776083</v>
      </c>
      <c r="R64" s="27">
        <f t="shared" si="29"/>
        <v>285.14726158932888</v>
      </c>
      <c r="S64" s="27">
        <f t="shared" si="30"/>
        <v>2.5701653426916624</v>
      </c>
      <c r="T64" s="27">
        <f t="shared" si="31"/>
        <v>9.7182442828777074</v>
      </c>
      <c r="U64" s="27">
        <f t="shared" si="32"/>
        <v>3.0066046377521602</v>
      </c>
      <c r="V64" s="27">
        <f t="shared" si="33"/>
        <v>12.28840962556937</v>
      </c>
    </row>
    <row r="65" spans="1:22" ht="22.05" customHeight="1">
      <c r="A65" s="19">
        <f>'03 Recorded O'!A52</f>
        <v>0.75694444444444453</v>
      </c>
      <c r="B65" s="16">
        <f>'03 Recorded O'!B52</f>
        <v>81.0625</v>
      </c>
      <c r="C65" s="16">
        <f>('05 Reconstructed R'!$B$10-'05 Reconstructed R'!$B$15*('05 Reconstructed R'!E65/B65-'05 Reconstructed R'!$B$10)/('01 Traffic inputs'!$B$10-'05 Reconstructed R'!$B$15))*60</f>
        <v>0.44783110663504577</v>
      </c>
      <c r="D65" s="16">
        <f>'01 Traffic inputs'!$B$10*('05 Reconstructed R'!E65/B65-'05 Reconstructed R'!$B$10)/('01 Traffic inputs'!$B$10-'05 Reconstructed R'!$B$15)*60</f>
        <v>2.4734194794487401</v>
      </c>
      <c r="E65" s="16">
        <f>'05 Reconstructed R'!D65</f>
        <v>21.360714584795126</v>
      </c>
      <c r="F65" s="27">
        <f t="shared" si="17"/>
        <v>3.9467312605736145</v>
      </c>
      <c r="G65" s="27">
        <f t="shared" si="18"/>
        <v>10995.037863424463</v>
      </c>
      <c r="H65" s="27">
        <f t="shared" si="19"/>
        <v>22324.175637008047</v>
      </c>
      <c r="I65" s="27">
        <f t="shared" si="20"/>
        <v>8442.2301141400549</v>
      </c>
      <c r="J65" s="27">
        <f t="shared" si="21"/>
        <v>33319.21350043251</v>
      </c>
      <c r="K65" s="27">
        <f t="shared" si="22"/>
        <v>15.445444816634225</v>
      </c>
      <c r="L65" s="27">
        <f t="shared" si="23"/>
        <v>12.153059343990591</v>
      </c>
      <c r="M65" s="27">
        <f t="shared" si="24"/>
        <v>6.9927497816544202</v>
      </c>
      <c r="N65" s="27">
        <f t="shared" si="25"/>
        <v>27.598504160624817</v>
      </c>
      <c r="O65" s="27">
        <f t="shared" si="26"/>
        <v>72.889475965778914</v>
      </c>
      <c r="P65" s="27">
        <f t="shared" si="27"/>
        <v>209.06338462145217</v>
      </c>
      <c r="Q65" s="27">
        <f t="shared" si="28"/>
        <v>71.439589364453539</v>
      </c>
      <c r="R65" s="27">
        <f t="shared" si="29"/>
        <v>281.9528605872311</v>
      </c>
      <c r="S65" s="27">
        <f t="shared" si="30"/>
        <v>3.0580433068129111</v>
      </c>
      <c r="T65" s="27">
        <f t="shared" si="31"/>
        <v>9.0748163613432631</v>
      </c>
      <c r="U65" s="27">
        <f t="shared" si="32"/>
        <v>3.0741539940555249</v>
      </c>
      <c r="V65" s="27">
        <f t="shared" si="33"/>
        <v>12.132859668156174</v>
      </c>
    </row>
    <row r="66" spans="1:22" ht="22.05" customHeight="1">
      <c r="A66" s="19">
        <f>'03 Recorded O'!A53</f>
        <v>0.76041666666666663</v>
      </c>
      <c r="B66" s="16">
        <f>'03 Recorded O'!B53</f>
        <v>83.874999999999986</v>
      </c>
      <c r="C66" s="16">
        <f>('05 Reconstructed R'!$B$10-'05 Reconstructed R'!$B$15*('05 Reconstructed R'!E66/B66-'05 Reconstructed R'!$B$10)/('01 Traffic inputs'!$B$10-'05 Reconstructed R'!$B$15))*60</f>
        <v>0.50741404932391621</v>
      </c>
      <c r="D66" s="16">
        <f>'01 Traffic inputs'!$B$10*('05 Reconstructed R'!E66/B66-'05 Reconstructed R'!$B$10)/('01 Traffic inputs'!$B$10-'05 Reconstructed R'!$B$15)*60</f>
        <v>2.1925562434384678</v>
      </c>
      <c r="E66" s="16">
        <f>'05 Reconstructed R'!D66</f>
        <v>23.111365398083233</v>
      </c>
      <c r="F66" s="27">
        <f t="shared" si="17"/>
        <v>3.7743334717574153</v>
      </c>
      <c r="G66" s="27">
        <f t="shared" si="18"/>
        <v>12890.136020866501</v>
      </c>
      <c r="H66" s="27">
        <f t="shared" si="19"/>
        <v>20475.802711884564</v>
      </c>
      <c r="I66" s="27">
        <f t="shared" si="20"/>
        <v>8840.2201295730047</v>
      </c>
      <c r="J66" s="27">
        <f t="shared" si="21"/>
        <v>33365.938732751063</v>
      </c>
      <c r="K66" s="27">
        <f t="shared" si="22"/>
        <v>18.107612457752264</v>
      </c>
      <c r="L66" s="27">
        <f t="shared" si="23"/>
        <v>11.146823493936967</v>
      </c>
      <c r="M66" s="27">
        <f t="shared" si="24"/>
        <v>7.7508879834265683</v>
      </c>
      <c r="N66" s="27">
        <f t="shared" si="25"/>
        <v>29.254435951689231</v>
      </c>
      <c r="O66" s="27">
        <f t="shared" si="26"/>
        <v>85.452662497329527</v>
      </c>
      <c r="P66" s="27">
        <f t="shared" si="27"/>
        <v>191.75358084404559</v>
      </c>
      <c r="Q66" s="27">
        <f t="shared" si="28"/>
        <v>73.445085182762512</v>
      </c>
      <c r="R66" s="27">
        <f t="shared" si="29"/>
        <v>277.20624334137511</v>
      </c>
      <c r="S66" s="27">
        <f t="shared" si="30"/>
        <v>3.5851258242271919</v>
      </c>
      <c r="T66" s="27">
        <f t="shared" si="31"/>
        <v>8.3234495411070029</v>
      </c>
      <c r="U66" s="27">
        <f t="shared" si="32"/>
        <v>3.1551465853358449</v>
      </c>
      <c r="V66" s="27">
        <f t="shared" si="33"/>
        <v>11.908575365334194</v>
      </c>
    </row>
    <row r="67" spans="1:22" ht="22.05" customHeight="1">
      <c r="A67" s="19">
        <f>'03 Recorded O'!A54</f>
        <v>0.76388888888888873</v>
      </c>
      <c r="B67" s="16">
        <f>'03 Recorded O'!B54</f>
        <v>84.979166666666671</v>
      </c>
      <c r="C67" s="16">
        <f>('05 Reconstructed R'!$B$10-'05 Reconstructed R'!$B$15*('05 Reconstructed R'!E67/B67-'05 Reconstructed R'!$B$10)/('01 Traffic inputs'!$B$10-'05 Reconstructed R'!$B$15))*60</f>
        <v>0.56813900569650055</v>
      </c>
      <c r="D67" s="16">
        <f>'01 Traffic inputs'!$B$10*('05 Reconstructed R'!E67/B67-'05 Reconstructed R'!$B$10)/('01 Traffic inputs'!$B$10-'05 Reconstructed R'!$B$15)*60</f>
        <v>1.9063097610777979</v>
      </c>
      <c r="E67" s="16">
        <f>'05 Reconstructed R'!D67</f>
        <v>25.217737719155174</v>
      </c>
      <c r="F67" s="27">
        <f t="shared" si="17"/>
        <v>3.5046099026640154</v>
      </c>
      <c r="G67" s="27">
        <f t="shared" si="18"/>
        <v>14622.766798659964</v>
      </c>
      <c r="H67" s="27">
        <f t="shared" si="19"/>
        <v>18036.970712573842</v>
      </c>
      <c r="I67" s="27">
        <f t="shared" si="20"/>
        <v>9319.0792751020981</v>
      </c>
      <c r="J67" s="27">
        <f t="shared" si="21"/>
        <v>32659.737511233805</v>
      </c>
      <c r="K67" s="27">
        <f t="shared" si="22"/>
        <v>20.541551603613108</v>
      </c>
      <c r="L67" s="27">
        <f t="shared" si="23"/>
        <v>9.8191475922785116</v>
      </c>
      <c r="M67" s="27">
        <f t="shared" si="24"/>
        <v>8.6630752178189798</v>
      </c>
      <c r="N67" s="27">
        <f t="shared" si="25"/>
        <v>30.36069919589162</v>
      </c>
      <c r="O67" s="27">
        <f t="shared" si="26"/>
        <v>96.938802973085174</v>
      </c>
      <c r="P67" s="27">
        <f t="shared" si="27"/>
        <v>168.9141944949362</v>
      </c>
      <c r="Q67" s="27">
        <f t="shared" si="28"/>
        <v>75.858085450804182</v>
      </c>
      <c r="R67" s="27">
        <f t="shared" si="29"/>
        <v>265.85299746802139</v>
      </c>
      <c r="S67" s="27">
        <f t="shared" si="30"/>
        <v>4.0670213864821383</v>
      </c>
      <c r="T67" s="27">
        <f t="shared" si="31"/>
        <v>7.3320600766188715</v>
      </c>
      <c r="U67" s="27">
        <f t="shared" si="32"/>
        <v>3.2525963744027666</v>
      </c>
      <c r="V67" s="27">
        <f t="shared" si="33"/>
        <v>11.399081463101009</v>
      </c>
    </row>
    <row r="68" spans="1:22" ht="22.05" customHeight="1">
      <c r="A68" s="19">
        <f>'03 Recorded O'!A55</f>
        <v>0.76736111111111116</v>
      </c>
      <c r="B68" s="16">
        <f>'03 Recorded O'!B55</f>
        <v>86.875000000000014</v>
      </c>
      <c r="C68" s="16">
        <f>('05 Reconstructed R'!$B$10-'05 Reconstructed R'!$B$15*('05 Reconstructed R'!E68/B68-'05 Reconstructed R'!$B$10)/('01 Traffic inputs'!$B$10-'05 Reconstructed R'!$B$15))*60</f>
        <v>0.62848428668065281</v>
      </c>
      <c r="D68" s="16">
        <f>'01 Traffic inputs'!$B$10*('05 Reconstructed R'!E68/B68-'05 Reconstructed R'!$B$10)/('01 Traffic inputs'!$B$10-'05 Reconstructed R'!$B$15)*60</f>
        <v>1.6218529999597542</v>
      </c>
      <c r="E68" s="16">
        <f>'05 Reconstructed R'!D68</f>
        <v>27.729176586306302</v>
      </c>
      <c r="F68" s="27">
        <f t="shared" si="17"/>
        <v>3.2583008629480896</v>
      </c>
      <c r="G68" s="27">
        <f t="shared" si="18"/>
        <v>16536.809396187378</v>
      </c>
      <c r="H68" s="27">
        <f t="shared" si="19"/>
        <v>15687.869449380445</v>
      </c>
      <c r="I68" s="27">
        <f t="shared" si="20"/>
        <v>9890.0255688515954</v>
      </c>
      <c r="J68" s="27">
        <f t="shared" si="21"/>
        <v>32224.678845567825</v>
      </c>
      <c r="K68" s="27">
        <f t="shared" si="22"/>
        <v>23.230331731887201</v>
      </c>
      <c r="L68" s="27">
        <f t="shared" si="23"/>
        <v>8.5403202115574199</v>
      </c>
      <c r="M68" s="27">
        <f t="shared" si="24"/>
        <v>9.7506808854657887</v>
      </c>
      <c r="N68" s="27">
        <f t="shared" si="25"/>
        <v>31.770651943444619</v>
      </c>
      <c r="O68" s="27">
        <f t="shared" si="26"/>
        <v>109.62757800441547</v>
      </c>
      <c r="P68" s="27">
        <f t="shared" si="27"/>
        <v>146.91512635969013</v>
      </c>
      <c r="Q68" s="27">
        <f t="shared" si="28"/>
        <v>78.735118442066579</v>
      </c>
      <c r="R68" s="27">
        <f t="shared" si="29"/>
        <v>256.54270436410559</v>
      </c>
      <c r="S68" s="27">
        <f t="shared" si="30"/>
        <v>4.5993729096901257</v>
      </c>
      <c r="T68" s="27">
        <f t="shared" si="31"/>
        <v>6.3771463129795958</v>
      </c>
      <c r="U68" s="27">
        <f t="shared" si="32"/>
        <v>3.3687862736954988</v>
      </c>
      <c r="V68" s="27">
        <f t="shared" si="33"/>
        <v>10.976519222669722</v>
      </c>
    </row>
    <row r="69" spans="1:22" ht="22.05" customHeight="1">
      <c r="A69" s="19">
        <f>'03 Recorded O'!A56</f>
        <v>0.77083333333333337</v>
      </c>
      <c r="B69" s="16">
        <f>'03 Recorded O'!B56</f>
        <v>87.562500000000014</v>
      </c>
      <c r="C69" s="16">
        <f>('05 Reconstructed R'!$B$10-'05 Reconstructed R'!$B$15*('05 Reconstructed R'!E69/B69-'05 Reconstructed R'!$B$10)/('01 Traffic inputs'!$B$10-'05 Reconstructed R'!$B$15))*60</f>
        <v>0.68667596815480536</v>
      </c>
      <c r="D69" s="16">
        <f>'01 Traffic inputs'!$B$10*('05 Reconstructed R'!E69/B69-'05 Reconstructed R'!$B$10)/('01 Traffic inputs'!$B$10-'05 Reconstructed R'!$B$15)*60</f>
        <v>1.3475479181672376</v>
      </c>
      <c r="E69" s="16">
        <f>'05 Reconstructed R'!D69</f>
        <v>30.675089610132776</v>
      </c>
      <c r="F69" s="27">
        <f t="shared" si="17"/>
        <v>2.9686954841012323</v>
      </c>
      <c r="G69" s="27">
        <f t="shared" si="18"/>
        <v>18210.944898443991</v>
      </c>
      <c r="H69" s="27">
        <f t="shared" si="19"/>
        <v>13137.720875217206</v>
      </c>
      <c r="I69" s="27">
        <f t="shared" si="20"/>
        <v>10559.744487620277</v>
      </c>
      <c r="J69" s="27">
        <f t="shared" si="21"/>
        <v>31348.665773661196</v>
      </c>
      <c r="K69" s="27">
        <f t="shared" si="22"/>
        <v>25.582098759601568</v>
      </c>
      <c r="L69" s="27">
        <f t="shared" si="23"/>
        <v>7.152044672888862</v>
      </c>
      <c r="M69" s="27">
        <f t="shared" si="24"/>
        <v>11.026440269066747</v>
      </c>
      <c r="N69" s="27">
        <f t="shared" si="25"/>
        <v>32.734143432490427</v>
      </c>
      <c r="O69" s="27">
        <f t="shared" si="26"/>
        <v>120.72593536988838</v>
      </c>
      <c r="P69" s="27">
        <f t="shared" si="27"/>
        <v>123.03327285382913</v>
      </c>
      <c r="Q69" s="27">
        <f t="shared" si="28"/>
        <v>82.109872679486088</v>
      </c>
      <c r="R69" s="27">
        <f t="shared" si="29"/>
        <v>243.75920822371751</v>
      </c>
      <c r="S69" s="27">
        <f t="shared" si="30"/>
        <v>5.0649992159354396</v>
      </c>
      <c r="T69" s="27">
        <f t="shared" si="31"/>
        <v>5.3405064665205515</v>
      </c>
      <c r="U69" s="27">
        <f t="shared" si="32"/>
        <v>3.5050768050082581</v>
      </c>
      <c r="V69" s="27">
        <f t="shared" si="33"/>
        <v>10.405505682455992</v>
      </c>
    </row>
    <row r="70" spans="1:22" ht="22.05" customHeight="1">
      <c r="A70" s="19">
        <f>'03 Recorded O'!A57</f>
        <v>0.77430555555555536</v>
      </c>
      <c r="B70" s="16">
        <f>'03 Recorded O'!B57</f>
        <v>89.416666666666657</v>
      </c>
      <c r="C70" s="16">
        <f>('05 Reconstructed R'!$B$10-'05 Reconstructed R'!$B$15*('05 Reconstructed R'!E70/B70-'05 Reconstructed R'!$B$10)/('01 Traffic inputs'!$B$10-'05 Reconstructed R'!$B$15))*60</f>
        <v>0.74161653061185939</v>
      </c>
      <c r="D70" s="16">
        <f>'01 Traffic inputs'!$B$10*('05 Reconstructed R'!E70/B70-'05 Reconstructed R'!$B$10)/('01 Traffic inputs'!$B$10-'05 Reconstructed R'!$B$15)*60</f>
        <v>1.0885680245341069</v>
      </c>
      <c r="E70" s="16">
        <f>'05 Reconstructed R'!D70</f>
        <v>34.094922189431614</v>
      </c>
      <c r="F70" s="27">
        <f t="shared" si="17"/>
        <v>2.7274833717661413</v>
      </c>
      <c r="G70" s="27">
        <f t="shared" si="18"/>
        <v>20084.469118409081</v>
      </c>
      <c r="H70" s="27">
        <f t="shared" si="19"/>
        <v>10837.564861393306</v>
      </c>
      <c r="I70" s="27">
        <f t="shared" si="20"/>
        <v>11337.20348211666</v>
      </c>
      <c r="J70" s="27">
        <f t="shared" si="21"/>
        <v>30922.033979802385</v>
      </c>
      <c r="K70" s="27">
        <f t="shared" si="22"/>
        <v>28.213960087552081</v>
      </c>
      <c r="L70" s="27">
        <f t="shared" si="23"/>
        <v>5.8998625994734439</v>
      </c>
      <c r="M70" s="27">
        <f t="shared" si="24"/>
        <v>12.507435623681044</v>
      </c>
      <c r="N70" s="27">
        <f t="shared" si="25"/>
        <v>34.113822687025525</v>
      </c>
      <c r="O70" s="27">
        <f t="shared" si="26"/>
        <v>133.14610165751202</v>
      </c>
      <c r="P70" s="27">
        <f t="shared" si="27"/>
        <v>101.49257145340506</v>
      </c>
      <c r="Q70" s="27">
        <f t="shared" si="28"/>
        <v>86.027535690888655</v>
      </c>
      <c r="R70" s="27">
        <f t="shared" si="29"/>
        <v>234.63867311091707</v>
      </c>
      <c r="S70" s="27">
        <f t="shared" si="30"/>
        <v>5.586081387018722</v>
      </c>
      <c r="T70" s="27">
        <f t="shared" si="31"/>
        <v>4.4054890321796369</v>
      </c>
      <c r="U70" s="27">
        <f t="shared" si="32"/>
        <v>3.663292881132568</v>
      </c>
      <c r="V70" s="27">
        <f t="shared" si="33"/>
        <v>9.991570419198359</v>
      </c>
    </row>
    <row r="71" spans="1:22" ht="22.05" customHeight="1">
      <c r="A71" s="19">
        <f>'03 Recorded O'!A58</f>
        <v>0.77777777777777779</v>
      </c>
      <c r="B71" s="16">
        <f>'03 Recorded O'!B58</f>
        <v>90.041666666666657</v>
      </c>
      <c r="C71" s="16">
        <f>('05 Reconstructed R'!$B$10-'05 Reconstructed R'!$B$15*('05 Reconstructed R'!E71/B71-'05 Reconstructed R'!$B$10)/('01 Traffic inputs'!$B$10-'05 Reconstructed R'!$B$15))*60</f>
        <v>0.79200620817787426</v>
      </c>
      <c r="D71" s="16">
        <f>'01 Traffic inputs'!$B$10*('05 Reconstructed R'!E71/B71-'05 Reconstructed R'!$B$10)/('01 Traffic inputs'!$B$10-'05 Reconstructed R'!$B$15)*60</f>
        <v>0.85104018075829591</v>
      </c>
      <c r="E71" s="16">
        <f>'05 Reconstructed R'!D71</f>
        <v>37.978233858876983</v>
      </c>
      <c r="F71" s="27">
        <f t="shared" si="17"/>
        <v>2.4657105878410164</v>
      </c>
      <c r="G71" s="27">
        <f t="shared" si="18"/>
        <v>21599.047034708878</v>
      </c>
      <c r="H71" s="27">
        <f t="shared" si="19"/>
        <v>8532.0079393571923</v>
      </c>
      <c r="I71" s="27">
        <f t="shared" si="20"/>
        <v>12220.029034489775</v>
      </c>
      <c r="J71" s="27">
        <f t="shared" si="21"/>
        <v>30131.054974066072</v>
      </c>
      <c r="K71" s="27">
        <f t="shared" si="22"/>
        <v>30.341586196464402</v>
      </c>
      <c r="L71" s="27">
        <f t="shared" si="23"/>
        <v>4.6447403253051851</v>
      </c>
      <c r="M71" s="27">
        <f t="shared" si="24"/>
        <v>14.189145593280562</v>
      </c>
      <c r="N71" s="27">
        <f t="shared" si="25"/>
        <v>34.986326521769584</v>
      </c>
      <c r="O71" s="27">
        <f t="shared" si="26"/>
        <v>143.18670288142178</v>
      </c>
      <c r="P71" s="27">
        <f t="shared" si="27"/>
        <v>79.901291157292519</v>
      </c>
      <c r="Q71" s="27">
        <f t="shared" si="28"/>
        <v>90.476147175914434</v>
      </c>
      <c r="R71" s="27">
        <f t="shared" si="29"/>
        <v>223.0879940387143</v>
      </c>
      <c r="S71" s="27">
        <f t="shared" si="30"/>
        <v>6.0073300372843699</v>
      </c>
      <c r="T71" s="27">
        <f t="shared" si="31"/>
        <v>3.4682761192236429</v>
      </c>
      <c r="U71" s="27">
        <f t="shared" si="32"/>
        <v>3.842951481505736</v>
      </c>
      <c r="V71" s="27">
        <f t="shared" si="33"/>
        <v>9.4756061565080127</v>
      </c>
    </row>
    <row r="72" spans="1:22" ht="22.05" customHeight="1">
      <c r="A72" s="19">
        <f>'03 Recorded O'!A59</f>
        <v>0.78125</v>
      </c>
      <c r="B72" s="16">
        <f>'03 Recorded O'!B59</f>
        <v>91.604166666666643</v>
      </c>
      <c r="C72" s="16">
        <f>('05 Reconstructed R'!$B$10-'05 Reconstructed R'!$B$15*('05 Reconstructed R'!E72/B72-'05 Reconstructed R'!$B$10)/('01 Traffic inputs'!$B$10-'05 Reconstructed R'!$B$15))*60</f>
        <v>0.83684117262809565</v>
      </c>
      <c r="D72" s="16">
        <f>'01 Traffic inputs'!$B$10*('05 Reconstructed R'!E72/B72-'05 Reconstructed R'!$B$10)/('01 Traffic inputs'!$B$10-'05 Reconstructed R'!$B$15)*60</f>
        <v>0.63969625188170509</v>
      </c>
      <c r="E72" s="16">
        <f>'05 Reconstructed R'!D72</f>
        <v>42.26103515169455</v>
      </c>
      <c r="F72" s="27">
        <f t="shared" si="17"/>
        <v>2.254283005406108</v>
      </c>
      <c r="G72" s="27">
        <f t="shared" si="18"/>
        <v>23217.78294361947</v>
      </c>
      <c r="H72" s="27">
        <f t="shared" si="19"/>
        <v>6524.4918783594767</v>
      </c>
      <c r="I72" s="27">
        <f t="shared" si="20"/>
        <v>13193.6738868423</v>
      </c>
      <c r="J72" s="27">
        <f t="shared" si="21"/>
        <v>29742.274821978946</v>
      </c>
      <c r="K72" s="27">
        <f t="shared" si="22"/>
        <v>32.615529812152481</v>
      </c>
      <c r="L72" s="27">
        <f t="shared" si="23"/>
        <v>3.5518685337540368</v>
      </c>
      <c r="M72" s="27">
        <f t="shared" si="24"/>
        <v>16.043858849652722</v>
      </c>
      <c r="N72" s="27">
        <f t="shared" si="25"/>
        <v>36.16739834590652</v>
      </c>
      <c r="O72" s="27">
        <f t="shared" si="26"/>
        <v>153.91779936267881</v>
      </c>
      <c r="P72" s="27">
        <f t="shared" si="27"/>
        <v>61.101129878398496</v>
      </c>
      <c r="Q72" s="27">
        <f t="shared" si="28"/>
        <v>95.382402620003674</v>
      </c>
      <c r="R72" s="27">
        <f t="shared" si="29"/>
        <v>215.0189292410773</v>
      </c>
      <c r="S72" s="27">
        <f t="shared" si="30"/>
        <v>6.4575480877568214</v>
      </c>
      <c r="T72" s="27">
        <f t="shared" si="31"/>
        <v>2.6522173364840596</v>
      </c>
      <c r="U72" s="27">
        <f t="shared" si="32"/>
        <v>4.0410921798169523</v>
      </c>
      <c r="V72" s="27">
        <f t="shared" si="33"/>
        <v>9.1097654242408801</v>
      </c>
    </row>
    <row r="73" spans="1:22" ht="22.05" customHeight="1">
      <c r="A73" s="19">
        <f>'03 Recorded O'!A60</f>
        <v>0.78472222222222199</v>
      </c>
      <c r="B73" s="16">
        <f>'03 Recorded O'!B60</f>
        <v>95.875000000000057</v>
      </c>
      <c r="C73" s="16">
        <f>('05 Reconstructed R'!$B$10-'05 Reconstructed R'!$B$15*('05 Reconstructed R'!E73/B73-'05 Reconstructed R'!$B$10)/('01 Traffic inputs'!$B$10-'05 Reconstructed R'!$B$15))*60</f>
        <v>0.8762098965820122</v>
      </c>
      <c r="D73" s="16">
        <f>'01 Traffic inputs'!$B$10*('05 Reconstructed R'!E73/B73-'05 Reconstructed R'!$B$10)/('01 Traffic inputs'!$B$10-'05 Reconstructed R'!$B$15)*60</f>
        <v>0.45411919394701078</v>
      </c>
      <c r="E73" s="16">
        <f>'05 Reconstructed R'!D73</f>
        <v>46.905687054612216</v>
      </c>
      <c r="F73" s="27">
        <f t="shared" si="17"/>
        <v>2.1257550259078362</v>
      </c>
      <c r="G73" s="27">
        <f t="shared" si="18"/>
        <v>25443.450656701065</v>
      </c>
      <c r="H73" s="27">
        <f t="shared" si="19"/>
        <v>4847.6683006911708</v>
      </c>
      <c r="I73" s="27">
        <f t="shared" si="20"/>
        <v>14249.581249116864</v>
      </c>
      <c r="J73" s="27">
        <f t="shared" si="21"/>
        <v>30291.118957392235</v>
      </c>
      <c r="K73" s="27">
        <f t="shared" si="22"/>
        <v>35.742070008700708</v>
      </c>
      <c r="L73" s="27">
        <f t="shared" si="23"/>
        <v>2.6390224434812612</v>
      </c>
      <c r="M73" s="27">
        <f t="shared" si="24"/>
        <v>18.055275412457622</v>
      </c>
      <c r="N73" s="27">
        <f t="shared" si="25"/>
        <v>38.381092452181967</v>
      </c>
      <c r="O73" s="27">
        <f t="shared" si="26"/>
        <v>168.67243279783318</v>
      </c>
      <c r="P73" s="27">
        <f t="shared" si="27"/>
        <v>45.397866373373859</v>
      </c>
      <c r="Q73" s="27">
        <f t="shared" si="28"/>
        <v>100.70318383925027</v>
      </c>
      <c r="R73" s="27">
        <f t="shared" si="29"/>
        <v>214.07029917120704</v>
      </c>
      <c r="S73" s="27">
        <f t="shared" si="30"/>
        <v>7.0765717180273358</v>
      </c>
      <c r="T73" s="27">
        <f t="shared" si="31"/>
        <v>1.9705856254127385</v>
      </c>
      <c r="U73" s="27">
        <f t="shared" si="32"/>
        <v>4.2559736343920198</v>
      </c>
      <c r="V73" s="27">
        <f t="shared" si="33"/>
        <v>9.0471573434400749</v>
      </c>
    </row>
    <row r="74" spans="1:22" ht="22.05" customHeight="1">
      <c r="A74" s="19">
        <f>'03 Recorded O'!A61</f>
        <v>0.78819444444444453</v>
      </c>
      <c r="B74" s="16">
        <f>'03 Recorded O'!B61</f>
        <v>97.666666666666544</v>
      </c>
      <c r="C74" s="16">
        <f>('05 Reconstructed R'!$B$10-'05 Reconstructed R'!$B$15*('05 Reconstructed R'!E74/B74-'05 Reconstructed R'!$B$10)/('01 Traffic inputs'!$B$10-'05 Reconstructed R'!$B$15))*60</f>
        <v>0.90901861754531155</v>
      </c>
      <c r="D74" s="16">
        <f>'01 Traffic inputs'!$B$10*('05 Reconstructed R'!E74/B74-'05 Reconstructed R'!$B$10)/('01 Traffic inputs'!$B$10-'05 Reconstructed R'!$B$15)*60</f>
        <v>0.29946480590800695</v>
      </c>
      <c r="E74" s="16">
        <f>'05 Reconstructed R'!D74</f>
        <v>51.634965601505101</v>
      </c>
      <c r="F74" s="27">
        <f t="shared" si="17"/>
        <v>1.9671424615101214</v>
      </c>
      <c r="G74" s="27">
        <f t="shared" si="18"/>
        <v>26889.431653217507</v>
      </c>
      <c r="H74" s="27">
        <f t="shared" si="19"/>
        <v>3256.4905043980443</v>
      </c>
      <c r="I74" s="27">
        <f t="shared" si="20"/>
        <v>15324.727490490623</v>
      </c>
      <c r="J74" s="27">
        <f t="shared" si="21"/>
        <v>30145.922157615551</v>
      </c>
      <c r="K74" s="27">
        <f t="shared" si="22"/>
        <v>37.773333562770951</v>
      </c>
      <c r="L74" s="27">
        <f t="shared" si="23"/>
        <v>1.772801065383278</v>
      </c>
      <c r="M74" s="27">
        <f t="shared" si="24"/>
        <v>20.103340455472527</v>
      </c>
      <c r="N74" s="27">
        <f t="shared" si="25"/>
        <v>39.546134628154228</v>
      </c>
      <c r="O74" s="27">
        <f t="shared" si="26"/>
        <v>178.25828401560534</v>
      </c>
      <c r="P74" s="27">
        <f t="shared" si="27"/>
        <v>30.496665942210786</v>
      </c>
      <c r="Q74" s="27">
        <f t="shared" si="28"/>
        <v>106.1209109367507</v>
      </c>
      <c r="R74" s="27">
        <f t="shared" si="29"/>
        <v>208.75494995781614</v>
      </c>
      <c r="S74" s="27">
        <f t="shared" si="30"/>
        <v>7.4787415480090358</v>
      </c>
      <c r="T74" s="27">
        <f t="shared" si="31"/>
        <v>1.3237690739576622</v>
      </c>
      <c r="U74" s="27">
        <f t="shared" si="32"/>
        <v>4.4747702793265169</v>
      </c>
      <c r="V74" s="27">
        <f t="shared" si="33"/>
        <v>8.8025106219666984</v>
      </c>
    </row>
    <row r="75" spans="1:22" ht="22.05" customHeight="1">
      <c r="A75" s="19">
        <f>'03 Recorded O'!A62</f>
        <v>0.79166666666666663</v>
      </c>
      <c r="B75" s="16">
        <f>'03 Recorded O'!B62</f>
        <v>98.479166666666657</v>
      </c>
      <c r="C75" s="16">
        <f>('05 Reconstructed R'!$B$10-'05 Reconstructed R'!$B$15*('05 Reconstructed R'!E75/B75-'05 Reconstructed R'!$B$10)/('01 Traffic inputs'!$B$10-'05 Reconstructed R'!$B$15))*60</f>
        <v>0.93426223548676046</v>
      </c>
      <c r="D75" s="16">
        <f>'01 Traffic inputs'!$B$10*('05 Reconstructed R'!E75/B75-'05 Reconstructed R'!$B$10)/('01 Traffic inputs'!$B$10-'05 Reconstructed R'!$B$15)*60</f>
        <v>0.18047094787275048</v>
      </c>
      <c r="E75" s="16">
        <f>'05 Reconstructed R'!D75</f>
        <v>55.977520837716646</v>
      </c>
      <c r="F75" s="27">
        <f t="shared" si="17"/>
        <v>1.8296332492154193</v>
      </c>
      <c r="G75" s="27">
        <f t="shared" si="18"/>
        <v>27866.064522779714</v>
      </c>
      <c r="H75" s="27">
        <f t="shared" si="19"/>
        <v>1978.8338225649222</v>
      </c>
      <c r="I75" s="27">
        <f t="shared" si="20"/>
        <v>16311.956703969323</v>
      </c>
      <c r="J75" s="27">
        <f t="shared" si="21"/>
        <v>29844.898345344634</v>
      </c>
      <c r="K75" s="27">
        <f t="shared" si="22"/>
        <v>39.145273275967718</v>
      </c>
      <c r="L75" s="27">
        <f t="shared" si="23"/>
        <v>1.0772574660118717</v>
      </c>
      <c r="M75" s="27">
        <f t="shared" si="24"/>
        <v>21.983930801010398</v>
      </c>
      <c r="N75" s="27">
        <f t="shared" si="25"/>
        <v>40.22253074197959</v>
      </c>
      <c r="O75" s="27">
        <f t="shared" si="26"/>
        <v>184.73268264502241</v>
      </c>
      <c r="P75" s="27">
        <f t="shared" si="27"/>
        <v>18.531555353963981</v>
      </c>
      <c r="Q75" s="27">
        <f t="shared" si="28"/>
        <v>111.09561880018845</v>
      </c>
      <c r="R75" s="27">
        <f t="shared" si="29"/>
        <v>203.2642379989864</v>
      </c>
      <c r="S75" s="27">
        <f t="shared" si="30"/>
        <v>7.7503718640730863</v>
      </c>
      <c r="T75" s="27">
        <f t="shared" si="31"/>
        <v>0.80439940275430977</v>
      </c>
      <c r="U75" s="27">
        <f t="shared" si="32"/>
        <v>4.6756754505285913</v>
      </c>
      <c r="V75" s="27">
        <f t="shared" si="33"/>
        <v>8.5547712668273963</v>
      </c>
    </row>
    <row r="76" spans="1:22" ht="22.05" customHeight="1">
      <c r="A76" s="19">
        <f>'03 Recorded O'!A63</f>
        <v>0.79513888888888873</v>
      </c>
      <c r="B76" s="16">
        <f>'03 Recorded O'!B63</f>
        <v>96.854166666666643</v>
      </c>
      <c r="C76" s="16">
        <f>('05 Reconstructed R'!$B$10-'05 Reconstructed R'!$B$15*('05 Reconstructed R'!E76/B76-'05 Reconstructed R'!$B$10)/('01 Traffic inputs'!$B$10-'05 Reconstructed R'!$B$15))*60</f>
        <v>0.95208919345269705</v>
      </c>
      <c r="D76" s="16">
        <f>'01 Traffic inputs'!$B$10*('05 Reconstructed R'!E76/B76-'05 Reconstructed R'!$B$10)/('01 Traffic inputs'!$B$10-'05 Reconstructed R'!$B$15)*60</f>
        <v>9.6437886117522936E-2</v>
      </c>
      <c r="E76" s="16">
        <f>'05 Reconstructed R'!D76</f>
        <v>59.512053828479388</v>
      </c>
      <c r="F76" s="27">
        <f t="shared" si="17"/>
        <v>1.6925702753201219</v>
      </c>
      <c r="G76" s="27">
        <f t="shared" si="18"/>
        <v>27929.195354775227</v>
      </c>
      <c r="H76" s="27">
        <f t="shared" si="19"/>
        <v>1039.9768011382751</v>
      </c>
      <c r="I76" s="27">
        <f t="shared" si="20"/>
        <v>17115.491497352723</v>
      </c>
      <c r="J76" s="27">
        <f t="shared" si="21"/>
        <v>28969.172155913504</v>
      </c>
      <c r="K76" s="27">
        <f t="shared" si="22"/>
        <v>39.23395726177359</v>
      </c>
      <c r="L76" s="27">
        <f t="shared" si="23"/>
        <v>0.56615303454496846</v>
      </c>
      <c r="M76" s="27">
        <f t="shared" si="24"/>
        <v>23.514598404956047</v>
      </c>
      <c r="N76" s="27">
        <f t="shared" si="25"/>
        <v>39.800110296318557</v>
      </c>
      <c r="O76" s="27">
        <f t="shared" si="26"/>
        <v>185.15119627986346</v>
      </c>
      <c r="P76" s="27">
        <f t="shared" si="27"/>
        <v>9.7392653376784715</v>
      </c>
      <c r="Q76" s="27">
        <f t="shared" si="28"/>
        <v>115.14467934318508</v>
      </c>
      <c r="R76" s="27">
        <f t="shared" si="29"/>
        <v>194.89046161754192</v>
      </c>
      <c r="S76" s="27">
        <f t="shared" si="30"/>
        <v>7.7679304046288795</v>
      </c>
      <c r="T76" s="27">
        <f t="shared" si="31"/>
        <v>0.42275238485141675</v>
      </c>
      <c r="U76" s="27">
        <f t="shared" si="32"/>
        <v>4.8391980580724567</v>
      </c>
      <c r="V76" s="27">
        <f t="shared" si="33"/>
        <v>8.1906827894802969</v>
      </c>
    </row>
    <row r="77" spans="1:22" ht="22.05" customHeight="1">
      <c r="A77" s="19">
        <f>'03 Recorded O'!A64</f>
        <v>0.79861111111111116</v>
      </c>
      <c r="B77" s="16">
        <f>'03 Recorded O'!B64</f>
        <v>98.4375</v>
      </c>
      <c r="C77" s="16">
        <f>('05 Reconstructed R'!$B$10-'05 Reconstructed R'!$B$15*('05 Reconstructed R'!E77/B77-'05 Reconstructed R'!$B$10)/('01 Traffic inputs'!$B$10-'05 Reconstructed R'!$B$15))*60</f>
        <v>0.96339177981086799</v>
      </c>
      <c r="D77" s="16">
        <f>'01 Traffic inputs'!$B$10*('05 Reconstructed R'!E77/B77-'05 Reconstructed R'!$B$10)/('01 Traffic inputs'!$B$10-'05 Reconstructed R'!$B$15)*60</f>
        <v>4.3159534351349303E-2</v>
      </c>
      <c r="E77" s="16">
        <f>'05 Reconstructed R'!D77</f>
        <v>61.993858755168006</v>
      </c>
      <c r="F77" s="27">
        <f t="shared" si="17"/>
        <v>1.6513732497973879</v>
      </c>
      <c r="G77" s="27">
        <f t="shared" si="18"/>
        <v>28722.748202499857</v>
      </c>
      <c r="H77" s="27">
        <f t="shared" si="19"/>
        <v>473.03686353059851</v>
      </c>
      <c r="I77" s="27">
        <f t="shared" si="20"/>
        <v>17679.700860851764</v>
      </c>
      <c r="J77" s="27">
        <f t="shared" si="21"/>
        <v>29195.785066030454</v>
      </c>
      <c r="K77" s="27">
        <f t="shared" si="22"/>
        <v>40.348712560560372</v>
      </c>
      <c r="L77" s="27">
        <f t="shared" si="23"/>
        <v>0.25751656714491877</v>
      </c>
      <c r="M77" s="27">
        <f t="shared" si="24"/>
        <v>24.58937077531527</v>
      </c>
      <c r="N77" s="27">
        <f t="shared" si="25"/>
        <v>40.606229127705291</v>
      </c>
      <c r="O77" s="27">
        <f t="shared" si="26"/>
        <v>190.41190133065848</v>
      </c>
      <c r="P77" s="27">
        <f t="shared" si="27"/>
        <v>4.4299368249226454</v>
      </c>
      <c r="Q77" s="27">
        <f t="shared" si="28"/>
        <v>117.98776453444844</v>
      </c>
      <c r="R77" s="27">
        <f t="shared" si="29"/>
        <v>194.84183815558112</v>
      </c>
      <c r="S77" s="27">
        <f t="shared" si="30"/>
        <v>7.9886407836862565</v>
      </c>
      <c r="T77" s="27">
        <f t="shared" si="31"/>
        <v>0.19229031066973359</v>
      </c>
      <c r="U77" s="27">
        <f t="shared" si="32"/>
        <v>4.9540169645837091</v>
      </c>
      <c r="V77" s="27">
        <f t="shared" si="33"/>
        <v>8.1809310943559908</v>
      </c>
    </row>
    <row r="78" spans="1:22" ht="22.05" customHeight="1">
      <c r="A78" s="19">
        <f>'03 Recorded O'!A65</f>
        <v>0.80208333333333337</v>
      </c>
      <c r="B78" s="16">
        <f>'03 Recorded O'!B65</f>
        <v>96.520833333333314</v>
      </c>
      <c r="C78" s="16">
        <f>('05 Reconstructed R'!$B$10-'05 Reconstructed R'!$B$15*('05 Reconstructed R'!E78/B78-'05 Reconstructed R'!$B$10)/('01 Traffic inputs'!$B$10-'05 Reconstructed R'!$B$15))*60</f>
        <v>0.96951614172954637</v>
      </c>
      <c r="D78" s="16">
        <f>'01 Traffic inputs'!$B$10*('05 Reconstructed R'!E78/B78-'05 Reconstructed R'!$B$10)/('01 Traffic inputs'!$B$10-'05 Reconstructed R'!$B$15)*60</f>
        <v>1.4290397827492602E-2</v>
      </c>
      <c r="E78" s="16">
        <f>'05 Reconstructed R'!D78</f>
        <v>63.427104304568822</v>
      </c>
      <c r="F78" s="27">
        <f t="shared" si="17"/>
        <v>1.5826304506138058</v>
      </c>
      <c r="G78" s="27">
        <f t="shared" si="18"/>
        <v>28342.52811821385</v>
      </c>
      <c r="H78" s="27">
        <f t="shared" si="19"/>
        <v>153.57589060940791</v>
      </c>
      <c r="I78" s="27">
        <f t="shared" si="20"/>
        <v>18005.532496718584</v>
      </c>
      <c r="J78" s="27">
        <f t="shared" si="21"/>
        <v>28496.104008823258</v>
      </c>
      <c r="K78" s="27">
        <f t="shared" si="22"/>
        <v>39.814592678213145</v>
      </c>
      <c r="L78" s="27">
        <f t="shared" si="23"/>
        <v>8.3605188506413519E-2</v>
      </c>
      <c r="M78" s="27">
        <f t="shared" si="24"/>
        <v>25.210053206827581</v>
      </c>
      <c r="N78" s="27">
        <f t="shared" si="25"/>
        <v>39.898197866719556</v>
      </c>
      <c r="O78" s="27">
        <f t="shared" si="26"/>
        <v>187.89130585481539</v>
      </c>
      <c r="P78" s="27">
        <f t="shared" si="27"/>
        <v>1.438220878079411</v>
      </c>
      <c r="Q78" s="27">
        <f t="shared" si="28"/>
        <v>119.62964990308726</v>
      </c>
      <c r="R78" s="27">
        <f t="shared" si="29"/>
        <v>189.32952673289481</v>
      </c>
      <c r="S78" s="27">
        <f t="shared" si="30"/>
        <v>7.8828903989845776</v>
      </c>
      <c r="T78" s="27">
        <f t="shared" si="31"/>
        <v>6.2428867586032943E-2</v>
      </c>
      <c r="U78" s="27">
        <f t="shared" si="32"/>
        <v>5.0203250313357142</v>
      </c>
      <c r="V78" s="27">
        <f t="shared" si="33"/>
        <v>7.9453192665706105</v>
      </c>
    </row>
    <row r="79" spans="1:22" ht="22.05" customHeight="1">
      <c r="A79" s="19">
        <f>'03 Recorded O'!A66</f>
        <v>0.80555555555555536</v>
      </c>
      <c r="B79" s="16">
        <f>'03 Recorded O'!B66</f>
        <v>93.687500000000043</v>
      </c>
      <c r="C79" s="16">
        <f>('05 Reconstructed R'!$B$10-'05 Reconstructed R'!$B$15*('05 Reconstructed R'!E79/B79-'05 Reconstructed R'!$B$10)/('01 Traffic inputs'!$B$10-'05 Reconstructed R'!$B$15))*60</f>
        <v>0.97196965753811648</v>
      </c>
      <c r="D79" s="16">
        <f>'01 Traffic inputs'!$B$10*('05 Reconstructed R'!E79/B79-'05 Reconstructed R'!$B$10)/('01 Traffic inputs'!$B$10-'05 Reconstructed R'!$B$15)*60</f>
        <v>2.7249672109539236E-3</v>
      </c>
      <c r="E79" s="16">
        <f>'05 Reconstructed R'!D79</f>
        <v>64.020051424891932</v>
      </c>
      <c r="F79" s="27">
        <f t="shared" si="17"/>
        <v>1.5219450442696429</v>
      </c>
      <c r="G79" s="27">
        <f t="shared" si="18"/>
        <v>27580.163531918977</v>
      </c>
      <c r="H79" s="27">
        <f t="shared" si="19"/>
        <v>28.425007736471056</v>
      </c>
      <c r="I79" s="27">
        <f t="shared" si="20"/>
        <v>18140.332099116211</v>
      </c>
      <c r="J79" s="27">
        <f t="shared" si="21"/>
        <v>27608.588539655448</v>
      </c>
      <c r="K79" s="27">
        <f t="shared" si="22"/>
        <v>38.743649558777058</v>
      </c>
      <c r="L79" s="27">
        <f t="shared" si="23"/>
        <v>1.5474291704731578E-2</v>
      </c>
      <c r="M79" s="27">
        <f t="shared" si="24"/>
        <v>25.466835347580947</v>
      </c>
      <c r="N79" s="27">
        <f t="shared" si="25"/>
        <v>38.759123850481792</v>
      </c>
      <c r="O79" s="27">
        <f t="shared" si="26"/>
        <v>182.83735734821204</v>
      </c>
      <c r="P79" s="27">
        <f t="shared" si="27"/>
        <v>0.26619698849825257</v>
      </c>
      <c r="Q79" s="27">
        <f t="shared" si="28"/>
        <v>120.30891327260686</v>
      </c>
      <c r="R79" s="27">
        <f t="shared" si="29"/>
        <v>183.10355433671029</v>
      </c>
      <c r="S79" s="27">
        <f t="shared" si="30"/>
        <v>7.6708543924306056</v>
      </c>
      <c r="T79" s="27">
        <f t="shared" si="31"/>
        <v>1.1554815258244752E-2</v>
      </c>
      <c r="U79" s="27">
        <f t="shared" si="32"/>
        <v>5.047757300182619</v>
      </c>
      <c r="V79" s="27">
        <f t="shared" si="33"/>
        <v>7.6824092076888499</v>
      </c>
    </row>
    <row r="80" spans="1:22" ht="22.05" customHeight="1">
      <c r="A80" s="20">
        <f>'03 Recorded O'!A67</f>
        <v>0.80902777777777779</v>
      </c>
      <c r="B80" s="17">
        <f>'03 Recorded O'!B67</f>
        <v>87.625000000000043</v>
      </c>
      <c r="C80" s="17">
        <f>('05 Reconstructed R'!$B$10-'05 Reconstructed R'!$B$15*('05 Reconstructed R'!E80/B80-'05 Reconstructed R'!$B$10)/('01 Traffic inputs'!$B$10-'05 Reconstructed R'!$B$15))*60</f>
        <v>0.97251992783108765</v>
      </c>
      <c r="D80" s="17">
        <f>'01 Traffic inputs'!$B$10*('05 Reconstructed R'!E80/B80-'05 Reconstructed R'!$B$10)/('01 Traffic inputs'!$B$10-'05 Reconstructed R'!$B$15)*60</f>
        <v>1.3109238387052442E-4</v>
      </c>
      <c r="E80" s="17">
        <f>'05 Reconstructed R'!D80</f>
        <v>64.154561814175324</v>
      </c>
      <c r="F80" s="28">
        <f t="shared" si="17"/>
        <v>1.4204757607722625</v>
      </c>
      <c r="G80" s="28">
        <f t="shared" si="18"/>
        <v>25810.060309064214</v>
      </c>
      <c r="H80" s="28">
        <f t="shared" si="19"/>
        <v>1.2789782308269331</v>
      </c>
      <c r="I80" s="28">
        <f t="shared" si="20"/>
        <v>18170.911465087112</v>
      </c>
      <c r="J80" s="28">
        <f t="shared" si="21"/>
        <v>25811.339287295043</v>
      </c>
      <c r="K80" s="28">
        <f t="shared" si="22"/>
        <v>36.257070432087779</v>
      </c>
      <c r="L80" s="28">
        <f t="shared" si="23"/>
        <v>6.9626303750918708E-4</v>
      </c>
      <c r="M80" s="28">
        <f t="shared" si="24"/>
        <v>25.525086521302711</v>
      </c>
      <c r="N80" s="28">
        <f t="shared" si="25"/>
        <v>36.257766695125291</v>
      </c>
      <c r="O80" s="28">
        <f t="shared" si="26"/>
        <v>171.10280054887463</v>
      </c>
      <c r="P80" s="28">
        <f t="shared" si="27"/>
        <v>1.1977486745381637E-2</v>
      </c>
      <c r="Q80" s="28">
        <f t="shared" si="28"/>
        <v>120.46300455179254</v>
      </c>
      <c r="R80" s="28">
        <f t="shared" si="29"/>
        <v>171.11477803562002</v>
      </c>
      <c r="S80" s="28">
        <f t="shared" si="30"/>
        <v>7.1785366414362457</v>
      </c>
      <c r="T80" s="28">
        <f t="shared" si="31"/>
        <v>5.1990688317598492E-4</v>
      </c>
      <c r="U80" s="28">
        <f t="shared" si="32"/>
        <v>5.0539803258708353</v>
      </c>
      <c r="V80" s="28">
        <f t="shared" si="33"/>
        <v>7.179056548319422</v>
      </c>
    </row>
    <row r="81" spans="1:22" ht="22.05" customHeight="1">
      <c r="A81" s="1"/>
      <c r="B81" s="1"/>
      <c r="C81" s="1"/>
      <c r="D81" s="1"/>
      <c r="E81" s="1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1:22" ht="28.95" customHeight="1">
      <c r="A82" s="21" t="s">
        <v>78</v>
      </c>
      <c r="B82" s="21">
        <f>SUM(B24:B80)</f>
        <v>4789.2500000000009</v>
      </c>
      <c r="C82" s="21">
        <f>SUMPRODUCT(B24:B80,C24:C80)/B82</f>
        <v>0.56973321374156083</v>
      </c>
      <c r="D82" s="21">
        <f>SUMPRODUCT(B24:B80,D24:D80)/B82</f>
        <v>1.8987949521374707</v>
      </c>
      <c r="E82" s="21">
        <f>B82*'01 Traffic inputs'!$B$8/F82</f>
        <v>25.278220788613471</v>
      </c>
      <c r="F82" s="30">
        <f>SUM(F24:F80)</f>
        <v>197.03997530726926</v>
      </c>
      <c r="G82" s="30">
        <f>SUM(G24:G80)</f>
        <v>826421.34431625251</v>
      </c>
      <c r="H82" s="30">
        <f>SUM(H24:H80)</f>
        <v>1012519.1291275305</v>
      </c>
      <c r="I82" s="30">
        <f>J82/F82</f>
        <v>9332.8293945230762</v>
      </c>
      <c r="J82" s="30">
        <f>SUM(J24:J80)</f>
        <v>1838940.4734437836</v>
      </c>
      <c r="K82" s="30">
        <f>SUM(K24:K80)</f>
        <v>1160.927813753776</v>
      </c>
      <c r="L82" s="30">
        <f>SUM(L24:L80)</f>
        <v>551.20535079528383</v>
      </c>
      <c r="M82" s="30">
        <f>N82/F82</f>
        <v>8.6892680628847803</v>
      </c>
      <c r="N82" s="30">
        <f>SUM(N24:N80)</f>
        <v>1712.1331645490604</v>
      </c>
      <c r="O82" s="30">
        <f>SUM(O24:O80)</f>
        <v>5478.6003888653231</v>
      </c>
      <c r="P82" s="30">
        <f>SUM(P24:P80)</f>
        <v>9482.1273390472561</v>
      </c>
      <c r="Q82" s="30">
        <f>R82/F82</f>
        <v>75.92737313625031</v>
      </c>
      <c r="R82" s="30">
        <f>SUM(R24:R80)</f>
        <v>14960.727727912581</v>
      </c>
      <c r="S82" s="30">
        <f>SUM(S24:S80)</f>
        <v>229.85207436170893</v>
      </c>
      <c r="T82" s="30">
        <f>SUM(T24:T80)</f>
        <v>411.59079325407993</v>
      </c>
      <c r="U82" s="30">
        <f>V82/F82</f>
        <v>3.2553945797826356</v>
      </c>
      <c r="V82" s="30">
        <f>SUM(V24:V80)</f>
        <v>641.44286761578871</v>
      </c>
    </row>
    <row r="83" spans="1:22" ht="22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2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2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2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</sheetData>
  <mergeCells count="4">
    <mergeCell ref="A1:H1"/>
    <mergeCell ref="A2:H3"/>
    <mergeCell ref="A13:J15"/>
    <mergeCell ref="A18:J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7324D"/>
  </sheetPr>
  <dimension ref="A1:I46"/>
  <sheetViews>
    <sheetView showGridLines="0" tabSelected="1" workbookViewId="0">
      <selection activeCell="C10" sqref="C10"/>
    </sheetView>
  </sheetViews>
  <sheetFormatPr defaultRowHeight="13.8"/>
  <cols>
    <col min="1" max="1" width="29" customWidth="1"/>
    <col min="2" max="9" width="19" customWidth="1"/>
  </cols>
  <sheetData>
    <row r="1" spans="1:9" ht="31.05" customHeight="1">
      <c r="A1" s="31" t="s">
        <v>160</v>
      </c>
      <c r="B1" s="31"/>
      <c r="C1" s="31"/>
      <c r="D1" s="31"/>
      <c r="E1" s="31"/>
      <c r="F1" s="31"/>
      <c r="G1" s="31"/>
      <c r="H1" s="31"/>
      <c r="I1" s="1"/>
    </row>
    <row r="2" spans="1:9" ht="22.95" customHeight="1">
      <c r="A2" s="32" t="s">
        <v>161</v>
      </c>
      <c r="B2" s="32"/>
      <c r="C2" s="32"/>
      <c r="D2" s="32"/>
      <c r="E2" s="32"/>
      <c r="F2" s="32"/>
      <c r="G2" s="32"/>
      <c r="H2" s="32"/>
      <c r="I2" s="1"/>
    </row>
    <row r="3" spans="1:9" ht="22.95" customHeight="1">
      <c r="A3" s="32"/>
      <c r="B3" s="32"/>
      <c r="C3" s="32"/>
      <c r="D3" s="32"/>
      <c r="E3" s="32"/>
      <c r="F3" s="32"/>
      <c r="G3" s="32"/>
      <c r="H3" s="32"/>
      <c r="I3" s="1"/>
    </row>
    <row r="4" spans="1:9" ht="22.05" customHeight="1">
      <c r="A4" s="1"/>
      <c r="B4" s="1"/>
      <c r="C4" s="1"/>
      <c r="D4" s="1"/>
      <c r="E4" s="1"/>
      <c r="F4" s="1"/>
      <c r="G4" s="1"/>
      <c r="H4" s="1"/>
      <c r="I4" s="1"/>
    </row>
    <row r="5" spans="1:9" ht="22.05" customHeight="1">
      <c r="A5" s="1"/>
      <c r="B5" s="1"/>
      <c r="C5" s="1"/>
      <c r="D5" s="1"/>
      <c r="E5" s="1"/>
      <c r="F5" s="1"/>
      <c r="G5" s="1"/>
      <c r="H5" s="1"/>
      <c r="I5" s="1"/>
    </row>
    <row r="6" spans="1:9" ht="40.049999999999997" customHeight="1">
      <c r="A6" s="4" t="s">
        <v>162</v>
      </c>
      <c r="B6" s="4" t="s">
        <v>69</v>
      </c>
      <c r="C6" s="4" t="s">
        <v>123</v>
      </c>
      <c r="D6" s="4" t="s">
        <v>124</v>
      </c>
      <c r="E6" s="4" t="s">
        <v>125</v>
      </c>
      <c r="F6" s="4" t="s">
        <v>126</v>
      </c>
      <c r="G6" s="4" t="s">
        <v>163</v>
      </c>
      <c r="H6" s="4" t="s">
        <v>67</v>
      </c>
      <c r="I6" s="4" t="s">
        <v>164</v>
      </c>
    </row>
    <row r="7" spans="1:9" ht="28.95" customHeight="1">
      <c r="A7" s="15" t="s">
        <v>165</v>
      </c>
      <c r="B7" s="26">
        <f>'03 Recorded O'!E69</f>
        <v>211.43395641130192</v>
      </c>
      <c r="C7" s="26">
        <f>'03 Recorded O'!G69</f>
        <v>1743787.4111419949</v>
      </c>
      <c r="D7" s="26">
        <f>'03 Recorded O'!I69</f>
        <v>1400.8181836147826</v>
      </c>
      <c r="E7" s="26">
        <f>'03 Recorded O'!K69</f>
        <v>15511.480291613496</v>
      </c>
      <c r="F7" s="26">
        <f>'03 Recorded O'!M69</f>
        <v>658.66111824304494</v>
      </c>
      <c r="G7" s="26">
        <f>'03 Recorded O'!D69</f>
        <v>23.557332438650121</v>
      </c>
      <c r="H7" s="26">
        <f>B7/'03 Recorded O'!B69*60</f>
        <v>2.6488567906620268</v>
      </c>
      <c r="I7" s="26">
        <f>C7/1000</f>
        <v>1743.7874111419949</v>
      </c>
    </row>
    <row r="8" spans="1:9" ht="28.95" customHeight="1">
      <c r="A8" s="16" t="s">
        <v>166</v>
      </c>
      <c r="B8" s="27">
        <f>'04 Mean speed S'!E67</f>
        <v>211.43395641130189</v>
      </c>
      <c r="C8" s="27">
        <f>'04 Mean speed S'!G67</f>
        <v>1465627.6929565712</v>
      </c>
      <c r="D8" s="27">
        <f>'04 Mean speed S'!I67</f>
        <v>861.77919036534968</v>
      </c>
      <c r="E8" s="27">
        <f>'04 Mean speed S'!K67</f>
        <v>13252.813203522597</v>
      </c>
      <c r="F8" s="27">
        <f>'04 Mean speed S'!M67</f>
        <v>581.74082792334968</v>
      </c>
      <c r="G8" s="27">
        <f>'04 Mean speed S'!D67</f>
        <v>23.557332438650125</v>
      </c>
      <c r="H8" s="27">
        <f>B8/'03 Recorded O'!B69*60</f>
        <v>2.6488567906620268</v>
      </c>
      <c r="I8" s="27">
        <f>C8/1000</f>
        <v>1465.6276929565713</v>
      </c>
    </row>
    <row r="9" spans="1:9" ht="28.95" customHeight="1">
      <c r="A9" s="16" t="s">
        <v>167</v>
      </c>
      <c r="B9" s="27">
        <f>'05 Reconstructed R'!E82</f>
        <v>197.03997530726926</v>
      </c>
      <c r="C9" s="27">
        <f>'05 Reconstructed R'!G82</f>
        <v>1657639.9683339763</v>
      </c>
      <c r="D9" s="27">
        <f>'05 Reconstructed R'!I82</f>
        <v>1360.9023370982427</v>
      </c>
      <c r="E9" s="27">
        <f>'05 Reconstructed R'!K82</f>
        <v>14045.024577785738</v>
      </c>
      <c r="F9" s="27">
        <f>'05 Reconstructed R'!M82</f>
        <v>609.21551252042866</v>
      </c>
      <c r="G9" s="27">
        <f>'05 Reconstructed R'!D82</f>
        <v>25.278220788613471</v>
      </c>
      <c r="H9" s="27">
        <f>B9/'03 Recorded O'!B69*60</f>
        <v>2.4685281658790319</v>
      </c>
      <c r="I9" s="27">
        <f>C9/1000</f>
        <v>1657.6399683339764</v>
      </c>
    </row>
    <row r="10" spans="1:9" ht="28.95" customHeight="1">
      <c r="A10" s="16" t="s">
        <v>168</v>
      </c>
      <c r="B10" s="27">
        <f>'06 Two-speed M'!F82</f>
        <v>197.03997530726926</v>
      </c>
      <c r="C10" s="27">
        <f>'06 Two-speed M'!J82</f>
        <v>1988142.7460328708</v>
      </c>
      <c r="D10" s="27">
        <f>'06 Two-speed M'!N82</f>
        <v>1997.7123487674826</v>
      </c>
      <c r="E10" s="27">
        <f>'06 Two-speed M'!R82</f>
        <v>15645.692113972929</v>
      </c>
      <c r="F10" s="27">
        <f>'06 Two-speed M'!V82</f>
        <v>665.7799120582921</v>
      </c>
      <c r="G10" s="27">
        <f>'06 Two-speed M'!E82</f>
        <v>25.278220788613471</v>
      </c>
      <c r="H10" s="27">
        <f>B10/'03 Recorded O'!B69*60</f>
        <v>2.4685281658790319</v>
      </c>
      <c r="I10" s="27">
        <f>C10/1000</f>
        <v>1988.1427460328709</v>
      </c>
    </row>
    <row r="11" spans="1:9" ht="28.95" customHeight="1">
      <c r="A11" s="17" t="s">
        <v>169</v>
      </c>
      <c r="B11" s="28">
        <f>'07 Cubic A'!F82</f>
        <v>197.03997530726926</v>
      </c>
      <c r="C11" s="28">
        <f>'07 Cubic A'!J82</f>
        <v>1838940.4734437836</v>
      </c>
      <c r="D11" s="28">
        <f>'07 Cubic A'!N82</f>
        <v>1712.1331645490604</v>
      </c>
      <c r="E11" s="28">
        <f>'07 Cubic A'!R82</f>
        <v>14960.727727912581</v>
      </c>
      <c r="F11" s="28">
        <f>'07 Cubic A'!V82</f>
        <v>641.44286761578871</v>
      </c>
      <c r="G11" s="28">
        <f>'07 Cubic A'!E82</f>
        <v>25.278220788613471</v>
      </c>
      <c r="H11" s="28">
        <f>B11/'03 Recorded O'!B69*60</f>
        <v>2.4685281658790319</v>
      </c>
      <c r="I11" s="28">
        <f>C11/1000</f>
        <v>1838.9404734437835</v>
      </c>
    </row>
    <row r="12" spans="1:9" ht="22.0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22.0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22.0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40.049999999999997" customHeight="1">
      <c r="A15" s="4" t="s">
        <v>170</v>
      </c>
      <c r="B15" s="4" t="s">
        <v>171</v>
      </c>
      <c r="C15" s="4" t="s">
        <v>172</v>
      </c>
      <c r="D15" s="4" t="s">
        <v>173</v>
      </c>
      <c r="E15" s="4" t="s">
        <v>174</v>
      </c>
      <c r="F15" s="4" t="s">
        <v>175</v>
      </c>
      <c r="G15" s="1"/>
      <c r="H15" s="1"/>
      <c r="I15" s="1"/>
    </row>
    <row r="16" spans="1:9" ht="22.05" customHeight="1">
      <c r="A16" s="1" t="str">
        <f>A8</f>
        <v>S · mean speed</v>
      </c>
      <c r="B16" s="24">
        <f t="shared" ref="B16:F19" si="0">B8/B$7-1</f>
        <v>0</v>
      </c>
      <c r="C16" s="24">
        <f t="shared" si="0"/>
        <v>-0.15951469566078513</v>
      </c>
      <c r="D16" s="24">
        <f t="shared" si="0"/>
        <v>-0.38480296697638083</v>
      </c>
      <c r="E16" s="24">
        <f t="shared" si="0"/>
        <v>-0.14561260728365688</v>
      </c>
      <c r="F16" s="24">
        <f t="shared" si="0"/>
        <v>-0.11678280103261207</v>
      </c>
      <c r="G16" s="1"/>
      <c r="H16" s="1"/>
      <c r="I16" s="1"/>
    </row>
    <row r="17" spans="1:9" ht="22.05" customHeight="1">
      <c r="A17" s="1" t="str">
        <f>A9</f>
        <v>R · reconstruction</v>
      </c>
      <c r="B17" s="24">
        <f t="shared" si="0"/>
        <v>-6.8077906445793812E-2</v>
      </c>
      <c r="C17" s="24">
        <f t="shared" si="0"/>
        <v>-4.9402491529401016E-2</v>
      </c>
      <c r="D17" s="24">
        <f t="shared" si="0"/>
        <v>-2.8494666176832384E-2</v>
      </c>
      <c r="E17" s="24">
        <f t="shared" si="0"/>
        <v>-9.4540023663674311E-2</v>
      </c>
      <c r="F17" s="24">
        <f t="shared" si="0"/>
        <v>-7.5069871824999579E-2</v>
      </c>
      <c r="G17" s="1"/>
      <c r="H17" s="1"/>
      <c r="I17" s="1"/>
    </row>
    <row r="18" spans="1:9" ht="22.05" customHeight="1">
      <c r="A18" s="1" t="str">
        <f>A10</f>
        <v>M · two-speed lookup</v>
      </c>
      <c r="B18" s="24">
        <f t="shared" si="0"/>
        <v>-6.8077906445793812E-2</v>
      </c>
      <c r="C18" s="24">
        <f t="shared" si="0"/>
        <v>0.14012908530567336</v>
      </c>
      <c r="D18" s="24">
        <f t="shared" si="0"/>
        <v>0.42610395277167723</v>
      </c>
      <c r="E18" s="24">
        <f t="shared" si="0"/>
        <v>8.6524187141570064E-3</v>
      </c>
      <c r="F18" s="24">
        <f t="shared" si="0"/>
        <v>1.0807976390402763E-2</v>
      </c>
      <c r="G18" s="1"/>
      <c r="H18" s="1"/>
      <c r="I18" s="1"/>
    </row>
    <row r="19" spans="1:9" ht="22.05" customHeight="1">
      <c r="A19" s="1" t="str">
        <f>A11</f>
        <v>A · two-speed cubic</v>
      </c>
      <c r="B19" s="24">
        <f t="shared" si="0"/>
        <v>-6.8077906445793812E-2</v>
      </c>
      <c r="C19" s="24">
        <f t="shared" si="0"/>
        <v>5.4566893701494035E-2</v>
      </c>
      <c r="D19" s="24">
        <f t="shared" si="0"/>
        <v>0.22223796390973161</v>
      </c>
      <c r="E19" s="24">
        <f t="shared" si="0"/>
        <v>-3.5506125356629337E-2</v>
      </c>
      <c r="F19" s="24">
        <f t="shared" si="0"/>
        <v>-2.6141288972977961E-2</v>
      </c>
      <c r="G19" s="1"/>
      <c r="H19" s="1"/>
      <c r="I19" s="1"/>
    </row>
    <row r="20" spans="1:9" ht="22.0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22.0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2.05" customHeight="1">
      <c r="A22" s="32" t="s">
        <v>176</v>
      </c>
      <c r="B22" s="32"/>
      <c r="C22" s="32"/>
      <c r="D22" s="32"/>
      <c r="E22" s="32"/>
      <c r="F22" s="32"/>
      <c r="G22" s="32"/>
      <c r="H22" s="32"/>
      <c r="I22" s="32"/>
    </row>
    <row r="23" spans="1:9" ht="22.05" customHeight="1">
      <c r="A23" s="32"/>
      <c r="B23" s="32"/>
      <c r="C23" s="32"/>
      <c r="D23" s="32"/>
      <c r="E23" s="32"/>
      <c r="F23" s="32"/>
      <c r="G23" s="32"/>
      <c r="H23" s="32"/>
      <c r="I23" s="32"/>
    </row>
    <row r="24" spans="1:9" ht="22.05" customHeight="1">
      <c r="A24" s="32"/>
      <c r="B24" s="32"/>
      <c r="C24" s="32"/>
      <c r="D24" s="32"/>
      <c r="E24" s="32"/>
      <c r="F24" s="32"/>
      <c r="G24" s="32"/>
      <c r="H24" s="32"/>
      <c r="I24" s="32"/>
    </row>
    <row r="25" spans="1:9" ht="22.0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22.0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22.05" customHeight="1">
      <c r="A27" s="1" t="s">
        <v>177</v>
      </c>
      <c r="B27" s="1" t="str">
        <f>'05 Reconstructed R'!B20</f>
        <v>VALID</v>
      </c>
      <c r="C27" s="1"/>
      <c r="D27" s="1"/>
      <c r="E27" s="1"/>
      <c r="F27" s="1"/>
      <c r="G27" s="1"/>
      <c r="H27" s="1"/>
      <c r="I27" s="1"/>
    </row>
    <row r="28" spans="1:9" ht="22.05" customHeight="1">
      <c r="A28" s="1" t="s">
        <v>178</v>
      </c>
      <c r="B28" s="25">
        <f>B10-B9</f>
        <v>0</v>
      </c>
      <c r="C28" s="1"/>
      <c r="D28" s="1"/>
      <c r="E28" s="1"/>
      <c r="F28" s="1"/>
      <c r="G28" s="1"/>
      <c r="H28" s="1"/>
      <c r="I28" s="1"/>
    </row>
    <row r="29" spans="1:9" ht="22.05" customHeight="1">
      <c r="A29" s="1" t="s">
        <v>179</v>
      </c>
      <c r="B29" s="25">
        <f>B11-B9</f>
        <v>0</v>
      </c>
      <c r="C29" s="1"/>
      <c r="D29" s="1"/>
      <c r="E29" s="1"/>
      <c r="F29" s="1"/>
      <c r="G29" s="1"/>
      <c r="H29" s="1"/>
      <c r="I29" s="1"/>
    </row>
    <row r="30" spans="1:9" ht="22.05" customHeight="1">
      <c r="A30" s="1" t="s">
        <v>180</v>
      </c>
      <c r="B30" s="25">
        <f>SUM('05 Reconstructed R'!E145:E528)-'03 Recorded O'!B69</f>
        <v>0</v>
      </c>
      <c r="C30" s="1"/>
      <c r="D30" s="1"/>
      <c r="E30" s="1"/>
      <c r="F30" s="1"/>
      <c r="G30" s="1"/>
      <c r="H30" s="1"/>
      <c r="I30" s="1"/>
    </row>
    <row r="31" spans="1:9" ht="22.05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22.05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22.05" customHeight="1">
      <c r="A33" s="32" t="s">
        <v>181</v>
      </c>
      <c r="B33" s="32"/>
      <c r="C33" s="32"/>
      <c r="D33" s="32"/>
      <c r="E33" s="32"/>
      <c r="F33" s="32"/>
      <c r="G33" s="32"/>
      <c r="H33" s="32"/>
      <c r="I33" s="32"/>
    </row>
    <row r="34" spans="1:9" ht="22.05" customHeight="1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22.05" customHeight="1">
      <c r="A35" s="32"/>
      <c r="B35" s="32"/>
      <c r="C35" s="32"/>
      <c r="D35" s="32"/>
      <c r="E35" s="32"/>
      <c r="F35" s="32"/>
      <c r="G35" s="32"/>
      <c r="H35" s="32"/>
      <c r="I35" s="32"/>
    </row>
    <row r="36" spans="1:9" ht="22.05" customHeight="1">
      <c r="A36" s="32"/>
      <c r="B36" s="32"/>
      <c r="C36" s="32"/>
      <c r="D36" s="32"/>
      <c r="E36" s="32"/>
      <c r="F36" s="32"/>
      <c r="G36" s="32"/>
      <c r="H36" s="32"/>
      <c r="I36" s="32"/>
    </row>
    <row r="37" spans="1:9" ht="22.05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22.05" customHeight="1">
      <c r="A38" s="1"/>
      <c r="B38" s="1"/>
      <c r="C38" s="1"/>
      <c r="D38" s="1"/>
      <c r="E38" s="1"/>
      <c r="F38" s="1"/>
      <c r="G38" s="1"/>
      <c r="H38" s="1"/>
      <c r="I38" s="1"/>
    </row>
    <row r="39" spans="1:9" ht="22.05" customHeight="1">
      <c r="A39" s="32" t="s">
        <v>182</v>
      </c>
      <c r="B39" s="32"/>
      <c r="C39" s="32"/>
      <c r="D39" s="32"/>
      <c r="E39" s="32"/>
      <c r="F39" s="32"/>
      <c r="G39" s="32"/>
      <c r="H39" s="32"/>
      <c r="I39" s="32"/>
    </row>
    <row r="40" spans="1:9" ht="22.05" customHeight="1">
      <c r="A40" s="32"/>
      <c r="B40" s="32"/>
      <c r="C40" s="32"/>
      <c r="D40" s="32"/>
      <c r="E40" s="32"/>
      <c r="F40" s="32"/>
      <c r="G40" s="32"/>
      <c r="H40" s="32"/>
      <c r="I40" s="32"/>
    </row>
    <row r="41" spans="1:9" ht="22.05" customHeight="1">
      <c r="A41" s="32"/>
      <c r="B41" s="32"/>
      <c r="C41" s="32"/>
      <c r="D41" s="32"/>
      <c r="E41" s="32"/>
      <c r="F41" s="32"/>
      <c r="G41" s="32"/>
      <c r="H41" s="32"/>
      <c r="I41" s="32"/>
    </row>
    <row r="42" spans="1:9" ht="22.05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22.0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9" ht="22.05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22.0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22.05" customHeight="1">
      <c r="A46" s="1"/>
      <c r="B46" s="1"/>
      <c r="C46" s="1"/>
      <c r="D46" s="1"/>
      <c r="E46" s="1"/>
      <c r="F46" s="1"/>
      <c r="G46" s="1"/>
      <c r="H46" s="1"/>
      <c r="I46" s="1"/>
    </row>
  </sheetData>
  <mergeCells count="5">
    <mergeCell ref="A1:H1"/>
    <mergeCell ref="A2:H3"/>
    <mergeCell ref="A22:I24"/>
    <mergeCell ref="A33:I36"/>
    <mergeCell ref="A39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 Traffic inputs</vt:lpstr>
      <vt:lpstr>02 Emission rates</vt:lpstr>
      <vt:lpstr>03 Recorded O</vt:lpstr>
      <vt:lpstr>04 Mean speed S</vt:lpstr>
      <vt:lpstr>05 Reconstructed R</vt:lpstr>
      <vt:lpstr>06 Two-speed M</vt:lpstr>
      <vt:lpstr>07 Cubic A</vt:lpstr>
      <vt:lpstr>08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Abbasi</cp:lastModifiedBy>
  <dcterms:modified xsi:type="dcterms:W3CDTF">2026-10-15T01:10:58Z</dcterms:modified>
</cp:coreProperties>
</file>